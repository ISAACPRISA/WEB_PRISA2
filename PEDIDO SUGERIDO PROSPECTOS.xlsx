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macias\Desktop\PEDIDOS SUGERIDOS\CLIENTES NUEVOS\"/>
    </mc:Choice>
  </mc:AlternateContent>
  <xr:revisionPtr revIDLastSave="0" documentId="13_ncr:1_{49A4A471-2F5D-4DA9-BE2A-F1D9394B9FDE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Sheet1" sheetId="1" r:id="rId1"/>
    <sheet name="Hoja1" sheetId="4" r:id="rId2"/>
    <sheet name="TD" sheetId="2" r:id="rId3"/>
    <sheet name="POR PRODUCTO MAS COM" sheetId="3" r:id="rId4"/>
    <sheet name="SUGERIDO FINAL" sheetId="5" r:id="rId5"/>
  </sheets>
  <externalReferences>
    <externalReference r:id="rId6"/>
    <externalReference r:id="rId7"/>
    <externalReference r:id="rId8"/>
    <externalReference r:id="rId9"/>
  </externalReferences>
  <definedNames>
    <definedName name="_xlnm._FilterDatabase" localSheetId="3" hidden="1">'POR PRODUCTO MAS COM'!$A$4:$U$260</definedName>
  </definedNames>
  <calcPr calcId="191029"/>
  <pivotCaches>
    <pivotCache cacheId="4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5" l="1"/>
  <c r="D3" i="5"/>
  <c r="D4" i="5"/>
  <c r="D5" i="5"/>
  <c r="D6" i="5"/>
  <c r="D7" i="5"/>
  <c r="D8" i="5"/>
  <c r="D9" i="5"/>
  <c r="D10" i="5"/>
  <c r="D11" i="5"/>
  <c r="D12" i="5"/>
  <c r="D13" i="5"/>
  <c r="D14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5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5" i="3"/>
  <c r="P11" i="3"/>
  <c r="R11" i="3" s="1"/>
  <c r="P10" i="3"/>
  <c r="R10" i="3" s="1"/>
  <c r="P18" i="3"/>
  <c r="R18" i="3" s="1"/>
  <c r="P12" i="3"/>
  <c r="R12" i="3" s="1"/>
  <c r="P20" i="3"/>
  <c r="R20" i="3" s="1"/>
  <c r="P27" i="3"/>
  <c r="R27" i="3" s="1"/>
  <c r="P21" i="3"/>
  <c r="R21" i="3" s="1"/>
  <c r="P69" i="3"/>
  <c r="R69" i="3" s="1"/>
  <c r="P71" i="3"/>
  <c r="R71" i="3" s="1"/>
  <c r="P32" i="3"/>
  <c r="R32" i="3" s="1"/>
  <c r="P35" i="3"/>
  <c r="R35" i="3" s="1"/>
  <c r="P106" i="3"/>
  <c r="R106" i="3" s="1"/>
  <c r="P221" i="3"/>
  <c r="R221" i="3" s="1"/>
  <c r="P85" i="3"/>
  <c r="R85" i="3" s="1"/>
  <c r="P98" i="3"/>
  <c r="R98" i="3" s="1"/>
  <c r="P24" i="3"/>
  <c r="R24" i="3" s="1"/>
  <c r="P61" i="3"/>
  <c r="R61" i="3" s="1"/>
  <c r="P99" i="3"/>
  <c r="R99" i="3" s="1"/>
  <c r="P222" i="3"/>
  <c r="R222" i="3" s="1"/>
  <c r="P70" i="3"/>
  <c r="R70" i="3" s="1"/>
  <c r="P139" i="3"/>
  <c r="R139" i="3" s="1"/>
  <c r="P72" i="3"/>
  <c r="R72" i="3" s="1"/>
  <c r="P149" i="3"/>
  <c r="R149" i="3" s="1"/>
  <c r="P67" i="3"/>
  <c r="R67" i="3" s="1"/>
  <c r="P112" i="3"/>
  <c r="R112" i="3" s="1"/>
  <c r="P60" i="3"/>
  <c r="R60" i="3" s="1"/>
  <c r="P114" i="3"/>
  <c r="R114" i="3" s="1"/>
  <c r="P62" i="3"/>
  <c r="R62" i="3" s="1"/>
  <c r="P46" i="3"/>
  <c r="R46" i="3" s="1"/>
  <c r="P122" i="3"/>
  <c r="R122" i="3" s="1"/>
  <c r="P66" i="3"/>
  <c r="R66" i="3" s="1"/>
  <c r="P50" i="3"/>
  <c r="R50" i="3" s="1"/>
  <c r="P192" i="3"/>
  <c r="R192" i="3" s="1"/>
  <c r="P43" i="3"/>
  <c r="R43" i="3" s="1"/>
  <c r="P141" i="3"/>
  <c r="R141" i="3" s="1"/>
  <c r="P26" i="3"/>
  <c r="R26" i="3" s="1"/>
  <c r="P130" i="3"/>
  <c r="R130" i="3" s="1"/>
  <c r="P126" i="3"/>
  <c r="R126" i="3" s="1"/>
  <c r="P207" i="3"/>
  <c r="R207" i="3" s="1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5" i="3"/>
  <c r="O6" i="3"/>
  <c r="P6" i="3"/>
  <c r="R6" i="3" s="1"/>
  <c r="O7" i="3"/>
  <c r="P7" i="3"/>
  <c r="R7" i="3" s="1"/>
  <c r="O8" i="3"/>
  <c r="P8" i="3"/>
  <c r="R8" i="3" s="1"/>
  <c r="O9" i="3"/>
  <c r="P9" i="3"/>
  <c r="R9" i="3" s="1"/>
  <c r="O10" i="3"/>
  <c r="O11" i="3"/>
  <c r="O12" i="3"/>
  <c r="O13" i="3"/>
  <c r="P13" i="3"/>
  <c r="R13" i="3" s="1"/>
  <c r="O14" i="3"/>
  <c r="P14" i="3"/>
  <c r="R14" i="3" s="1"/>
  <c r="O15" i="3"/>
  <c r="P15" i="3"/>
  <c r="R15" i="3" s="1"/>
  <c r="O16" i="3"/>
  <c r="P16" i="3"/>
  <c r="R16" i="3" s="1"/>
  <c r="O17" i="3"/>
  <c r="P17" i="3"/>
  <c r="R17" i="3" s="1"/>
  <c r="O18" i="3"/>
  <c r="O19" i="3"/>
  <c r="P19" i="3"/>
  <c r="R19" i="3" s="1"/>
  <c r="O20" i="3"/>
  <c r="O21" i="3"/>
  <c r="O22" i="3"/>
  <c r="P22" i="3"/>
  <c r="R22" i="3" s="1"/>
  <c r="O23" i="3"/>
  <c r="P23" i="3"/>
  <c r="R23" i="3" s="1"/>
  <c r="O24" i="3"/>
  <c r="O25" i="3"/>
  <c r="P25" i="3"/>
  <c r="R25" i="3" s="1"/>
  <c r="O26" i="3"/>
  <c r="O27" i="3"/>
  <c r="O28" i="3"/>
  <c r="P28" i="3"/>
  <c r="R28" i="3" s="1"/>
  <c r="O29" i="3"/>
  <c r="P29" i="3"/>
  <c r="R29" i="3" s="1"/>
  <c r="O30" i="3"/>
  <c r="P30" i="3"/>
  <c r="R30" i="3" s="1"/>
  <c r="O31" i="3"/>
  <c r="P31" i="3"/>
  <c r="R31" i="3" s="1"/>
  <c r="O32" i="3"/>
  <c r="O33" i="3"/>
  <c r="P33" i="3"/>
  <c r="R33" i="3" s="1"/>
  <c r="O34" i="3"/>
  <c r="P34" i="3"/>
  <c r="R34" i="3" s="1"/>
  <c r="O35" i="3"/>
  <c r="O36" i="3"/>
  <c r="P36" i="3"/>
  <c r="R36" i="3" s="1"/>
  <c r="O37" i="3"/>
  <c r="P37" i="3"/>
  <c r="R37" i="3" s="1"/>
  <c r="O38" i="3"/>
  <c r="P38" i="3"/>
  <c r="R38" i="3" s="1"/>
  <c r="O39" i="3"/>
  <c r="P39" i="3"/>
  <c r="R39" i="3" s="1"/>
  <c r="O40" i="3"/>
  <c r="P40" i="3"/>
  <c r="R40" i="3" s="1"/>
  <c r="O41" i="3"/>
  <c r="P41" i="3"/>
  <c r="R41" i="3" s="1"/>
  <c r="O42" i="3"/>
  <c r="P42" i="3"/>
  <c r="R42" i="3" s="1"/>
  <c r="O43" i="3"/>
  <c r="O44" i="3"/>
  <c r="P44" i="3"/>
  <c r="R44" i="3" s="1"/>
  <c r="O45" i="3"/>
  <c r="P45" i="3"/>
  <c r="R45" i="3" s="1"/>
  <c r="O46" i="3"/>
  <c r="O47" i="3"/>
  <c r="P47" i="3"/>
  <c r="R47" i="3" s="1"/>
  <c r="O48" i="3"/>
  <c r="P48" i="3"/>
  <c r="R48" i="3" s="1"/>
  <c r="O49" i="3"/>
  <c r="P49" i="3"/>
  <c r="R49" i="3" s="1"/>
  <c r="O50" i="3"/>
  <c r="O51" i="3"/>
  <c r="P51" i="3"/>
  <c r="R51" i="3" s="1"/>
  <c r="O52" i="3"/>
  <c r="P52" i="3"/>
  <c r="R52" i="3" s="1"/>
  <c r="O53" i="3"/>
  <c r="P53" i="3"/>
  <c r="R53" i="3" s="1"/>
  <c r="O54" i="3"/>
  <c r="P54" i="3"/>
  <c r="R54" i="3" s="1"/>
  <c r="O55" i="3"/>
  <c r="P55" i="3"/>
  <c r="R55" i="3" s="1"/>
  <c r="O56" i="3"/>
  <c r="P56" i="3"/>
  <c r="R56" i="3" s="1"/>
  <c r="O57" i="3"/>
  <c r="P57" i="3"/>
  <c r="R57" i="3" s="1"/>
  <c r="O58" i="3"/>
  <c r="P58" i="3"/>
  <c r="R58" i="3" s="1"/>
  <c r="O59" i="3"/>
  <c r="P59" i="3"/>
  <c r="R59" i="3" s="1"/>
  <c r="O60" i="3"/>
  <c r="O61" i="3"/>
  <c r="O62" i="3"/>
  <c r="O63" i="3"/>
  <c r="P63" i="3"/>
  <c r="R63" i="3" s="1"/>
  <c r="O64" i="3"/>
  <c r="P64" i="3"/>
  <c r="R64" i="3" s="1"/>
  <c r="O65" i="3"/>
  <c r="P65" i="3"/>
  <c r="R65" i="3" s="1"/>
  <c r="O66" i="3"/>
  <c r="O67" i="3"/>
  <c r="O68" i="3"/>
  <c r="P68" i="3"/>
  <c r="R68" i="3" s="1"/>
  <c r="O69" i="3"/>
  <c r="O70" i="3"/>
  <c r="O71" i="3"/>
  <c r="O72" i="3"/>
  <c r="O73" i="3"/>
  <c r="P73" i="3"/>
  <c r="R73" i="3" s="1"/>
  <c r="O74" i="3"/>
  <c r="P74" i="3"/>
  <c r="R74" i="3" s="1"/>
  <c r="O75" i="3"/>
  <c r="P75" i="3"/>
  <c r="R75" i="3" s="1"/>
  <c r="O76" i="3"/>
  <c r="P76" i="3"/>
  <c r="R76" i="3" s="1"/>
  <c r="O77" i="3"/>
  <c r="P77" i="3"/>
  <c r="R77" i="3" s="1"/>
  <c r="O78" i="3"/>
  <c r="P78" i="3"/>
  <c r="R78" i="3" s="1"/>
  <c r="O79" i="3"/>
  <c r="P79" i="3"/>
  <c r="R79" i="3" s="1"/>
  <c r="O80" i="3"/>
  <c r="P80" i="3"/>
  <c r="R80" i="3" s="1"/>
  <c r="O81" i="3"/>
  <c r="P81" i="3"/>
  <c r="R81" i="3" s="1"/>
  <c r="O82" i="3"/>
  <c r="P82" i="3"/>
  <c r="R82" i="3" s="1"/>
  <c r="O83" i="3"/>
  <c r="P83" i="3"/>
  <c r="R83" i="3" s="1"/>
  <c r="O84" i="3"/>
  <c r="P84" i="3"/>
  <c r="R84" i="3" s="1"/>
  <c r="O85" i="3"/>
  <c r="O86" i="3"/>
  <c r="P86" i="3"/>
  <c r="R86" i="3" s="1"/>
  <c r="O87" i="3"/>
  <c r="P87" i="3"/>
  <c r="R87" i="3" s="1"/>
  <c r="O88" i="3"/>
  <c r="P88" i="3"/>
  <c r="R88" i="3" s="1"/>
  <c r="O89" i="3"/>
  <c r="P89" i="3"/>
  <c r="R89" i="3" s="1"/>
  <c r="O90" i="3"/>
  <c r="P90" i="3"/>
  <c r="R90" i="3" s="1"/>
  <c r="O91" i="3"/>
  <c r="P91" i="3"/>
  <c r="R91" i="3" s="1"/>
  <c r="O92" i="3"/>
  <c r="P92" i="3"/>
  <c r="R92" i="3" s="1"/>
  <c r="O93" i="3"/>
  <c r="P93" i="3"/>
  <c r="R93" i="3" s="1"/>
  <c r="O94" i="3"/>
  <c r="P94" i="3"/>
  <c r="R94" i="3" s="1"/>
  <c r="O95" i="3"/>
  <c r="P95" i="3"/>
  <c r="R95" i="3" s="1"/>
  <c r="O96" i="3"/>
  <c r="P96" i="3"/>
  <c r="R96" i="3" s="1"/>
  <c r="O97" i="3"/>
  <c r="P97" i="3"/>
  <c r="R97" i="3" s="1"/>
  <c r="O98" i="3"/>
  <c r="O99" i="3"/>
  <c r="O100" i="3"/>
  <c r="P100" i="3"/>
  <c r="R100" i="3" s="1"/>
  <c r="O101" i="3"/>
  <c r="P101" i="3"/>
  <c r="R101" i="3" s="1"/>
  <c r="O102" i="3"/>
  <c r="P102" i="3"/>
  <c r="R102" i="3" s="1"/>
  <c r="O103" i="3"/>
  <c r="P103" i="3"/>
  <c r="R103" i="3" s="1"/>
  <c r="O104" i="3"/>
  <c r="P104" i="3"/>
  <c r="R104" i="3" s="1"/>
  <c r="O105" i="3"/>
  <c r="P105" i="3"/>
  <c r="R105" i="3" s="1"/>
  <c r="O106" i="3"/>
  <c r="O107" i="3"/>
  <c r="P107" i="3"/>
  <c r="R107" i="3" s="1"/>
  <c r="O108" i="3"/>
  <c r="P108" i="3"/>
  <c r="R108" i="3" s="1"/>
  <c r="O109" i="3"/>
  <c r="P109" i="3"/>
  <c r="R109" i="3" s="1"/>
  <c r="O110" i="3"/>
  <c r="P110" i="3"/>
  <c r="R110" i="3" s="1"/>
  <c r="O111" i="3"/>
  <c r="P111" i="3"/>
  <c r="R111" i="3" s="1"/>
  <c r="O112" i="3"/>
  <c r="O113" i="3"/>
  <c r="P113" i="3"/>
  <c r="R113" i="3" s="1"/>
  <c r="O114" i="3"/>
  <c r="O115" i="3"/>
  <c r="P115" i="3"/>
  <c r="R115" i="3" s="1"/>
  <c r="O116" i="3"/>
  <c r="P116" i="3"/>
  <c r="R116" i="3" s="1"/>
  <c r="O117" i="3"/>
  <c r="P117" i="3"/>
  <c r="R117" i="3" s="1"/>
  <c r="O118" i="3"/>
  <c r="P118" i="3"/>
  <c r="R118" i="3" s="1"/>
  <c r="O119" i="3"/>
  <c r="P119" i="3"/>
  <c r="R119" i="3" s="1"/>
  <c r="O120" i="3"/>
  <c r="P120" i="3"/>
  <c r="R120" i="3" s="1"/>
  <c r="O121" i="3"/>
  <c r="P121" i="3"/>
  <c r="R121" i="3" s="1"/>
  <c r="O122" i="3"/>
  <c r="O123" i="3"/>
  <c r="P123" i="3"/>
  <c r="R123" i="3" s="1"/>
  <c r="O124" i="3"/>
  <c r="P124" i="3"/>
  <c r="R124" i="3" s="1"/>
  <c r="O125" i="3"/>
  <c r="P125" i="3"/>
  <c r="R125" i="3" s="1"/>
  <c r="O126" i="3"/>
  <c r="O127" i="3"/>
  <c r="P127" i="3"/>
  <c r="R127" i="3" s="1"/>
  <c r="O128" i="3"/>
  <c r="P128" i="3"/>
  <c r="R128" i="3" s="1"/>
  <c r="O129" i="3"/>
  <c r="P129" i="3"/>
  <c r="R129" i="3" s="1"/>
  <c r="O130" i="3"/>
  <c r="O131" i="3"/>
  <c r="P131" i="3"/>
  <c r="R131" i="3" s="1"/>
  <c r="O132" i="3"/>
  <c r="P132" i="3"/>
  <c r="R132" i="3" s="1"/>
  <c r="O133" i="3"/>
  <c r="P133" i="3"/>
  <c r="R133" i="3" s="1"/>
  <c r="O134" i="3"/>
  <c r="P134" i="3"/>
  <c r="R134" i="3" s="1"/>
  <c r="O135" i="3"/>
  <c r="P135" i="3"/>
  <c r="R135" i="3" s="1"/>
  <c r="O136" i="3"/>
  <c r="P136" i="3"/>
  <c r="R136" i="3" s="1"/>
  <c r="O137" i="3"/>
  <c r="P137" i="3"/>
  <c r="R137" i="3" s="1"/>
  <c r="O138" i="3"/>
  <c r="P138" i="3"/>
  <c r="R138" i="3" s="1"/>
  <c r="O139" i="3"/>
  <c r="O140" i="3"/>
  <c r="P140" i="3"/>
  <c r="R140" i="3" s="1"/>
  <c r="O141" i="3"/>
  <c r="O142" i="3"/>
  <c r="P142" i="3"/>
  <c r="R142" i="3" s="1"/>
  <c r="O143" i="3"/>
  <c r="P143" i="3"/>
  <c r="R143" i="3" s="1"/>
  <c r="O144" i="3"/>
  <c r="P144" i="3"/>
  <c r="R144" i="3" s="1"/>
  <c r="O145" i="3"/>
  <c r="P145" i="3"/>
  <c r="R145" i="3" s="1"/>
  <c r="O146" i="3"/>
  <c r="P146" i="3"/>
  <c r="R146" i="3" s="1"/>
  <c r="O147" i="3"/>
  <c r="P147" i="3"/>
  <c r="R147" i="3" s="1"/>
  <c r="O148" i="3"/>
  <c r="P148" i="3"/>
  <c r="R148" i="3" s="1"/>
  <c r="O149" i="3"/>
  <c r="O150" i="3"/>
  <c r="P150" i="3"/>
  <c r="R150" i="3" s="1"/>
  <c r="O151" i="3"/>
  <c r="P151" i="3"/>
  <c r="R151" i="3" s="1"/>
  <c r="O152" i="3"/>
  <c r="P152" i="3"/>
  <c r="R152" i="3" s="1"/>
  <c r="O153" i="3"/>
  <c r="P153" i="3"/>
  <c r="R153" i="3" s="1"/>
  <c r="O154" i="3"/>
  <c r="P154" i="3"/>
  <c r="R154" i="3" s="1"/>
  <c r="O155" i="3"/>
  <c r="P155" i="3"/>
  <c r="R155" i="3" s="1"/>
  <c r="O156" i="3"/>
  <c r="P156" i="3"/>
  <c r="R156" i="3" s="1"/>
  <c r="O157" i="3"/>
  <c r="P157" i="3"/>
  <c r="R157" i="3" s="1"/>
  <c r="O158" i="3"/>
  <c r="P158" i="3"/>
  <c r="R158" i="3" s="1"/>
  <c r="O159" i="3"/>
  <c r="P159" i="3"/>
  <c r="R159" i="3" s="1"/>
  <c r="O160" i="3"/>
  <c r="P160" i="3"/>
  <c r="R160" i="3" s="1"/>
  <c r="O161" i="3"/>
  <c r="P161" i="3"/>
  <c r="R161" i="3" s="1"/>
  <c r="O162" i="3"/>
  <c r="P162" i="3"/>
  <c r="R162" i="3" s="1"/>
  <c r="O163" i="3"/>
  <c r="P163" i="3"/>
  <c r="R163" i="3" s="1"/>
  <c r="O164" i="3"/>
  <c r="P164" i="3"/>
  <c r="R164" i="3" s="1"/>
  <c r="O165" i="3"/>
  <c r="P165" i="3"/>
  <c r="R165" i="3" s="1"/>
  <c r="O166" i="3"/>
  <c r="P166" i="3"/>
  <c r="R166" i="3" s="1"/>
  <c r="O167" i="3"/>
  <c r="P167" i="3"/>
  <c r="R167" i="3" s="1"/>
  <c r="O168" i="3"/>
  <c r="P168" i="3"/>
  <c r="R168" i="3" s="1"/>
  <c r="O169" i="3"/>
  <c r="P169" i="3"/>
  <c r="R169" i="3" s="1"/>
  <c r="O170" i="3"/>
  <c r="P170" i="3"/>
  <c r="R170" i="3" s="1"/>
  <c r="O171" i="3"/>
  <c r="P171" i="3"/>
  <c r="R171" i="3" s="1"/>
  <c r="O172" i="3"/>
  <c r="P172" i="3"/>
  <c r="R172" i="3" s="1"/>
  <c r="O173" i="3"/>
  <c r="P173" i="3"/>
  <c r="R173" i="3" s="1"/>
  <c r="O174" i="3"/>
  <c r="P174" i="3"/>
  <c r="R174" i="3" s="1"/>
  <c r="O175" i="3"/>
  <c r="P175" i="3"/>
  <c r="R175" i="3" s="1"/>
  <c r="O176" i="3"/>
  <c r="P176" i="3"/>
  <c r="R176" i="3" s="1"/>
  <c r="O177" i="3"/>
  <c r="P177" i="3"/>
  <c r="R177" i="3" s="1"/>
  <c r="O178" i="3"/>
  <c r="P178" i="3"/>
  <c r="R178" i="3" s="1"/>
  <c r="O179" i="3"/>
  <c r="P179" i="3"/>
  <c r="R179" i="3" s="1"/>
  <c r="O180" i="3"/>
  <c r="P180" i="3"/>
  <c r="R180" i="3" s="1"/>
  <c r="O181" i="3"/>
  <c r="P181" i="3"/>
  <c r="R181" i="3" s="1"/>
  <c r="O182" i="3"/>
  <c r="P182" i="3"/>
  <c r="R182" i="3" s="1"/>
  <c r="O183" i="3"/>
  <c r="P183" i="3"/>
  <c r="R183" i="3" s="1"/>
  <c r="O184" i="3"/>
  <c r="P184" i="3"/>
  <c r="R184" i="3" s="1"/>
  <c r="O185" i="3"/>
  <c r="P185" i="3"/>
  <c r="R185" i="3" s="1"/>
  <c r="O186" i="3"/>
  <c r="P186" i="3"/>
  <c r="R186" i="3" s="1"/>
  <c r="O187" i="3"/>
  <c r="P187" i="3"/>
  <c r="R187" i="3" s="1"/>
  <c r="O188" i="3"/>
  <c r="P188" i="3"/>
  <c r="R188" i="3" s="1"/>
  <c r="O189" i="3"/>
  <c r="P189" i="3"/>
  <c r="R189" i="3" s="1"/>
  <c r="O190" i="3"/>
  <c r="P190" i="3"/>
  <c r="R190" i="3" s="1"/>
  <c r="O191" i="3"/>
  <c r="P191" i="3"/>
  <c r="R191" i="3" s="1"/>
  <c r="O192" i="3"/>
  <c r="O193" i="3"/>
  <c r="P193" i="3"/>
  <c r="R193" i="3" s="1"/>
  <c r="O194" i="3"/>
  <c r="P194" i="3"/>
  <c r="R194" i="3" s="1"/>
  <c r="O195" i="3"/>
  <c r="P195" i="3"/>
  <c r="R195" i="3" s="1"/>
  <c r="O196" i="3"/>
  <c r="P196" i="3"/>
  <c r="R196" i="3" s="1"/>
  <c r="O197" i="3"/>
  <c r="P197" i="3"/>
  <c r="R197" i="3" s="1"/>
  <c r="O198" i="3"/>
  <c r="P198" i="3"/>
  <c r="R198" i="3" s="1"/>
  <c r="O199" i="3"/>
  <c r="P199" i="3"/>
  <c r="R199" i="3" s="1"/>
  <c r="O200" i="3"/>
  <c r="P200" i="3"/>
  <c r="R200" i="3" s="1"/>
  <c r="O201" i="3"/>
  <c r="P201" i="3"/>
  <c r="R201" i="3" s="1"/>
  <c r="O202" i="3"/>
  <c r="P202" i="3"/>
  <c r="R202" i="3" s="1"/>
  <c r="O203" i="3"/>
  <c r="P203" i="3"/>
  <c r="R203" i="3" s="1"/>
  <c r="O204" i="3"/>
  <c r="P204" i="3"/>
  <c r="R204" i="3" s="1"/>
  <c r="O205" i="3"/>
  <c r="P205" i="3"/>
  <c r="R205" i="3" s="1"/>
  <c r="O206" i="3"/>
  <c r="P206" i="3"/>
  <c r="R206" i="3" s="1"/>
  <c r="O207" i="3"/>
  <c r="O208" i="3"/>
  <c r="P208" i="3"/>
  <c r="R208" i="3" s="1"/>
  <c r="O209" i="3"/>
  <c r="P209" i="3"/>
  <c r="R209" i="3" s="1"/>
  <c r="O210" i="3"/>
  <c r="P210" i="3"/>
  <c r="R210" i="3" s="1"/>
  <c r="O211" i="3"/>
  <c r="P211" i="3"/>
  <c r="R211" i="3" s="1"/>
  <c r="O212" i="3"/>
  <c r="P212" i="3"/>
  <c r="R212" i="3" s="1"/>
  <c r="O213" i="3"/>
  <c r="P213" i="3"/>
  <c r="R213" i="3" s="1"/>
  <c r="O214" i="3"/>
  <c r="P214" i="3"/>
  <c r="R214" i="3" s="1"/>
  <c r="O215" i="3"/>
  <c r="P215" i="3"/>
  <c r="R215" i="3" s="1"/>
  <c r="O216" i="3"/>
  <c r="P216" i="3"/>
  <c r="R216" i="3" s="1"/>
  <c r="O217" i="3"/>
  <c r="P217" i="3"/>
  <c r="R217" i="3" s="1"/>
  <c r="O218" i="3"/>
  <c r="P218" i="3"/>
  <c r="R218" i="3" s="1"/>
  <c r="O219" i="3"/>
  <c r="P219" i="3"/>
  <c r="R219" i="3" s="1"/>
  <c r="O220" i="3"/>
  <c r="P220" i="3"/>
  <c r="R220" i="3" s="1"/>
  <c r="O221" i="3"/>
  <c r="O222" i="3"/>
  <c r="O223" i="3"/>
  <c r="P223" i="3"/>
  <c r="R223" i="3" s="1"/>
  <c r="O224" i="3"/>
  <c r="P224" i="3"/>
  <c r="R224" i="3" s="1"/>
  <c r="O225" i="3"/>
  <c r="P225" i="3"/>
  <c r="R225" i="3" s="1"/>
  <c r="O226" i="3"/>
  <c r="P226" i="3"/>
  <c r="R226" i="3" s="1"/>
  <c r="O227" i="3"/>
  <c r="P227" i="3"/>
  <c r="R227" i="3" s="1"/>
  <c r="O228" i="3"/>
  <c r="P228" i="3"/>
  <c r="R228" i="3" s="1"/>
  <c r="O229" i="3"/>
  <c r="P229" i="3"/>
  <c r="R229" i="3" s="1"/>
  <c r="O230" i="3"/>
  <c r="P230" i="3"/>
  <c r="R230" i="3" s="1"/>
  <c r="O231" i="3"/>
  <c r="P231" i="3"/>
  <c r="R231" i="3" s="1"/>
  <c r="O232" i="3"/>
  <c r="P232" i="3"/>
  <c r="R232" i="3" s="1"/>
  <c r="O233" i="3"/>
  <c r="P233" i="3"/>
  <c r="R233" i="3" s="1"/>
  <c r="O234" i="3"/>
  <c r="P234" i="3"/>
  <c r="R234" i="3" s="1"/>
  <c r="O235" i="3"/>
  <c r="P235" i="3"/>
  <c r="R235" i="3" s="1"/>
  <c r="O236" i="3"/>
  <c r="P236" i="3"/>
  <c r="R236" i="3" s="1"/>
  <c r="O237" i="3"/>
  <c r="P237" i="3"/>
  <c r="R237" i="3" s="1"/>
  <c r="O238" i="3"/>
  <c r="P238" i="3"/>
  <c r="R238" i="3" s="1"/>
  <c r="O239" i="3"/>
  <c r="P239" i="3"/>
  <c r="R239" i="3" s="1"/>
  <c r="O240" i="3"/>
  <c r="P240" i="3"/>
  <c r="R240" i="3" s="1"/>
  <c r="O241" i="3"/>
  <c r="P241" i="3"/>
  <c r="R241" i="3" s="1"/>
  <c r="O242" i="3"/>
  <c r="P242" i="3"/>
  <c r="R242" i="3" s="1"/>
  <c r="O243" i="3"/>
  <c r="P243" i="3"/>
  <c r="R243" i="3" s="1"/>
  <c r="O244" i="3"/>
  <c r="P244" i="3"/>
  <c r="R244" i="3" s="1"/>
  <c r="O245" i="3"/>
  <c r="P245" i="3"/>
  <c r="R245" i="3" s="1"/>
  <c r="O246" i="3"/>
  <c r="P246" i="3"/>
  <c r="R246" i="3" s="1"/>
  <c r="O247" i="3"/>
  <c r="P247" i="3"/>
  <c r="R247" i="3" s="1"/>
  <c r="O248" i="3"/>
  <c r="P248" i="3"/>
  <c r="R248" i="3" s="1"/>
  <c r="O249" i="3"/>
  <c r="P249" i="3"/>
  <c r="R249" i="3" s="1"/>
  <c r="O250" i="3"/>
  <c r="P250" i="3"/>
  <c r="R250" i="3" s="1"/>
  <c r="O251" i="3"/>
  <c r="P251" i="3"/>
  <c r="R251" i="3" s="1"/>
  <c r="O252" i="3"/>
  <c r="P252" i="3"/>
  <c r="R252" i="3" s="1"/>
  <c r="O253" i="3"/>
  <c r="P253" i="3"/>
  <c r="R253" i="3" s="1"/>
  <c r="O254" i="3"/>
  <c r="P254" i="3"/>
  <c r="R254" i="3" s="1"/>
  <c r="O255" i="3"/>
  <c r="P255" i="3"/>
  <c r="R255" i="3" s="1"/>
  <c r="O256" i="3"/>
  <c r="P256" i="3"/>
  <c r="R256" i="3" s="1"/>
  <c r="O257" i="3"/>
  <c r="P257" i="3"/>
  <c r="R257" i="3" s="1"/>
  <c r="O258" i="3"/>
  <c r="P258" i="3"/>
  <c r="R258" i="3" s="1"/>
  <c r="O259" i="3"/>
  <c r="P259" i="3"/>
  <c r="R259" i="3" s="1"/>
  <c r="O260" i="3"/>
  <c r="P260" i="3"/>
  <c r="R260" i="3" s="1"/>
  <c r="P5" i="3"/>
  <c r="R5" i="3" s="1"/>
  <c r="O5" i="3"/>
  <c r="L3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5" i="3"/>
  <c r="G178" i="3"/>
  <c r="F6" i="3"/>
  <c r="G6" i="3" s="1"/>
  <c r="F7" i="3"/>
  <c r="G7" i="3" s="1"/>
  <c r="F8" i="3"/>
  <c r="G8" i="3" s="1"/>
  <c r="F9" i="3"/>
  <c r="G9" i="3" s="1"/>
  <c r="F10" i="3"/>
  <c r="G10" i="3" s="1"/>
  <c r="F11" i="3"/>
  <c r="G11" i="3" s="1"/>
  <c r="F12" i="3"/>
  <c r="G12" i="3" s="1"/>
  <c r="F13" i="3"/>
  <c r="G13" i="3" s="1"/>
  <c r="F14" i="3"/>
  <c r="G14" i="3" s="1"/>
  <c r="F15" i="3"/>
  <c r="G15" i="3" s="1"/>
  <c r="F16" i="3"/>
  <c r="G16" i="3" s="1"/>
  <c r="F17" i="3"/>
  <c r="G17" i="3" s="1"/>
  <c r="F18" i="3"/>
  <c r="G18" i="3" s="1"/>
  <c r="F19" i="3"/>
  <c r="G19" i="3" s="1"/>
  <c r="F20" i="3"/>
  <c r="G20" i="3" s="1"/>
  <c r="F21" i="3"/>
  <c r="G21" i="3" s="1"/>
  <c r="F22" i="3"/>
  <c r="G22" i="3" s="1"/>
  <c r="F23" i="3"/>
  <c r="G23" i="3" s="1"/>
  <c r="F24" i="3"/>
  <c r="G24" i="3" s="1"/>
  <c r="F25" i="3"/>
  <c r="G25" i="3" s="1"/>
  <c r="F26" i="3"/>
  <c r="G26" i="3" s="1"/>
  <c r="F27" i="3"/>
  <c r="G27" i="3" s="1"/>
  <c r="F28" i="3"/>
  <c r="G28" i="3" s="1"/>
  <c r="F29" i="3"/>
  <c r="G29" i="3" s="1"/>
  <c r="F30" i="3"/>
  <c r="G30" i="3" s="1"/>
  <c r="F31" i="3"/>
  <c r="G31" i="3" s="1"/>
  <c r="F32" i="3"/>
  <c r="G32" i="3" s="1"/>
  <c r="F33" i="3"/>
  <c r="G33" i="3" s="1"/>
  <c r="F34" i="3"/>
  <c r="G34" i="3" s="1"/>
  <c r="F35" i="3"/>
  <c r="G35" i="3" s="1"/>
  <c r="F36" i="3"/>
  <c r="G36" i="3" s="1"/>
  <c r="F37" i="3"/>
  <c r="G37" i="3" s="1"/>
  <c r="F38" i="3"/>
  <c r="G38" i="3" s="1"/>
  <c r="F39" i="3"/>
  <c r="G39" i="3" s="1"/>
  <c r="F40" i="3"/>
  <c r="G40" i="3" s="1"/>
  <c r="F41" i="3"/>
  <c r="G41" i="3" s="1"/>
  <c r="F42" i="3"/>
  <c r="G42" i="3" s="1"/>
  <c r="F43" i="3"/>
  <c r="G43" i="3" s="1"/>
  <c r="F44" i="3"/>
  <c r="G44" i="3" s="1"/>
  <c r="F45" i="3"/>
  <c r="G45" i="3" s="1"/>
  <c r="F46" i="3"/>
  <c r="G46" i="3" s="1"/>
  <c r="F47" i="3"/>
  <c r="G47" i="3" s="1"/>
  <c r="F48" i="3"/>
  <c r="G48" i="3" s="1"/>
  <c r="F49" i="3"/>
  <c r="G49" i="3" s="1"/>
  <c r="F50" i="3"/>
  <c r="G50" i="3" s="1"/>
  <c r="F51" i="3"/>
  <c r="G51" i="3" s="1"/>
  <c r="F52" i="3"/>
  <c r="G52" i="3" s="1"/>
  <c r="F53" i="3"/>
  <c r="G53" i="3" s="1"/>
  <c r="F54" i="3"/>
  <c r="G54" i="3" s="1"/>
  <c r="F55" i="3"/>
  <c r="G55" i="3" s="1"/>
  <c r="F56" i="3"/>
  <c r="G56" i="3" s="1"/>
  <c r="F57" i="3"/>
  <c r="G57" i="3" s="1"/>
  <c r="F58" i="3"/>
  <c r="G58" i="3" s="1"/>
  <c r="F59" i="3"/>
  <c r="G59" i="3" s="1"/>
  <c r="F60" i="3"/>
  <c r="G60" i="3" s="1"/>
  <c r="F61" i="3"/>
  <c r="G61" i="3" s="1"/>
  <c r="F62" i="3"/>
  <c r="G62" i="3" s="1"/>
  <c r="F63" i="3"/>
  <c r="G63" i="3" s="1"/>
  <c r="F64" i="3"/>
  <c r="G64" i="3" s="1"/>
  <c r="F65" i="3"/>
  <c r="G65" i="3" s="1"/>
  <c r="F66" i="3"/>
  <c r="G66" i="3" s="1"/>
  <c r="F67" i="3"/>
  <c r="G67" i="3" s="1"/>
  <c r="F68" i="3"/>
  <c r="G68" i="3" s="1"/>
  <c r="F69" i="3"/>
  <c r="G69" i="3" s="1"/>
  <c r="F70" i="3"/>
  <c r="G70" i="3" s="1"/>
  <c r="F71" i="3"/>
  <c r="G71" i="3" s="1"/>
  <c r="F72" i="3"/>
  <c r="G72" i="3" s="1"/>
  <c r="F73" i="3"/>
  <c r="G73" i="3" s="1"/>
  <c r="F74" i="3"/>
  <c r="G74" i="3" s="1"/>
  <c r="F75" i="3"/>
  <c r="G75" i="3" s="1"/>
  <c r="F76" i="3"/>
  <c r="G76" i="3" s="1"/>
  <c r="F77" i="3"/>
  <c r="G77" i="3" s="1"/>
  <c r="F78" i="3"/>
  <c r="G78" i="3" s="1"/>
  <c r="F79" i="3"/>
  <c r="G79" i="3" s="1"/>
  <c r="F80" i="3"/>
  <c r="G80" i="3" s="1"/>
  <c r="F81" i="3"/>
  <c r="G81" i="3" s="1"/>
  <c r="F82" i="3"/>
  <c r="G82" i="3" s="1"/>
  <c r="F83" i="3"/>
  <c r="G83" i="3" s="1"/>
  <c r="F84" i="3"/>
  <c r="G84" i="3" s="1"/>
  <c r="F85" i="3"/>
  <c r="G85" i="3" s="1"/>
  <c r="F86" i="3"/>
  <c r="G86" i="3" s="1"/>
  <c r="F87" i="3"/>
  <c r="G87" i="3" s="1"/>
  <c r="F88" i="3"/>
  <c r="G88" i="3" s="1"/>
  <c r="F89" i="3"/>
  <c r="G89" i="3" s="1"/>
  <c r="F90" i="3"/>
  <c r="G90" i="3" s="1"/>
  <c r="F91" i="3"/>
  <c r="G91" i="3" s="1"/>
  <c r="F92" i="3"/>
  <c r="G92" i="3" s="1"/>
  <c r="F93" i="3"/>
  <c r="G93" i="3" s="1"/>
  <c r="F94" i="3"/>
  <c r="G94" i="3" s="1"/>
  <c r="F95" i="3"/>
  <c r="G95" i="3" s="1"/>
  <c r="F96" i="3"/>
  <c r="G96" i="3" s="1"/>
  <c r="F97" i="3"/>
  <c r="G97" i="3" s="1"/>
  <c r="F98" i="3"/>
  <c r="G98" i="3" s="1"/>
  <c r="F99" i="3"/>
  <c r="G99" i="3" s="1"/>
  <c r="F100" i="3"/>
  <c r="G100" i="3" s="1"/>
  <c r="F101" i="3"/>
  <c r="G101" i="3" s="1"/>
  <c r="F102" i="3"/>
  <c r="G102" i="3" s="1"/>
  <c r="F103" i="3"/>
  <c r="G103" i="3" s="1"/>
  <c r="F104" i="3"/>
  <c r="G104" i="3" s="1"/>
  <c r="F105" i="3"/>
  <c r="G105" i="3" s="1"/>
  <c r="F106" i="3"/>
  <c r="G106" i="3" s="1"/>
  <c r="F107" i="3"/>
  <c r="G107" i="3" s="1"/>
  <c r="F108" i="3"/>
  <c r="G108" i="3" s="1"/>
  <c r="F109" i="3"/>
  <c r="G109" i="3" s="1"/>
  <c r="F110" i="3"/>
  <c r="G110" i="3" s="1"/>
  <c r="F111" i="3"/>
  <c r="G111" i="3" s="1"/>
  <c r="F112" i="3"/>
  <c r="G112" i="3" s="1"/>
  <c r="F113" i="3"/>
  <c r="G113" i="3" s="1"/>
  <c r="F114" i="3"/>
  <c r="G114" i="3" s="1"/>
  <c r="F115" i="3"/>
  <c r="G115" i="3" s="1"/>
  <c r="F116" i="3"/>
  <c r="G116" i="3" s="1"/>
  <c r="F117" i="3"/>
  <c r="G117" i="3" s="1"/>
  <c r="F118" i="3"/>
  <c r="G118" i="3" s="1"/>
  <c r="F119" i="3"/>
  <c r="G119" i="3" s="1"/>
  <c r="F120" i="3"/>
  <c r="G120" i="3" s="1"/>
  <c r="F121" i="3"/>
  <c r="G121" i="3" s="1"/>
  <c r="F122" i="3"/>
  <c r="G122" i="3" s="1"/>
  <c r="F123" i="3"/>
  <c r="G123" i="3" s="1"/>
  <c r="F124" i="3"/>
  <c r="G124" i="3" s="1"/>
  <c r="F125" i="3"/>
  <c r="G125" i="3" s="1"/>
  <c r="F126" i="3"/>
  <c r="G126" i="3" s="1"/>
  <c r="F127" i="3"/>
  <c r="G127" i="3" s="1"/>
  <c r="F128" i="3"/>
  <c r="G128" i="3" s="1"/>
  <c r="F129" i="3"/>
  <c r="G129" i="3" s="1"/>
  <c r="F130" i="3"/>
  <c r="G130" i="3" s="1"/>
  <c r="F131" i="3"/>
  <c r="G131" i="3" s="1"/>
  <c r="F132" i="3"/>
  <c r="G132" i="3" s="1"/>
  <c r="F133" i="3"/>
  <c r="G133" i="3" s="1"/>
  <c r="F134" i="3"/>
  <c r="G134" i="3" s="1"/>
  <c r="F135" i="3"/>
  <c r="G135" i="3" s="1"/>
  <c r="F136" i="3"/>
  <c r="G136" i="3" s="1"/>
  <c r="F137" i="3"/>
  <c r="G137" i="3" s="1"/>
  <c r="F138" i="3"/>
  <c r="G138" i="3" s="1"/>
  <c r="F139" i="3"/>
  <c r="G139" i="3" s="1"/>
  <c r="F140" i="3"/>
  <c r="G140" i="3" s="1"/>
  <c r="F141" i="3"/>
  <c r="G141" i="3" s="1"/>
  <c r="F142" i="3"/>
  <c r="G142" i="3" s="1"/>
  <c r="F143" i="3"/>
  <c r="G143" i="3" s="1"/>
  <c r="F144" i="3"/>
  <c r="G144" i="3" s="1"/>
  <c r="F145" i="3"/>
  <c r="G145" i="3" s="1"/>
  <c r="F146" i="3"/>
  <c r="G146" i="3" s="1"/>
  <c r="F147" i="3"/>
  <c r="G147" i="3" s="1"/>
  <c r="F148" i="3"/>
  <c r="G148" i="3" s="1"/>
  <c r="F149" i="3"/>
  <c r="G149" i="3" s="1"/>
  <c r="F150" i="3"/>
  <c r="G150" i="3" s="1"/>
  <c r="F151" i="3"/>
  <c r="G151" i="3" s="1"/>
  <c r="F152" i="3"/>
  <c r="G152" i="3" s="1"/>
  <c r="F153" i="3"/>
  <c r="G153" i="3" s="1"/>
  <c r="F154" i="3"/>
  <c r="G154" i="3" s="1"/>
  <c r="F155" i="3"/>
  <c r="G155" i="3" s="1"/>
  <c r="F156" i="3"/>
  <c r="G156" i="3" s="1"/>
  <c r="F157" i="3"/>
  <c r="G157" i="3" s="1"/>
  <c r="F158" i="3"/>
  <c r="G158" i="3" s="1"/>
  <c r="F159" i="3"/>
  <c r="G159" i="3" s="1"/>
  <c r="F160" i="3"/>
  <c r="G160" i="3" s="1"/>
  <c r="F161" i="3"/>
  <c r="G161" i="3" s="1"/>
  <c r="F162" i="3"/>
  <c r="G162" i="3" s="1"/>
  <c r="F163" i="3"/>
  <c r="G163" i="3" s="1"/>
  <c r="F164" i="3"/>
  <c r="G164" i="3" s="1"/>
  <c r="F165" i="3"/>
  <c r="G165" i="3" s="1"/>
  <c r="F166" i="3"/>
  <c r="G166" i="3" s="1"/>
  <c r="F167" i="3"/>
  <c r="G167" i="3" s="1"/>
  <c r="F168" i="3"/>
  <c r="G168" i="3" s="1"/>
  <c r="F169" i="3"/>
  <c r="G169" i="3" s="1"/>
  <c r="F170" i="3"/>
  <c r="G170" i="3" s="1"/>
  <c r="F171" i="3"/>
  <c r="G171" i="3" s="1"/>
  <c r="F172" i="3"/>
  <c r="G172" i="3" s="1"/>
  <c r="F173" i="3"/>
  <c r="G173" i="3" s="1"/>
  <c r="F174" i="3"/>
  <c r="G174" i="3" s="1"/>
  <c r="F175" i="3"/>
  <c r="G175" i="3" s="1"/>
  <c r="F176" i="3"/>
  <c r="G176" i="3" s="1"/>
  <c r="F177" i="3"/>
  <c r="G177" i="3" s="1"/>
  <c r="F178" i="3"/>
  <c r="F179" i="3"/>
  <c r="G179" i="3" s="1"/>
  <c r="F180" i="3"/>
  <c r="G180" i="3" s="1"/>
  <c r="F181" i="3"/>
  <c r="G181" i="3" s="1"/>
  <c r="F182" i="3"/>
  <c r="G182" i="3" s="1"/>
  <c r="F183" i="3"/>
  <c r="G183" i="3" s="1"/>
  <c r="F184" i="3"/>
  <c r="G184" i="3" s="1"/>
  <c r="F185" i="3"/>
  <c r="G185" i="3" s="1"/>
  <c r="F186" i="3"/>
  <c r="G186" i="3" s="1"/>
  <c r="F187" i="3"/>
  <c r="G187" i="3" s="1"/>
  <c r="F188" i="3"/>
  <c r="G188" i="3" s="1"/>
  <c r="F189" i="3"/>
  <c r="G189" i="3" s="1"/>
  <c r="F190" i="3"/>
  <c r="G190" i="3" s="1"/>
  <c r="F191" i="3"/>
  <c r="G191" i="3" s="1"/>
  <c r="F192" i="3"/>
  <c r="G192" i="3" s="1"/>
  <c r="F193" i="3"/>
  <c r="G193" i="3" s="1"/>
  <c r="F194" i="3"/>
  <c r="G194" i="3" s="1"/>
  <c r="F195" i="3"/>
  <c r="G195" i="3" s="1"/>
  <c r="F196" i="3"/>
  <c r="G196" i="3" s="1"/>
  <c r="F197" i="3"/>
  <c r="G197" i="3" s="1"/>
  <c r="F198" i="3"/>
  <c r="G198" i="3" s="1"/>
  <c r="F199" i="3"/>
  <c r="G199" i="3" s="1"/>
  <c r="F200" i="3"/>
  <c r="G200" i="3" s="1"/>
  <c r="F201" i="3"/>
  <c r="G201" i="3" s="1"/>
  <c r="F202" i="3"/>
  <c r="G202" i="3" s="1"/>
  <c r="F203" i="3"/>
  <c r="G203" i="3" s="1"/>
  <c r="F204" i="3"/>
  <c r="G204" i="3" s="1"/>
  <c r="F205" i="3"/>
  <c r="G205" i="3" s="1"/>
  <c r="F206" i="3"/>
  <c r="G206" i="3" s="1"/>
  <c r="F207" i="3"/>
  <c r="G207" i="3" s="1"/>
  <c r="F208" i="3"/>
  <c r="G208" i="3" s="1"/>
  <c r="F209" i="3"/>
  <c r="G209" i="3" s="1"/>
  <c r="F210" i="3"/>
  <c r="G210" i="3" s="1"/>
  <c r="F211" i="3"/>
  <c r="G211" i="3" s="1"/>
  <c r="F212" i="3"/>
  <c r="G212" i="3" s="1"/>
  <c r="F213" i="3"/>
  <c r="G213" i="3" s="1"/>
  <c r="F214" i="3"/>
  <c r="G214" i="3" s="1"/>
  <c r="F215" i="3"/>
  <c r="G215" i="3" s="1"/>
  <c r="F216" i="3"/>
  <c r="G216" i="3" s="1"/>
  <c r="F217" i="3"/>
  <c r="G217" i="3" s="1"/>
  <c r="F218" i="3"/>
  <c r="G218" i="3" s="1"/>
  <c r="F219" i="3"/>
  <c r="G219" i="3" s="1"/>
  <c r="F220" i="3"/>
  <c r="G220" i="3" s="1"/>
  <c r="F221" i="3"/>
  <c r="G221" i="3" s="1"/>
  <c r="F222" i="3"/>
  <c r="G222" i="3" s="1"/>
  <c r="F223" i="3"/>
  <c r="G223" i="3" s="1"/>
  <c r="F224" i="3"/>
  <c r="G224" i="3" s="1"/>
  <c r="F225" i="3"/>
  <c r="G225" i="3" s="1"/>
  <c r="F226" i="3"/>
  <c r="G226" i="3" s="1"/>
  <c r="F227" i="3"/>
  <c r="G227" i="3" s="1"/>
  <c r="F228" i="3"/>
  <c r="G228" i="3" s="1"/>
  <c r="F229" i="3"/>
  <c r="G229" i="3" s="1"/>
  <c r="F230" i="3"/>
  <c r="G230" i="3" s="1"/>
  <c r="F231" i="3"/>
  <c r="G231" i="3" s="1"/>
  <c r="F232" i="3"/>
  <c r="G232" i="3" s="1"/>
  <c r="F233" i="3"/>
  <c r="G233" i="3" s="1"/>
  <c r="F234" i="3"/>
  <c r="G234" i="3" s="1"/>
  <c r="F235" i="3"/>
  <c r="G235" i="3" s="1"/>
  <c r="F236" i="3"/>
  <c r="G236" i="3" s="1"/>
  <c r="F237" i="3"/>
  <c r="G237" i="3" s="1"/>
  <c r="F238" i="3"/>
  <c r="G238" i="3" s="1"/>
  <c r="F239" i="3"/>
  <c r="G239" i="3" s="1"/>
  <c r="F240" i="3"/>
  <c r="G240" i="3" s="1"/>
  <c r="F241" i="3"/>
  <c r="G241" i="3" s="1"/>
  <c r="F242" i="3"/>
  <c r="G242" i="3" s="1"/>
  <c r="F243" i="3"/>
  <c r="G243" i="3" s="1"/>
  <c r="F244" i="3"/>
  <c r="G244" i="3" s="1"/>
  <c r="F245" i="3"/>
  <c r="G245" i="3" s="1"/>
  <c r="F246" i="3"/>
  <c r="G246" i="3" s="1"/>
  <c r="F247" i="3"/>
  <c r="G247" i="3" s="1"/>
  <c r="F248" i="3"/>
  <c r="G248" i="3" s="1"/>
  <c r="F249" i="3"/>
  <c r="G249" i="3" s="1"/>
  <c r="F250" i="3"/>
  <c r="G250" i="3" s="1"/>
  <c r="F251" i="3"/>
  <c r="G251" i="3" s="1"/>
  <c r="F252" i="3"/>
  <c r="G252" i="3" s="1"/>
  <c r="F253" i="3"/>
  <c r="G253" i="3" s="1"/>
  <c r="F254" i="3"/>
  <c r="G254" i="3" s="1"/>
  <c r="F255" i="3"/>
  <c r="G255" i="3" s="1"/>
  <c r="F256" i="3"/>
  <c r="G256" i="3" s="1"/>
  <c r="F257" i="3"/>
  <c r="G257" i="3" s="1"/>
  <c r="F258" i="3"/>
  <c r="G258" i="3" s="1"/>
  <c r="F259" i="3"/>
  <c r="G259" i="3" s="1"/>
  <c r="F260" i="3"/>
  <c r="G260" i="3" s="1"/>
  <c r="F5" i="3"/>
  <c r="G5" i="3" s="1"/>
  <c r="D6" i="3"/>
  <c r="M6" i="3" s="1"/>
  <c r="E6" i="3"/>
  <c r="N6" i="3" s="1"/>
  <c r="D7" i="3"/>
  <c r="M7" i="3" s="1"/>
  <c r="E7" i="3"/>
  <c r="N7" i="3" s="1"/>
  <c r="D8" i="3"/>
  <c r="E8" i="3"/>
  <c r="N8" i="3" s="1"/>
  <c r="D9" i="3"/>
  <c r="M9" i="3" s="1"/>
  <c r="E9" i="3"/>
  <c r="N9" i="3" s="1"/>
  <c r="D10" i="3"/>
  <c r="M10" i="3" s="1"/>
  <c r="E10" i="3"/>
  <c r="N10" i="3" s="1"/>
  <c r="D11" i="3"/>
  <c r="M11" i="3" s="1"/>
  <c r="E11" i="3"/>
  <c r="N11" i="3" s="1"/>
  <c r="D12" i="3"/>
  <c r="M12" i="3" s="1"/>
  <c r="E12" i="3"/>
  <c r="N12" i="3" s="1"/>
  <c r="D13" i="3"/>
  <c r="E13" i="3"/>
  <c r="N13" i="3" s="1"/>
  <c r="D14" i="3"/>
  <c r="M14" i="3" s="1"/>
  <c r="E14" i="3"/>
  <c r="N14" i="3" s="1"/>
  <c r="D15" i="3"/>
  <c r="M15" i="3" s="1"/>
  <c r="E15" i="3"/>
  <c r="N15" i="3" s="1"/>
  <c r="D16" i="3"/>
  <c r="E16" i="3"/>
  <c r="N16" i="3" s="1"/>
  <c r="D17" i="3"/>
  <c r="M17" i="3" s="1"/>
  <c r="E17" i="3"/>
  <c r="N17" i="3" s="1"/>
  <c r="D18" i="3"/>
  <c r="M18" i="3" s="1"/>
  <c r="E18" i="3"/>
  <c r="N18" i="3" s="1"/>
  <c r="D19" i="3"/>
  <c r="M19" i="3" s="1"/>
  <c r="E19" i="3"/>
  <c r="N19" i="3" s="1"/>
  <c r="D20" i="3"/>
  <c r="M20" i="3" s="1"/>
  <c r="E20" i="3"/>
  <c r="N20" i="3" s="1"/>
  <c r="D21" i="3"/>
  <c r="E21" i="3"/>
  <c r="N21" i="3" s="1"/>
  <c r="D22" i="3"/>
  <c r="M22" i="3" s="1"/>
  <c r="E22" i="3"/>
  <c r="N22" i="3" s="1"/>
  <c r="D23" i="3"/>
  <c r="E23" i="3"/>
  <c r="D24" i="3"/>
  <c r="E24" i="3"/>
  <c r="D25" i="3"/>
  <c r="E25" i="3"/>
  <c r="D26" i="3"/>
  <c r="E26" i="3"/>
  <c r="D27" i="3"/>
  <c r="E27" i="3"/>
  <c r="D28" i="3"/>
  <c r="E28" i="3"/>
  <c r="D29" i="3"/>
  <c r="E29" i="3"/>
  <c r="D30" i="3"/>
  <c r="E30" i="3"/>
  <c r="D31" i="3"/>
  <c r="E31" i="3"/>
  <c r="D32" i="3"/>
  <c r="E32" i="3"/>
  <c r="D33" i="3"/>
  <c r="E33" i="3"/>
  <c r="D34" i="3"/>
  <c r="E34" i="3"/>
  <c r="D35" i="3"/>
  <c r="E35" i="3"/>
  <c r="D36" i="3"/>
  <c r="E36" i="3"/>
  <c r="D37" i="3"/>
  <c r="E37" i="3"/>
  <c r="D38" i="3"/>
  <c r="E38" i="3"/>
  <c r="D39" i="3"/>
  <c r="E39" i="3"/>
  <c r="D40" i="3"/>
  <c r="E40" i="3"/>
  <c r="D41" i="3"/>
  <c r="E41" i="3"/>
  <c r="D42" i="3"/>
  <c r="E42" i="3"/>
  <c r="D43" i="3"/>
  <c r="E43" i="3"/>
  <c r="D44" i="3"/>
  <c r="E44" i="3"/>
  <c r="D45" i="3"/>
  <c r="E45" i="3"/>
  <c r="D46" i="3"/>
  <c r="E46" i="3"/>
  <c r="D47" i="3"/>
  <c r="E47" i="3"/>
  <c r="D48" i="3"/>
  <c r="E48" i="3"/>
  <c r="D49" i="3"/>
  <c r="E49" i="3"/>
  <c r="D50" i="3"/>
  <c r="E50" i="3"/>
  <c r="D51" i="3"/>
  <c r="E51" i="3"/>
  <c r="D52" i="3"/>
  <c r="E52" i="3"/>
  <c r="D53" i="3"/>
  <c r="E53" i="3"/>
  <c r="D54" i="3"/>
  <c r="E54" i="3"/>
  <c r="D55" i="3"/>
  <c r="E55" i="3"/>
  <c r="D56" i="3"/>
  <c r="E56" i="3"/>
  <c r="D57" i="3"/>
  <c r="E57" i="3"/>
  <c r="D58" i="3"/>
  <c r="E58" i="3"/>
  <c r="D59" i="3"/>
  <c r="E59" i="3"/>
  <c r="D60" i="3"/>
  <c r="E60" i="3"/>
  <c r="D61" i="3"/>
  <c r="E61" i="3"/>
  <c r="D62" i="3"/>
  <c r="E62" i="3"/>
  <c r="D63" i="3"/>
  <c r="E63" i="3"/>
  <c r="D64" i="3"/>
  <c r="E64" i="3"/>
  <c r="D65" i="3"/>
  <c r="E65" i="3"/>
  <c r="D66" i="3"/>
  <c r="E66" i="3"/>
  <c r="D67" i="3"/>
  <c r="E67" i="3"/>
  <c r="D68" i="3"/>
  <c r="E68" i="3"/>
  <c r="D69" i="3"/>
  <c r="E69" i="3"/>
  <c r="D70" i="3"/>
  <c r="E70" i="3"/>
  <c r="D71" i="3"/>
  <c r="E71" i="3"/>
  <c r="D72" i="3"/>
  <c r="E72" i="3"/>
  <c r="D73" i="3"/>
  <c r="E73" i="3"/>
  <c r="D74" i="3"/>
  <c r="E74" i="3"/>
  <c r="D75" i="3"/>
  <c r="E75" i="3"/>
  <c r="D76" i="3"/>
  <c r="E76" i="3"/>
  <c r="D77" i="3"/>
  <c r="E77" i="3"/>
  <c r="D78" i="3"/>
  <c r="E78" i="3"/>
  <c r="D79" i="3"/>
  <c r="E79" i="3"/>
  <c r="D80" i="3"/>
  <c r="E80" i="3"/>
  <c r="D81" i="3"/>
  <c r="E81" i="3"/>
  <c r="D82" i="3"/>
  <c r="E82" i="3"/>
  <c r="D83" i="3"/>
  <c r="E83" i="3"/>
  <c r="D84" i="3"/>
  <c r="E84" i="3"/>
  <c r="D85" i="3"/>
  <c r="E85" i="3"/>
  <c r="D86" i="3"/>
  <c r="E86" i="3"/>
  <c r="D87" i="3"/>
  <c r="E87" i="3"/>
  <c r="D88" i="3"/>
  <c r="E88" i="3"/>
  <c r="D89" i="3"/>
  <c r="E89" i="3"/>
  <c r="D90" i="3"/>
  <c r="E90" i="3"/>
  <c r="D91" i="3"/>
  <c r="E91" i="3"/>
  <c r="D92" i="3"/>
  <c r="E92" i="3"/>
  <c r="D93" i="3"/>
  <c r="E93" i="3"/>
  <c r="D94" i="3"/>
  <c r="E94" i="3"/>
  <c r="D95" i="3"/>
  <c r="E95" i="3"/>
  <c r="D96" i="3"/>
  <c r="E96" i="3"/>
  <c r="D97" i="3"/>
  <c r="E97" i="3"/>
  <c r="D98" i="3"/>
  <c r="E98" i="3"/>
  <c r="D99" i="3"/>
  <c r="E99" i="3"/>
  <c r="D100" i="3"/>
  <c r="E100" i="3"/>
  <c r="D101" i="3"/>
  <c r="E101" i="3"/>
  <c r="D102" i="3"/>
  <c r="E102" i="3"/>
  <c r="D103" i="3"/>
  <c r="E103" i="3"/>
  <c r="D104" i="3"/>
  <c r="E104" i="3"/>
  <c r="D105" i="3"/>
  <c r="E105" i="3"/>
  <c r="D106" i="3"/>
  <c r="E106" i="3"/>
  <c r="D107" i="3"/>
  <c r="E107" i="3"/>
  <c r="D108" i="3"/>
  <c r="E108" i="3"/>
  <c r="D109" i="3"/>
  <c r="E109" i="3"/>
  <c r="D110" i="3"/>
  <c r="E110" i="3"/>
  <c r="D111" i="3"/>
  <c r="E111" i="3"/>
  <c r="D112" i="3"/>
  <c r="E112" i="3"/>
  <c r="D113" i="3"/>
  <c r="E113" i="3"/>
  <c r="D114" i="3"/>
  <c r="E114" i="3"/>
  <c r="D115" i="3"/>
  <c r="E115" i="3"/>
  <c r="D116" i="3"/>
  <c r="E116" i="3"/>
  <c r="D117" i="3"/>
  <c r="E117" i="3"/>
  <c r="I117" i="3" s="1"/>
  <c r="D118" i="3"/>
  <c r="E118" i="3"/>
  <c r="D119" i="3"/>
  <c r="E119" i="3"/>
  <c r="D120" i="3"/>
  <c r="E120" i="3"/>
  <c r="D121" i="3"/>
  <c r="E121" i="3"/>
  <c r="D122" i="3"/>
  <c r="E122" i="3"/>
  <c r="D123" i="3"/>
  <c r="E123" i="3"/>
  <c r="D124" i="3"/>
  <c r="E124" i="3"/>
  <c r="D125" i="3"/>
  <c r="E125" i="3"/>
  <c r="D126" i="3"/>
  <c r="E126" i="3"/>
  <c r="D127" i="3"/>
  <c r="E127" i="3"/>
  <c r="D128" i="3"/>
  <c r="E128" i="3"/>
  <c r="D129" i="3"/>
  <c r="E129" i="3"/>
  <c r="D130" i="3"/>
  <c r="E130" i="3"/>
  <c r="D131" i="3"/>
  <c r="E131" i="3"/>
  <c r="D132" i="3"/>
  <c r="E132" i="3"/>
  <c r="D133" i="3"/>
  <c r="E133" i="3"/>
  <c r="D134" i="3"/>
  <c r="E134" i="3"/>
  <c r="D135" i="3"/>
  <c r="E135" i="3"/>
  <c r="D136" i="3"/>
  <c r="E136" i="3"/>
  <c r="D137" i="3"/>
  <c r="E137" i="3"/>
  <c r="D138" i="3"/>
  <c r="E138" i="3"/>
  <c r="D139" i="3"/>
  <c r="E139" i="3"/>
  <c r="D140" i="3"/>
  <c r="E140" i="3"/>
  <c r="D141" i="3"/>
  <c r="E141" i="3"/>
  <c r="D142" i="3"/>
  <c r="E142" i="3"/>
  <c r="D143" i="3"/>
  <c r="E143" i="3"/>
  <c r="D144" i="3"/>
  <c r="E144" i="3"/>
  <c r="D145" i="3"/>
  <c r="E145" i="3"/>
  <c r="D146" i="3"/>
  <c r="E146" i="3"/>
  <c r="D147" i="3"/>
  <c r="E147" i="3"/>
  <c r="D148" i="3"/>
  <c r="E148" i="3"/>
  <c r="D149" i="3"/>
  <c r="E149" i="3"/>
  <c r="D150" i="3"/>
  <c r="E150" i="3"/>
  <c r="D151" i="3"/>
  <c r="E151" i="3"/>
  <c r="D152" i="3"/>
  <c r="E152" i="3"/>
  <c r="D153" i="3"/>
  <c r="E153" i="3"/>
  <c r="D154" i="3"/>
  <c r="E154" i="3"/>
  <c r="D155" i="3"/>
  <c r="E155" i="3"/>
  <c r="D156" i="3"/>
  <c r="E156" i="3"/>
  <c r="D157" i="3"/>
  <c r="E157" i="3"/>
  <c r="D158" i="3"/>
  <c r="E158" i="3"/>
  <c r="D159" i="3"/>
  <c r="E159" i="3"/>
  <c r="D160" i="3"/>
  <c r="E160" i="3"/>
  <c r="D161" i="3"/>
  <c r="E161" i="3"/>
  <c r="D162" i="3"/>
  <c r="E162" i="3"/>
  <c r="D163" i="3"/>
  <c r="E163" i="3"/>
  <c r="D164" i="3"/>
  <c r="E164" i="3"/>
  <c r="D165" i="3"/>
  <c r="E165" i="3"/>
  <c r="I165" i="3" s="1"/>
  <c r="D166" i="3"/>
  <c r="E166" i="3"/>
  <c r="D167" i="3"/>
  <c r="E167" i="3"/>
  <c r="D168" i="3"/>
  <c r="E168" i="3"/>
  <c r="D169" i="3"/>
  <c r="E169" i="3"/>
  <c r="D170" i="3"/>
  <c r="E170" i="3"/>
  <c r="D171" i="3"/>
  <c r="E171" i="3"/>
  <c r="D172" i="3"/>
  <c r="E172" i="3"/>
  <c r="D173" i="3"/>
  <c r="E173" i="3"/>
  <c r="I173" i="3" s="1"/>
  <c r="D174" i="3"/>
  <c r="E174" i="3"/>
  <c r="D175" i="3"/>
  <c r="E175" i="3"/>
  <c r="D176" i="3"/>
  <c r="E176" i="3"/>
  <c r="D177" i="3"/>
  <c r="E177" i="3"/>
  <c r="D178" i="3"/>
  <c r="E178" i="3"/>
  <c r="D179" i="3"/>
  <c r="E179" i="3"/>
  <c r="D180" i="3"/>
  <c r="E180" i="3"/>
  <c r="D181" i="3"/>
  <c r="E181" i="3"/>
  <c r="D182" i="3"/>
  <c r="E182" i="3"/>
  <c r="D183" i="3"/>
  <c r="E183" i="3"/>
  <c r="D184" i="3"/>
  <c r="E184" i="3"/>
  <c r="D185" i="3"/>
  <c r="E185" i="3"/>
  <c r="D186" i="3"/>
  <c r="E186" i="3"/>
  <c r="D187" i="3"/>
  <c r="E187" i="3"/>
  <c r="D188" i="3"/>
  <c r="E188" i="3"/>
  <c r="D189" i="3"/>
  <c r="E189" i="3"/>
  <c r="I189" i="3" s="1"/>
  <c r="D190" i="3"/>
  <c r="E190" i="3"/>
  <c r="D191" i="3"/>
  <c r="E191" i="3"/>
  <c r="D192" i="3"/>
  <c r="E192" i="3"/>
  <c r="D193" i="3"/>
  <c r="E193" i="3"/>
  <c r="D194" i="3"/>
  <c r="E194" i="3"/>
  <c r="D195" i="3"/>
  <c r="E195" i="3"/>
  <c r="D196" i="3"/>
  <c r="E196" i="3"/>
  <c r="D197" i="3"/>
  <c r="E197" i="3"/>
  <c r="D198" i="3"/>
  <c r="E198" i="3"/>
  <c r="D199" i="3"/>
  <c r="E199" i="3"/>
  <c r="D200" i="3"/>
  <c r="E200" i="3"/>
  <c r="D201" i="3"/>
  <c r="E201" i="3"/>
  <c r="D202" i="3"/>
  <c r="E202" i="3"/>
  <c r="D203" i="3"/>
  <c r="E203" i="3"/>
  <c r="D204" i="3"/>
  <c r="E204" i="3"/>
  <c r="D205" i="3"/>
  <c r="E205" i="3"/>
  <c r="D206" i="3"/>
  <c r="E206" i="3"/>
  <c r="D207" i="3"/>
  <c r="E207" i="3"/>
  <c r="D208" i="3"/>
  <c r="E208" i="3"/>
  <c r="D209" i="3"/>
  <c r="E209" i="3"/>
  <c r="D210" i="3"/>
  <c r="E210" i="3"/>
  <c r="D211" i="3"/>
  <c r="E211" i="3"/>
  <c r="D212" i="3"/>
  <c r="E212" i="3"/>
  <c r="D213" i="3"/>
  <c r="E213" i="3"/>
  <c r="D214" i="3"/>
  <c r="E214" i="3"/>
  <c r="D215" i="3"/>
  <c r="E215" i="3"/>
  <c r="D216" i="3"/>
  <c r="E216" i="3"/>
  <c r="D217" i="3"/>
  <c r="E217" i="3"/>
  <c r="D218" i="3"/>
  <c r="E218" i="3"/>
  <c r="D219" i="3"/>
  <c r="E219" i="3"/>
  <c r="D220" i="3"/>
  <c r="E220" i="3"/>
  <c r="D221" i="3"/>
  <c r="E221" i="3"/>
  <c r="D222" i="3"/>
  <c r="E222" i="3"/>
  <c r="D223" i="3"/>
  <c r="E223" i="3"/>
  <c r="D224" i="3"/>
  <c r="E224" i="3"/>
  <c r="D225" i="3"/>
  <c r="E225" i="3"/>
  <c r="D226" i="3"/>
  <c r="E226" i="3"/>
  <c r="D227" i="3"/>
  <c r="E227" i="3"/>
  <c r="D228" i="3"/>
  <c r="E228" i="3"/>
  <c r="D229" i="3"/>
  <c r="E229" i="3"/>
  <c r="D230" i="3"/>
  <c r="E230" i="3"/>
  <c r="D231" i="3"/>
  <c r="E231" i="3"/>
  <c r="D232" i="3"/>
  <c r="E232" i="3"/>
  <c r="D233" i="3"/>
  <c r="E233" i="3"/>
  <c r="D234" i="3"/>
  <c r="E234" i="3"/>
  <c r="D235" i="3"/>
  <c r="E235" i="3"/>
  <c r="D236" i="3"/>
  <c r="E236" i="3"/>
  <c r="D237" i="3"/>
  <c r="E237" i="3"/>
  <c r="D238" i="3"/>
  <c r="E238" i="3"/>
  <c r="D239" i="3"/>
  <c r="E239" i="3"/>
  <c r="D240" i="3"/>
  <c r="E240" i="3"/>
  <c r="D241" i="3"/>
  <c r="E241" i="3"/>
  <c r="D242" i="3"/>
  <c r="E242" i="3"/>
  <c r="D243" i="3"/>
  <c r="E243" i="3"/>
  <c r="D244" i="3"/>
  <c r="E244" i="3"/>
  <c r="D245" i="3"/>
  <c r="E245" i="3"/>
  <c r="I245" i="3" s="1"/>
  <c r="D246" i="3"/>
  <c r="E246" i="3"/>
  <c r="D247" i="3"/>
  <c r="E247" i="3"/>
  <c r="D248" i="3"/>
  <c r="E248" i="3"/>
  <c r="D249" i="3"/>
  <c r="E249" i="3"/>
  <c r="D250" i="3"/>
  <c r="E250" i="3"/>
  <c r="D251" i="3"/>
  <c r="E251" i="3"/>
  <c r="D252" i="3"/>
  <c r="E252" i="3"/>
  <c r="D253" i="3"/>
  <c r="E253" i="3"/>
  <c r="D254" i="3"/>
  <c r="E254" i="3"/>
  <c r="D255" i="3"/>
  <c r="E255" i="3"/>
  <c r="D256" i="3"/>
  <c r="E256" i="3"/>
  <c r="D257" i="3"/>
  <c r="E257" i="3"/>
  <c r="D258" i="3"/>
  <c r="E258" i="3"/>
  <c r="D259" i="3"/>
  <c r="E259" i="3"/>
  <c r="D260" i="3"/>
  <c r="E260" i="3"/>
  <c r="E5" i="3"/>
  <c r="N5" i="3" s="1"/>
  <c r="D5" i="3"/>
  <c r="M5" i="3" s="1"/>
  <c r="H253" i="3" l="1"/>
  <c r="H245" i="3"/>
  <c r="H237" i="3"/>
  <c r="H229" i="3"/>
  <c r="H221" i="3"/>
  <c r="H213" i="3"/>
  <c r="H205" i="3"/>
  <c r="H197" i="3"/>
  <c r="H189" i="3"/>
  <c r="H181" i="3"/>
  <c r="H173" i="3"/>
  <c r="H165" i="3"/>
  <c r="H157" i="3"/>
  <c r="H149" i="3"/>
  <c r="H141" i="3"/>
  <c r="H133" i="3"/>
  <c r="H125" i="3"/>
  <c r="H109" i="3"/>
  <c r="H85" i="3"/>
  <c r="H77" i="3"/>
  <c r="H69" i="3"/>
  <c r="H61" i="3"/>
  <c r="H53" i="3"/>
  <c r="H37" i="3"/>
  <c r="H29" i="3"/>
  <c r="H21" i="3"/>
  <c r="H13" i="3"/>
  <c r="I260" i="3"/>
  <c r="I252" i="3"/>
  <c r="I244" i="3"/>
  <c r="I236" i="3"/>
  <c r="I228" i="3"/>
  <c r="I220" i="3"/>
  <c r="I212" i="3"/>
  <c r="I204" i="3"/>
  <c r="I196" i="3"/>
  <c r="I188" i="3"/>
  <c r="I180" i="3"/>
  <c r="I172" i="3"/>
  <c r="I164" i="3"/>
  <c r="I156" i="3"/>
  <c r="I148" i="3"/>
  <c r="I219" i="3"/>
  <c r="H259" i="3"/>
  <c r="H155" i="3"/>
  <c r="H131" i="3"/>
  <c r="H123" i="3"/>
  <c r="H115" i="3"/>
  <c r="H99" i="3"/>
  <c r="H260" i="3"/>
  <c r="I140" i="3"/>
  <c r="I251" i="3"/>
  <c r="I227" i="3"/>
  <c r="I203" i="3"/>
  <c r="I83" i="3"/>
  <c r="H243" i="3"/>
  <c r="H227" i="3"/>
  <c r="H211" i="3"/>
  <c r="H195" i="3"/>
  <c r="H179" i="3"/>
  <c r="H163" i="3"/>
  <c r="H139" i="3"/>
  <c r="H107" i="3"/>
  <c r="I132" i="3"/>
  <c r="I259" i="3"/>
  <c r="I243" i="3"/>
  <c r="I235" i="3"/>
  <c r="I211" i="3"/>
  <c r="I155" i="3"/>
  <c r="H251" i="3"/>
  <c r="H235" i="3"/>
  <c r="H219" i="3"/>
  <c r="H203" i="3"/>
  <c r="H187" i="3"/>
  <c r="H171" i="3"/>
  <c r="H147" i="3"/>
  <c r="H91" i="3"/>
  <c r="H83" i="3"/>
  <c r="H75" i="3"/>
  <c r="H67" i="3"/>
  <c r="H59" i="3"/>
  <c r="H51" i="3"/>
  <c r="H35" i="3"/>
  <c r="I106" i="3"/>
  <c r="I145" i="3"/>
  <c r="I192" i="3"/>
  <c r="I184" i="3"/>
  <c r="H256" i="3"/>
  <c r="H248" i="3"/>
  <c r="H240" i="3"/>
  <c r="H232" i="3"/>
  <c r="H224" i="3"/>
  <c r="H216" i="3"/>
  <c r="H208" i="3"/>
  <c r="H200" i="3"/>
  <c r="H192" i="3"/>
  <c r="H184" i="3"/>
  <c r="H176" i="3"/>
  <c r="H168" i="3"/>
  <c r="H160" i="3"/>
  <c r="H152" i="3"/>
  <c r="H144" i="3"/>
  <c r="H136" i="3"/>
  <c r="H128" i="3"/>
  <c r="H120" i="3"/>
  <c r="H112" i="3"/>
  <c r="H104" i="3"/>
  <c r="H96" i="3"/>
  <c r="H88" i="3"/>
  <c r="H80" i="3"/>
  <c r="H72" i="3"/>
  <c r="H64" i="3"/>
  <c r="H56" i="3"/>
  <c r="H48" i="3"/>
  <c r="H40" i="3"/>
  <c r="H32" i="3"/>
  <c r="H24" i="3"/>
  <c r="H16" i="3"/>
  <c r="H8" i="3"/>
  <c r="I255" i="3"/>
  <c r="I247" i="3"/>
  <c r="I239" i="3"/>
  <c r="I231" i="3"/>
  <c r="I223" i="3"/>
  <c r="I215" i="3"/>
  <c r="I207" i="3"/>
  <c r="I199" i="3"/>
  <c r="I191" i="3"/>
  <c r="I183" i="3"/>
  <c r="I175" i="3"/>
  <c r="I167" i="3"/>
  <c r="H255" i="3"/>
  <c r="H247" i="3"/>
  <c r="H239" i="3"/>
  <c r="H231" i="3"/>
  <c r="H223" i="3"/>
  <c r="H215" i="3"/>
  <c r="H207" i="3"/>
  <c r="H199" i="3"/>
  <c r="H191" i="3"/>
  <c r="H183" i="3"/>
  <c r="H175" i="3"/>
  <c r="H135" i="3"/>
  <c r="H252" i="3"/>
  <c r="H244" i="3"/>
  <c r="H236" i="3"/>
  <c r="H228" i="3"/>
  <c r="H220" i="3"/>
  <c r="H212" i="3"/>
  <c r="H204" i="3"/>
  <c r="H196" i="3"/>
  <c r="H188" i="3"/>
  <c r="H180" i="3"/>
  <c r="H172" i="3"/>
  <c r="H164" i="3"/>
  <c r="H156" i="3"/>
  <c r="H148" i="3"/>
  <c r="H140" i="3"/>
  <c r="H132" i="3"/>
  <c r="H124" i="3"/>
  <c r="H116" i="3"/>
  <c r="H108" i="3"/>
  <c r="H92" i="3"/>
  <c r="H84" i="3"/>
  <c r="H76" i="3"/>
  <c r="H68" i="3"/>
  <c r="H52" i="3"/>
  <c r="H36" i="3"/>
  <c r="N3" i="3"/>
  <c r="M16" i="3"/>
  <c r="M13" i="3"/>
  <c r="M8" i="3"/>
  <c r="M21" i="3"/>
  <c r="I5" i="3"/>
  <c r="E3" i="3"/>
  <c r="H46" i="3"/>
  <c r="I101" i="3"/>
  <c r="I120" i="3"/>
  <c r="H174" i="3"/>
  <c r="I11" i="3"/>
  <c r="I29" i="3"/>
  <c r="I48" i="3"/>
  <c r="I67" i="3"/>
  <c r="H102" i="3"/>
  <c r="H230" i="3"/>
  <c r="H30" i="3"/>
  <c r="I85" i="3"/>
  <c r="I104" i="3"/>
  <c r="I123" i="3"/>
  <c r="H158" i="3"/>
  <c r="I13" i="3"/>
  <c r="I32" i="3"/>
  <c r="I51" i="3"/>
  <c r="H86" i="3"/>
  <c r="H214" i="3"/>
  <c r="H14" i="3"/>
  <c r="I69" i="3"/>
  <c r="I88" i="3"/>
  <c r="I107" i="3"/>
  <c r="H142" i="3"/>
  <c r="I16" i="3"/>
  <c r="I35" i="3"/>
  <c r="H70" i="3"/>
  <c r="H198" i="3"/>
  <c r="I53" i="3"/>
  <c r="I72" i="3"/>
  <c r="I91" i="3"/>
  <c r="H126" i="3"/>
  <c r="H254" i="3"/>
  <c r="I19" i="3"/>
  <c r="H54" i="3"/>
  <c r="I109" i="3"/>
  <c r="H182" i="3"/>
  <c r="H38" i="3"/>
  <c r="I93" i="3"/>
  <c r="I112" i="3"/>
  <c r="I131" i="3"/>
  <c r="H166" i="3"/>
  <c r="I21" i="3"/>
  <c r="I40" i="3"/>
  <c r="I59" i="3"/>
  <c r="H94" i="3"/>
  <c r="H222" i="3"/>
  <c r="H22" i="3"/>
  <c r="H43" i="3"/>
  <c r="H60" i="3"/>
  <c r="I77" i="3"/>
  <c r="I96" i="3"/>
  <c r="I115" i="3"/>
  <c r="H150" i="3"/>
  <c r="I24" i="3"/>
  <c r="I43" i="3"/>
  <c r="H78" i="3"/>
  <c r="H206" i="3"/>
  <c r="H20" i="3"/>
  <c r="H93" i="3"/>
  <c r="H238" i="3"/>
  <c r="H27" i="3"/>
  <c r="I99" i="3"/>
  <c r="I27" i="3"/>
  <c r="H100" i="3"/>
  <c r="H28" i="3"/>
  <c r="H101" i="3"/>
  <c r="H246" i="3"/>
  <c r="I37" i="3"/>
  <c r="H110" i="3"/>
  <c r="H44" i="3"/>
  <c r="H117" i="3"/>
  <c r="H45" i="3"/>
  <c r="H190" i="3"/>
  <c r="I61" i="3"/>
  <c r="H134" i="3"/>
  <c r="I208" i="3"/>
  <c r="H62" i="3"/>
  <c r="I64" i="3"/>
  <c r="I45" i="3"/>
  <c r="H118" i="3"/>
  <c r="I56" i="3"/>
  <c r="I136" i="3"/>
  <c r="I75" i="3"/>
  <c r="I80" i="3"/>
  <c r="I195" i="3"/>
  <c r="I187" i="3"/>
  <c r="I179" i="3"/>
  <c r="I171" i="3"/>
  <c r="I163" i="3"/>
  <c r="I147" i="3"/>
  <c r="I139" i="3"/>
  <c r="I137" i="3"/>
  <c r="I129" i="3"/>
  <c r="H257" i="3"/>
  <c r="H249" i="3"/>
  <c r="H241" i="3"/>
  <c r="H233" i="3"/>
  <c r="H225" i="3"/>
  <c r="H217" i="3"/>
  <c r="H209" i="3"/>
  <c r="H201" i="3"/>
  <c r="H193" i="3"/>
  <c r="H185" i="3"/>
  <c r="H177" i="3"/>
  <c r="H169" i="3"/>
  <c r="H161" i="3"/>
  <c r="H153" i="3"/>
  <c r="H145" i="3"/>
  <c r="H137" i="3"/>
  <c r="H129" i="3"/>
  <c r="H121" i="3"/>
  <c r="H113" i="3"/>
  <c r="H105" i="3"/>
  <c r="H97" i="3"/>
  <c r="H89" i="3"/>
  <c r="H81" i="3"/>
  <c r="H73" i="3"/>
  <c r="H65" i="3"/>
  <c r="H57" i="3"/>
  <c r="H49" i="3"/>
  <c r="H41" i="3"/>
  <c r="H33" i="3"/>
  <c r="H25" i="3"/>
  <c r="H17" i="3"/>
  <c r="H9" i="3"/>
  <c r="H19" i="3"/>
  <c r="H11" i="3"/>
  <c r="I258" i="3"/>
  <c r="I250" i="3"/>
  <c r="I242" i="3"/>
  <c r="I234" i="3"/>
  <c r="I226" i="3"/>
  <c r="I218" i="3"/>
  <c r="I210" i="3"/>
  <c r="I202" i="3"/>
  <c r="I194" i="3"/>
  <c r="I186" i="3"/>
  <c r="I178" i="3"/>
  <c r="I170" i="3"/>
  <c r="I162" i="3"/>
  <c r="I154" i="3"/>
  <c r="I146" i="3"/>
  <c r="I138" i="3"/>
  <c r="I130" i="3"/>
  <c r="I122" i="3"/>
  <c r="I114" i="3"/>
  <c r="I98" i="3"/>
  <c r="H258" i="3"/>
  <c r="H250" i="3"/>
  <c r="H242" i="3"/>
  <c r="H234" i="3"/>
  <c r="H226" i="3"/>
  <c r="H218" i="3"/>
  <c r="H210" i="3"/>
  <c r="H202" i="3"/>
  <c r="H194" i="3"/>
  <c r="H186" i="3"/>
  <c r="H178" i="3"/>
  <c r="H170" i="3"/>
  <c r="H162" i="3"/>
  <c r="H154" i="3"/>
  <c r="H146" i="3"/>
  <c r="H138" i="3"/>
  <c r="H130" i="3"/>
  <c r="H122" i="3"/>
  <c r="H114" i="3"/>
  <c r="H106" i="3"/>
  <c r="H98" i="3"/>
  <c r="H90" i="3"/>
  <c r="H82" i="3"/>
  <c r="I257" i="3"/>
  <c r="I249" i="3"/>
  <c r="I241" i="3"/>
  <c r="I233" i="3"/>
  <c r="I225" i="3"/>
  <c r="I217" i="3"/>
  <c r="I209" i="3"/>
  <c r="I201" i="3"/>
  <c r="I193" i="3"/>
  <c r="I185" i="3"/>
  <c r="I177" i="3"/>
  <c r="I169" i="3"/>
  <c r="I161" i="3"/>
  <c r="I153" i="3"/>
  <c r="I256" i="3"/>
  <c r="I248" i="3"/>
  <c r="I240" i="3"/>
  <c r="I232" i="3"/>
  <c r="I224" i="3"/>
  <c r="I216" i="3"/>
  <c r="I200" i="3"/>
  <c r="I176" i="3"/>
  <c r="I168" i="3"/>
  <c r="I160" i="3"/>
  <c r="I152" i="3"/>
  <c r="I144" i="3"/>
  <c r="I128" i="3"/>
  <c r="I8" i="3"/>
  <c r="I159" i="3"/>
  <c r="I151" i="3"/>
  <c r="I143" i="3"/>
  <c r="I135" i="3"/>
  <c r="I127" i="3"/>
  <c r="H127" i="3"/>
  <c r="H119" i="3"/>
  <c r="H111" i="3"/>
  <c r="H103" i="3"/>
  <c r="H95" i="3"/>
  <c r="H87" i="3"/>
  <c r="H79" i="3"/>
  <c r="H71" i="3"/>
  <c r="H63" i="3"/>
  <c r="H55" i="3"/>
  <c r="H39" i="3"/>
  <c r="H167" i="3"/>
  <c r="H159" i="3"/>
  <c r="H151" i="3"/>
  <c r="H47" i="3"/>
  <c r="I246" i="3"/>
  <c r="H143" i="3"/>
  <c r="H31" i="3"/>
  <c r="D3" i="3"/>
  <c r="H5" i="3"/>
  <c r="I253" i="3"/>
  <c r="I237" i="3"/>
  <c r="I229" i="3"/>
  <c r="I221" i="3"/>
  <c r="I213" i="3"/>
  <c r="I205" i="3"/>
  <c r="I197" i="3"/>
  <c r="I181" i="3"/>
  <c r="I157" i="3"/>
  <c r="I149" i="3"/>
  <c r="I141" i="3"/>
  <c r="I133" i="3"/>
  <c r="I125" i="3"/>
  <c r="I119" i="3"/>
  <c r="I111" i="3"/>
  <c r="I103" i="3"/>
  <c r="I95" i="3"/>
  <c r="I87" i="3"/>
  <c r="I79" i="3"/>
  <c r="I71" i="3"/>
  <c r="I63" i="3"/>
  <c r="I55" i="3"/>
  <c r="I47" i="3"/>
  <c r="I39" i="3"/>
  <c r="I31" i="3"/>
  <c r="I23" i="3"/>
  <c r="I15" i="3"/>
  <c r="I7" i="3"/>
  <c r="I230" i="3"/>
  <c r="H23" i="3"/>
  <c r="H15" i="3"/>
  <c r="H7" i="3"/>
  <c r="I254" i="3"/>
  <c r="I238" i="3"/>
  <c r="I222" i="3"/>
  <c r="I214" i="3"/>
  <c r="I206" i="3"/>
  <c r="I198" i="3"/>
  <c r="I190" i="3"/>
  <c r="I182" i="3"/>
  <c r="I174" i="3"/>
  <c r="I166" i="3"/>
  <c r="I158" i="3"/>
  <c r="I150" i="3"/>
  <c r="I142" i="3"/>
  <c r="I134" i="3"/>
  <c r="I126" i="3"/>
  <c r="I118" i="3"/>
  <c r="I110" i="3"/>
  <c r="I102" i="3"/>
  <c r="I94" i="3"/>
  <c r="I86" i="3"/>
  <c r="I78" i="3"/>
  <c r="I70" i="3"/>
  <c r="I62" i="3"/>
  <c r="I54" i="3"/>
  <c r="I46" i="3"/>
  <c r="I38" i="3"/>
  <c r="I30" i="3"/>
  <c r="I22" i="3"/>
  <c r="I14" i="3"/>
  <c r="I6" i="3"/>
  <c r="H6" i="3"/>
  <c r="I124" i="3"/>
  <c r="I116" i="3"/>
  <c r="I108" i="3"/>
  <c r="I100" i="3"/>
  <c r="I92" i="3"/>
  <c r="I84" i="3"/>
  <c r="I76" i="3"/>
  <c r="I68" i="3"/>
  <c r="I60" i="3"/>
  <c r="I52" i="3"/>
  <c r="I44" i="3"/>
  <c r="I36" i="3"/>
  <c r="I28" i="3"/>
  <c r="I20" i="3"/>
  <c r="I12" i="3"/>
  <c r="H12" i="3"/>
  <c r="I90" i="3"/>
  <c r="I82" i="3"/>
  <c r="I74" i="3"/>
  <c r="I66" i="3"/>
  <c r="I58" i="3"/>
  <c r="I50" i="3"/>
  <c r="I42" i="3"/>
  <c r="I34" i="3"/>
  <c r="I26" i="3"/>
  <c r="I18" i="3"/>
  <c r="I10" i="3"/>
  <c r="H74" i="3"/>
  <c r="H66" i="3"/>
  <c r="H58" i="3"/>
  <c r="H50" i="3"/>
  <c r="H42" i="3"/>
  <c r="H34" i="3"/>
  <c r="H26" i="3"/>
  <c r="H18" i="3"/>
  <c r="H10" i="3"/>
  <c r="I121" i="3"/>
  <c r="I113" i="3"/>
  <c r="I105" i="3"/>
  <c r="I97" i="3"/>
  <c r="I89" i="3"/>
  <c r="I81" i="3"/>
  <c r="I73" i="3"/>
  <c r="I65" i="3"/>
  <c r="I57" i="3"/>
  <c r="I49" i="3"/>
  <c r="I41" i="3"/>
  <c r="I33" i="3"/>
  <c r="I25" i="3"/>
  <c r="I17" i="3"/>
  <c r="I9" i="3"/>
  <c r="M3" i="3" l="1"/>
</calcChain>
</file>

<file path=xl/sharedStrings.xml><?xml version="1.0" encoding="utf-8"?>
<sst xmlns="http://schemas.openxmlformats.org/spreadsheetml/2006/main" count="3227" uniqueCount="450">
  <si>
    <t>ID_CLIENTE</t>
  </si>
  <si>
    <t>FECHA_ALTA</t>
  </si>
  <si>
    <t>FECHA_VENTA</t>
  </si>
  <si>
    <t>DIAS_DESDE_ALTA</t>
  </si>
  <si>
    <t>SKU</t>
  </si>
  <si>
    <t>DESCRIPCION</t>
  </si>
  <si>
    <t>PIEZAS</t>
  </si>
  <si>
    <t>2398</t>
  </si>
  <si>
    <t>AEROSOL NEGRO MATE</t>
  </si>
  <si>
    <t>2399</t>
  </si>
  <si>
    <t>AEROSOL NEGRO BRILLANTE</t>
  </si>
  <si>
    <t>2451</t>
  </si>
  <si>
    <t>AEROSOL SUPER ORO</t>
  </si>
  <si>
    <t>2300</t>
  </si>
  <si>
    <t>AEROSOL BLANCO BRILLANTE</t>
  </si>
  <si>
    <t>2301</t>
  </si>
  <si>
    <t>AEROSOL BLANCO MATE</t>
  </si>
  <si>
    <t>2343</t>
  </si>
  <si>
    <t>AEROSOL ROSA</t>
  </si>
  <si>
    <t>2344</t>
  </si>
  <si>
    <t>AEROSOL MORADO</t>
  </si>
  <si>
    <t>2345</t>
  </si>
  <si>
    <t>AEROSOL ROJO</t>
  </si>
  <si>
    <t>2390</t>
  </si>
  <si>
    <t>AEROSOL ALUMINIO</t>
  </si>
  <si>
    <t>2397</t>
  </si>
  <si>
    <t>AEROSOL  NEGRO SEMI BRILLANTE</t>
  </si>
  <si>
    <t>2454</t>
  </si>
  <si>
    <t>AEROSOL PRISA SUPER CROMO</t>
  </si>
  <si>
    <t>2463</t>
  </si>
  <si>
    <t>AEROSOL AZUL METALICO</t>
  </si>
  <si>
    <t>29595</t>
  </si>
  <si>
    <t>PULIMENTO ROJO MEDIANO TRIPOLI</t>
  </si>
  <si>
    <t>29596</t>
  </si>
  <si>
    <t>SRG-10005</t>
  </si>
  <si>
    <t>ESMALTE GLOSI SR BLANCO</t>
  </si>
  <si>
    <t>SRG-10824</t>
  </si>
  <si>
    <t>ESMALTE GLOSI SR ALUMINIO</t>
  </si>
  <si>
    <t>SRG-10995</t>
  </si>
  <si>
    <t>ESMALTE GLOSI SR NEGRO BRILLANTE</t>
  </si>
  <si>
    <t>VG-50001</t>
  </si>
  <si>
    <t>VINILICA GLOSI BLANCO 5A</t>
  </si>
  <si>
    <t>28004</t>
  </si>
  <si>
    <t>ESMALTE BRILLON BLANCO</t>
  </si>
  <si>
    <t>28584</t>
  </si>
  <si>
    <t>BRILLON CACAO</t>
  </si>
  <si>
    <t>28984</t>
  </si>
  <si>
    <t>BRILLON NEGRO</t>
  </si>
  <si>
    <t>IG-30003</t>
  </si>
  <si>
    <t>IMPERGLOSI AGUACERO BLANCO 3A</t>
  </si>
  <si>
    <t>IG-30563</t>
  </si>
  <si>
    <t>IMPERGLOSI AGUACERO TERRACOTA 3A</t>
  </si>
  <si>
    <t>IG-50561</t>
  </si>
  <si>
    <t>IMPERGLOSI AGUACERO TERRACOTA 5A</t>
  </si>
  <si>
    <t>VG-30003</t>
  </si>
  <si>
    <t>VINILICA GLOSI BLANCO 3A</t>
  </si>
  <si>
    <t>VG-50004</t>
  </si>
  <si>
    <t>2393</t>
  </si>
  <si>
    <t>AEROSOL GRIS CLARO</t>
  </si>
  <si>
    <t>28005</t>
  </si>
  <si>
    <t>BRILLON BLANCO</t>
  </si>
  <si>
    <t>28153</t>
  </si>
  <si>
    <t>BRILLON AMARILLO MANGO</t>
  </si>
  <si>
    <t>28455</t>
  </si>
  <si>
    <t>BRILLON SANDIA</t>
  </si>
  <si>
    <t>28586</t>
  </si>
  <si>
    <t>28646</t>
  </si>
  <si>
    <t>BRILLON AZUL AGUA</t>
  </si>
  <si>
    <t>28934</t>
  </si>
  <si>
    <t>BRILLON GRIS</t>
  </si>
  <si>
    <t>28963</t>
  </si>
  <si>
    <t>BRILLON NEGRO MATE</t>
  </si>
  <si>
    <t>28964</t>
  </si>
  <si>
    <t>28983</t>
  </si>
  <si>
    <t>28985</t>
  </si>
  <si>
    <t>29004</t>
  </si>
  <si>
    <t>RELLENADOR AUTOMOTRIZ</t>
  </si>
  <si>
    <t>SRG-10983</t>
  </si>
  <si>
    <t>ESMALTE GLOSI SR NEGRO MATE</t>
  </si>
  <si>
    <t>28006</t>
  </si>
  <si>
    <t>28583</t>
  </si>
  <si>
    <t>SRG-10991</t>
  </si>
  <si>
    <t>28014</t>
  </si>
  <si>
    <t>BRILLON BLANCO MATE</t>
  </si>
  <si>
    <t>28001</t>
  </si>
  <si>
    <t>ESMALTE BRILLON BLANCO.</t>
  </si>
  <si>
    <t>28003</t>
  </si>
  <si>
    <t>28454</t>
  </si>
  <si>
    <t>SRG-10001</t>
  </si>
  <si>
    <t>SRG-10993</t>
  </si>
  <si>
    <t>SRG-10004</t>
  </si>
  <si>
    <t>79234</t>
  </si>
  <si>
    <t>SIAMIL ECONOMICO MI FL 20 KG</t>
  </si>
  <si>
    <t>29012</t>
  </si>
  <si>
    <t>RELLENADOR AUTOMOTRIZ C/CATAL. ROJO</t>
  </si>
  <si>
    <t>28265</t>
  </si>
  <si>
    <t>BRILLON CALABAZA</t>
  </si>
  <si>
    <t>28575</t>
  </si>
  <si>
    <t>BRILLON CANELA</t>
  </si>
  <si>
    <t>2396</t>
  </si>
  <si>
    <t>AEROSOL NEGRO METALICO</t>
  </si>
  <si>
    <t>29501</t>
  </si>
  <si>
    <t>PULIMENTO BLANCO 1968</t>
  </si>
  <si>
    <t>29014</t>
  </si>
  <si>
    <t>29024</t>
  </si>
  <si>
    <t>PELO DE GATO</t>
  </si>
  <si>
    <t>28585</t>
  </si>
  <si>
    <t>28935</t>
  </si>
  <si>
    <t>28806</t>
  </si>
  <si>
    <t>BARNIZ ALQ. TRANSP. NATURAL</t>
  </si>
  <si>
    <t>BAG-10886</t>
  </si>
  <si>
    <t>BARNIZ GLOSI ALQUI CAOBA</t>
  </si>
  <si>
    <t>BAG-10896</t>
  </si>
  <si>
    <t>BARNIZ GLOSI ALQUI NOGAL</t>
  </si>
  <si>
    <t>36091</t>
  </si>
  <si>
    <t>PEGAMENTO / SELLADOR</t>
  </si>
  <si>
    <t>VG-50261</t>
  </si>
  <si>
    <t>VINILICA GLOSI OCRE 5A</t>
  </si>
  <si>
    <t>VG-50751</t>
  </si>
  <si>
    <t>VINILICA GLOSI VERDE 5A</t>
  </si>
  <si>
    <t>36093</t>
  </si>
  <si>
    <t>360-N</t>
  </si>
  <si>
    <t>COLADOR DE PAPEL -SIGLO-</t>
  </si>
  <si>
    <t>SRG-10003</t>
  </si>
  <si>
    <t>VG-50991</t>
  </si>
  <si>
    <t>VINILICA GLOSI NEGRO 5A</t>
  </si>
  <si>
    <t>BAG-10846</t>
  </si>
  <si>
    <t>BARNIZ GLOSI ALQUI CEDRO</t>
  </si>
  <si>
    <t>VG-50994</t>
  </si>
  <si>
    <t>29505</t>
  </si>
  <si>
    <t>29506</t>
  </si>
  <si>
    <t>29594</t>
  </si>
  <si>
    <t>29504</t>
  </si>
  <si>
    <t>28986</t>
  </si>
  <si>
    <t>IG-30001</t>
  </si>
  <si>
    <t>IG-30561</t>
  </si>
  <si>
    <t>IG-40001</t>
  </si>
  <si>
    <t>AGUACERO 4A BLANCO FIBRATADO</t>
  </si>
  <si>
    <t>IG-50001</t>
  </si>
  <si>
    <t>IMPERGLOSI AGUACERO BLANCO 5A</t>
  </si>
  <si>
    <t>28214</t>
  </si>
  <si>
    <t>BRILLON GUAYABA</t>
  </si>
  <si>
    <t>28916</t>
  </si>
  <si>
    <t>BRILLON DORADO</t>
  </si>
  <si>
    <t>28965</t>
  </si>
  <si>
    <t>SRG-10996</t>
  </si>
  <si>
    <t>VG-30004</t>
  </si>
  <si>
    <t>SRG-10994</t>
  </si>
  <si>
    <t>28915</t>
  </si>
  <si>
    <t>29591</t>
  </si>
  <si>
    <t>2315</t>
  </si>
  <si>
    <t>AEROSOL AMARILLO</t>
  </si>
  <si>
    <t>29104</t>
  </si>
  <si>
    <t>REMOVEDOR DE PINTURA</t>
  </si>
  <si>
    <t>2366</t>
  </si>
  <si>
    <t>AEROSOL AZUL OBSCURO</t>
  </si>
  <si>
    <t>2373</t>
  </si>
  <si>
    <t>AEROSOL VERDE HOJA</t>
  </si>
  <si>
    <t>2381</t>
  </si>
  <si>
    <t>AEROSOL PRIMARIO GRIS</t>
  </si>
  <si>
    <t>9913</t>
  </si>
  <si>
    <t>SINSALITRE</t>
  </si>
  <si>
    <t>VG-30263</t>
  </si>
  <si>
    <t>VINILICA GLOSI OCRE 3A</t>
  </si>
  <si>
    <t>28154</t>
  </si>
  <si>
    <t>BAG-10845</t>
  </si>
  <si>
    <t>BAG-10885</t>
  </si>
  <si>
    <t>VG-30001</t>
  </si>
  <si>
    <t>28774</t>
  </si>
  <si>
    <t>BRILLON VERDE SELVA</t>
  </si>
  <si>
    <t>VG-30211</t>
  </si>
  <si>
    <t>VINILICA GLOSI MARFIL 3A</t>
  </si>
  <si>
    <t>VG-50133</t>
  </si>
  <si>
    <t>VINILICA GLOSI AMARILLO 5A</t>
  </si>
  <si>
    <t>VG-50653</t>
  </si>
  <si>
    <t>VINILICA GLOSI AZUL 5A</t>
  </si>
  <si>
    <t>29384</t>
  </si>
  <si>
    <t>FONDO GRIS CLARO 3211</t>
  </si>
  <si>
    <t>29484</t>
  </si>
  <si>
    <t>PLASTE GRIS CLARO</t>
  </si>
  <si>
    <t>E-90191</t>
  </si>
  <si>
    <t>PRIMARIO ESTRUCTURAS BLANCO</t>
  </si>
  <si>
    <t>PRG-10931</t>
  </si>
  <si>
    <t>PRIMARIO GLOSI ESTRUCTURAS GRIS</t>
  </si>
  <si>
    <t>28913</t>
  </si>
  <si>
    <t>VG-50211</t>
  </si>
  <si>
    <t>VINILICA GLOSI MARFIL 5A</t>
  </si>
  <si>
    <t>28105</t>
  </si>
  <si>
    <t>BRILLON ALUMINIO</t>
  </si>
  <si>
    <t>2358</t>
  </si>
  <si>
    <t>AEROSOL CAFE CHOCOLATE</t>
  </si>
  <si>
    <t>VG-30751</t>
  </si>
  <si>
    <t>VINILICA GLOSI VERDE 3A</t>
  </si>
  <si>
    <t>IG-40561</t>
  </si>
  <si>
    <t>AGUACERO 4A TERRACOTA FIBRATADO</t>
  </si>
  <si>
    <t>G-31111</t>
  </si>
  <si>
    <t>VINILICA GLOSI BLANCO PRO</t>
  </si>
  <si>
    <t>VG-50654</t>
  </si>
  <si>
    <t>VG-50214</t>
  </si>
  <si>
    <t>25003</t>
  </si>
  <si>
    <t>ESM. ACRILICO BLANCO 501</t>
  </si>
  <si>
    <t>ES-47024</t>
  </si>
  <si>
    <t>RESANADOR PINO BA H11</t>
  </si>
  <si>
    <t>28944</t>
  </si>
  <si>
    <t>BARNIZ ALQUIDALICO MAPLE</t>
  </si>
  <si>
    <t>28894</t>
  </si>
  <si>
    <t>BARNIZ ALQUIDALICO NOGAL</t>
  </si>
  <si>
    <t>28804</t>
  </si>
  <si>
    <t>25483</t>
  </si>
  <si>
    <t>ESM. ACRILICO ROJO OBSCURO 526</t>
  </si>
  <si>
    <t>25993</t>
  </si>
  <si>
    <t>ESM. ACRILICO NEGRO 590</t>
  </si>
  <si>
    <t>25963</t>
  </si>
  <si>
    <t>ESM. ACRILICO BASE MET. MED. 582</t>
  </si>
  <si>
    <t>70003</t>
  </si>
  <si>
    <t>BASE COLOR BLANCA</t>
  </si>
  <si>
    <t>17163</t>
  </si>
  <si>
    <t>TRAFICO AMARILLO SCT</t>
  </si>
  <si>
    <t>22001</t>
  </si>
  <si>
    <t>KITOX BLANCO</t>
  </si>
  <si>
    <t>22003</t>
  </si>
  <si>
    <t>22991</t>
  </si>
  <si>
    <t>KITOX NEGRO</t>
  </si>
  <si>
    <t>22994</t>
  </si>
  <si>
    <t>34001</t>
  </si>
  <si>
    <t>VINIBAR BLANCO</t>
  </si>
  <si>
    <t>34003</t>
  </si>
  <si>
    <t>R-32001</t>
  </si>
  <si>
    <t>RIVINOL 5 S BLANCO</t>
  </si>
  <si>
    <t>DESC_3PP</t>
  </si>
  <si>
    <t>DESCUENTO POR PRONTO PAGO</t>
  </si>
  <si>
    <t>15934</t>
  </si>
  <si>
    <t>PRIMARIO ESTRUCTURAS GRIS</t>
  </si>
  <si>
    <t>28104</t>
  </si>
  <si>
    <t>22993</t>
  </si>
  <si>
    <t>22995</t>
  </si>
  <si>
    <t>22931</t>
  </si>
  <si>
    <t>KITOX PIZARRA</t>
  </si>
  <si>
    <t>2380</t>
  </si>
  <si>
    <t>AEROSOL ACRILICO TRANSPARENTE</t>
  </si>
  <si>
    <t>9184</t>
  </si>
  <si>
    <t>CUNA CHICA SIN MANGO P/RESANAR</t>
  </si>
  <si>
    <t>10983</t>
  </si>
  <si>
    <t>NEGRO CHASIS</t>
  </si>
  <si>
    <t>SRG-10453</t>
  </si>
  <si>
    <t>ESMALTE GLOSI SR ROJO</t>
  </si>
  <si>
    <t>9185</t>
  </si>
  <si>
    <t>CUNA GRANDE SIN MANGO P/RESANAR</t>
  </si>
  <si>
    <t>PRG-10934</t>
  </si>
  <si>
    <t>76004</t>
  </si>
  <si>
    <t>ACEITE DE LINAZA PROTECTOR DE MADERA</t>
  </si>
  <si>
    <t>VG-30223</t>
  </si>
  <si>
    <t>VINILICA GLOSI PAJA 3A</t>
  </si>
  <si>
    <t>G-31103</t>
  </si>
  <si>
    <t>G-31821</t>
  </si>
  <si>
    <t>VINILICA GLOSI OCRE PRO</t>
  </si>
  <si>
    <t>28015</t>
  </si>
  <si>
    <t>SRG-10006</t>
  </si>
  <si>
    <t>SRG-10984</t>
  </si>
  <si>
    <t>SRG-11004</t>
  </si>
  <si>
    <t>ESMALTE GLOSI SR BLANCO MATE</t>
  </si>
  <si>
    <t>61200</t>
  </si>
  <si>
    <t>MEMBRANA DE REFUERZO P/IMPER 17/105 20 G</t>
  </si>
  <si>
    <t>VG-50013</t>
  </si>
  <si>
    <t>VINILICA GLOSI BLANCO ULTRA</t>
  </si>
  <si>
    <t>VG-50683</t>
  </si>
  <si>
    <t>VINILICA GLOSI AZUL INTENSO 5 A</t>
  </si>
  <si>
    <t>VG-30221</t>
  </si>
  <si>
    <t>VG-30321</t>
  </si>
  <si>
    <t>VINILICA GLOSI CANTALUP 3A</t>
  </si>
  <si>
    <t>VG-30611</t>
  </si>
  <si>
    <t>VINILICA GLOSI VIOLETA 3A</t>
  </si>
  <si>
    <t>VG-30651</t>
  </si>
  <si>
    <t>VINILICA GLOSI AZUL 3A</t>
  </si>
  <si>
    <t>28634</t>
  </si>
  <si>
    <t>BRILLON MENTA</t>
  </si>
  <si>
    <t>28654</t>
  </si>
  <si>
    <t>BRILLON AZUL IRIS</t>
  </si>
  <si>
    <t>28456</t>
  </si>
  <si>
    <t>28936</t>
  </si>
  <si>
    <t>VG-50014</t>
  </si>
  <si>
    <t>BAG-10895</t>
  </si>
  <si>
    <t>VG-50373</t>
  </si>
  <si>
    <t>VINILICA GLOSI 5 AÑOS ROSA</t>
  </si>
  <si>
    <t>38061</t>
  </si>
  <si>
    <t>PARAGUAS 3 AÑOS BLANCO</t>
  </si>
  <si>
    <t>38551</t>
  </si>
  <si>
    <t>PARAGUAS 3 AÑOS TERRACOTA</t>
  </si>
  <si>
    <t>2322</t>
  </si>
  <si>
    <t>AEROSOL ALMENDRA</t>
  </si>
  <si>
    <t>2375</t>
  </si>
  <si>
    <t>AEROSOL VERDE FLORESTA</t>
  </si>
  <si>
    <t>21003</t>
  </si>
  <si>
    <t>MILCO PLUS BLANCO</t>
  </si>
  <si>
    <t>21584</t>
  </si>
  <si>
    <t>MILCO PLUS TABACO</t>
  </si>
  <si>
    <t>21644</t>
  </si>
  <si>
    <t>MILCO AZUL DELFIN</t>
  </si>
  <si>
    <t>21993</t>
  </si>
  <si>
    <t>MILCO NEGRO</t>
  </si>
  <si>
    <t>22005</t>
  </si>
  <si>
    <t>22006</t>
  </si>
  <si>
    <t>VG-50614</t>
  </si>
  <si>
    <t>VINILICA GLOSI VIOLETA 5A</t>
  </si>
  <si>
    <t>29284</t>
  </si>
  <si>
    <t>CATALIZADOR P/RELL ROJO "25GRS"</t>
  </si>
  <si>
    <t>2335</t>
  </si>
  <si>
    <t>AEROSOL NARANJA</t>
  </si>
  <si>
    <t>28574</t>
  </si>
  <si>
    <t>28775</t>
  </si>
  <si>
    <t>2364</t>
  </si>
  <si>
    <t>AEROSOL AZUL CLARO</t>
  </si>
  <si>
    <t>28136</t>
  </si>
  <si>
    <t>BRILLON AMARILLO LIMON</t>
  </si>
  <si>
    <t>28266</t>
  </si>
  <si>
    <t>28356</t>
  </si>
  <si>
    <t>BRILLON MANDARINA</t>
  </si>
  <si>
    <t>28656</t>
  </si>
  <si>
    <t>BAG-10894</t>
  </si>
  <si>
    <t>VG-50134</t>
  </si>
  <si>
    <t>VG-50993</t>
  </si>
  <si>
    <t>10641</t>
  </si>
  <si>
    <t>ALBERCAS AZUL</t>
  </si>
  <si>
    <t>VG-50011</t>
  </si>
  <si>
    <t>VG-30213</t>
  </si>
  <si>
    <t>VG-30014</t>
  </si>
  <si>
    <t>VINILICA GLOSI BLANCO BASIC</t>
  </si>
  <si>
    <t>19BYC</t>
  </si>
  <si>
    <t>BONIF Y/O CANC BONIFICACIÓN</t>
  </si>
  <si>
    <t>VG-30011</t>
  </si>
  <si>
    <t>VG-30013</t>
  </si>
  <si>
    <t>SRG-10134</t>
  </si>
  <si>
    <t>ESMALTE GLOSI SR CANARIO</t>
  </si>
  <si>
    <t>SRG-10584</t>
  </si>
  <si>
    <t>ESMALTE GLOSI SR CHOCOLATE</t>
  </si>
  <si>
    <t>28644</t>
  </si>
  <si>
    <t>BAG-10844</t>
  </si>
  <si>
    <t>28914</t>
  </si>
  <si>
    <t>61001</t>
  </si>
  <si>
    <t>PARAGUAS 3 AÑOS EMULSIONADO</t>
  </si>
  <si>
    <t>12774</t>
  </si>
  <si>
    <t>SELLADOR P/MUNEQUEO A.S./A.V.200</t>
  </si>
  <si>
    <t>13974</t>
  </si>
  <si>
    <t>CONSERV. MAD PENTAPRISA "P/POLILLA"</t>
  </si>
  <si>
    <t>15344</t>
  </si>
  <si>
    <t>FONDO MINIO NARANJA 1288</t>
  </si>
  <si>
    <t>61003</t>
  </si>
  <si>
    <t>61202</t>
  </si>
  <si>
    <t>MEMBRANA DE REFUERZO TRAMADA/POLIREF 60G</t>
  </si>
  <si>
    <t>BAG-10884</t>
  </si>
  <si>
    <t>PRG-10563</t>
  </si>
  <si>
    <t>ESTRUCTURAS ROJO OXIDO</t>
  </si>
  <si>
    <t>PRG-10564</t>
  </si>
  <si>
    <t>PRG-10933</t>
  </si>
  <si>
    <t>61103</t>
  </si>
  <si>
    <t>PARAGUAS 5 AÑOS ASFALTICO</t>
  </si>
  <si>
    <t>61101</t>
  </si>
  <si>
    <t>KW2700</t>
  </si>
  <si>
    <t>KIT CARWASH</t>
  </si>
  <si>
    <t>G-31813</t>
  </si>
  <si>
    <t>VINILICA GLOSI AMARILLO PRO</t>
  </si>
  <si>
    <t>G-31823</t>
  </si>
  <si>
    <t>G-31873</t>
  </si>
  <si>
    <t>VINILICA GLOSI VERDE PRO</t>
  </si>
  <si>
    <t>G-31883</t>
  </si>
  <si>
    <t>VINILICA GLOSI NEGRO PRO</t>
  </si>
  <si>
    <t>G-31893</t>
  </si>
  <si>
    <t>VINILICA GLOSI ROSA MEX PRO</t>
  </si>
  <si>
    <t>G-31973</t>
  </si>
  <si>
    <t>VINILICA GLOSI VERDE BOSQUE PRO</t>
  </si>
  <si>
    <t>E-83251</t>
  </si>
  <si>
    <t>FONDO VINIL-ACRILICO</t>
  </si>
  <si>
    <t>E-81481</t>
  </si>
  <si>
    <t>FONDO VINILICO BLANCO P/INTERIORES</t>
  </si>
  <si>
    <t>28655</t>
  </si>
  <si>
    <t>28645</t>
  </si>
  <si>
    <t>28016</t>
  </si>
  <si>
    <t>28106</t>
  </si>
  <si>
    <t>28445</t>
  </si>
  <si>
    <t>BRILLON PITAYA</t>
  </si>
  <si>
    <t>28446</t>
  </si>
  <si>
    <t>28565</t>
  </si>
  <si>
    <t>BRILLON TAMARINDO</t>
  </si>
  <si>
    <t>28566</t>
  </si>
  <si>
    <t>28635</t>
  </si>
  <si>
    <t>28636</t>
  </si>
  <si>
    <t>28755</t>
  </si>
  <si>
    <t>BRILLON VERDE KIWI</t>
  </si>
  <si>
    <t>28756</t>
  </si>
  <si>
    <t>28933</t>
  </si>
  <si>
    <t>28966</t>
  </si>
  <si>
    <t>2367</t>
  </si>
  <si>
    <t>AEROSOL AZUL NAVAL</t>
  </si>
  <si>
    <t>29002</t>
  </si>
  <si>
    <t>2324</t>
  </si>
  <si>
    <t>AEROSOL BEIGE</t>
  </si>
  <si>
    <t>VG-50354</t>
  </si>
  <si>
    <t>VINILICA GLOSI CORAL 5A</t>
  </si>
  <si>
    <t>VG-50454</t>
  </si>
  <si>
    <t>VINILICA GLOSI ROJO 5A</t>
  </si>
  <si>
    <t>VG-50534</t>
  </si>
  <si>
    <t>VINILICA GLOSI CAFE CLARO 5A</t>
  </si>
  <si>
    <t>VG-50734</t>
  </si>
  <si>
    <t>VINILICA VERDE CLARO 5A</t>
  </si>
  <si>
    <t>21983</t>
  </si>
  <si>
    <t>MILCO NEGRO MATE</t>
  </si>
  <si>
    <t>22643</t>
  </si>
  <si>
    <t>KITOX AZUL DELFIN</t>
  </si>
  <si>
    <t>28864</t>
  </si>
  <si>
    <t>BARNIZ ALQ. ROBLE AMERICANO</t>
  </si>
  <si>
    <t>28884</t>
  </si>
  <si>
    <t>BARNIZ ALQUIDALICO CAOBA</t>
  </si>
  <si>
    <t>33013</t>
  </si>
  <si>
    <t>PINTAVIN BLANCO ULTRA</t>
  </si>
  <si>
    <t>33014</t>
  </si>
  <si>
    <t>21986</t>
  </si>
  <si>
    <t>MILCO  NEGRO MATE</t>
  </si>
  <si>
    <t>22004</t>
  </si>
  <si>
    <t>15994</t>
  </si>
  <si>
    <t>PRIMARIO ESTRUCTURAS NEGRO</t>
  </si>
  <si>
    <t>60364</t>
  </si>
  <si>
    <t>THINNER STD MULTIUSOS PET</t>
  </si>
  <si>
    <t>60361</t>
  </si>
  <si>
    <t>THINNER ESTANDAR MULTIUSOS</t>
  </si>
  <si>
    <t>28034</t>
  </si>
  <si>
    <t>BRILLON BLANCO COCO</t>
  </si>
  <si>
    <t>Total general</t>
  </si>
  <si>
    <t>Cuenta de PIEZAS</t>
  </si>
  <si>
    <t>CUANTOS CLIENTES COMPRARON POR PRIMERA VEZ / 149 CLIENTES NUEVOS</t>
  </si>
  <si>
    <t>TY</t>
  </si>
  <si>
    <t>TQ</t>
  </si>
  <si>
    <t>Promedio de PIEZAS</t>
  </si>
  <si>
    <t>UNIDADES PROMEDIO DE COMPRA</t>
  </si>
  <si>
    <t>ENTERO</t>
  </si>
  <si>
    <t>PRODUCTO</t>
  </si>
  <si>
    <t>MARCA</t>
  </si>
  <si>
    <t>PROPUESTA</t>
  </si>
  <si>
    <t>PEDIDO SUGERIDO CLIENTES NUEVOS FELIPE PAIZ</t>
  </si>
  <si>
    <t>VECES QUE SE HIZO RECOMPRA (ENTRE 1RA COMP &lt;90 DIAS)</t>
  </si>
  <si>
    <t># CLIENTES QUE HICIERON LA RECOMPRA / 149 ALTAS / 131 HICIERON COMPRA EN &lt;30 DÍAS DE SU ALTA</t>
  </si>
  <si>
    <t>RKNG # CLIENTE</t>
  </si>
  <si>
    <t>PIEZAS COMPRADAS</t>
  </si>
  <si>
    <t>PRECIOS</t>
  </si>
  <si>
    <t>.</t>
  </si>
  <si>
    <t>% REC</t>
  </si>
  <si>
    <t>ESMALTE - BRILLON</t>
  </si>
  <si>
    <t>AEROSOLES PRISA</t>
  </si>
  <si>
    <t>PASTA RELLENADORA</t>
  </si>
  <si>
    <t>SIAMIL</t>
  </si>
  <si>
    <t>VINILICA - GLOSI 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</si>
</sst>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yyyy\-mm\-dd\ hh:mm:ss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5" fillId="2" borderId="0" xfId="0" applyFont="1" applyFill="1"/>
    <xf numFmtId="0" fontId="5" fillId="2" borderId="3" xfId="0" applyFont="1" applyFill="1" applyBorder="1"/>
    <xf numFmtId="0" fontId="5" fillId="2" borderId="2" xfId="0" applyFont="1" applyFill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5" fillId="2" borderId="2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/>
    </xf>
    <xf numFmtId="44" fontId="0" fillId="0" borderId="0" xfId="1" applyFont="1" applyAlignment="1">
      <alignment horizontal="right"/>
    </xf>
    <xf numFmtId="44" fontId="5" fillId="2" borderId="2" xfId="1" applyFont="1" applyFill="1" applyBorder="1" applyAlignment="1">
      <alignment horizontal="center" vertical="top" wrapText="1"/>
    </xf>
    <xf numFmtId="44" fontId="0" fillId="3" borderId="0" xfId="1" applyFont="1" applyFill="1" applyAlignment="1">
      <alignment horizontal="right"/>
    </xf>
    <xf numFmtId="2" fontId="0" fillId="0" borderId="0" xfId="0" applyNumberFormat="1" applyAlignment="1">
      <alignment horizontal="left"/>
    </xf>
    <xf numFmtId="2" fontId="0" fillId="0" borderId="0" xfId="0" applyNumberFormat="1"/>
    <xf numFmtId="44" fontId="0" fillId="0" borderId="0" xfId="0" applyNumberFormat="1"/>
    <xf numFmtId="0" fontId="4" fillId="0" borderId="0" xfId="0" applyFont="1"/>
    <xf numFmtId="44" fontId="0" fillId="3" borderId="0" xfId="0" applyNumberFormat="1" applyFill="1"/>
    <xf numFmtId="2" fontId="6" fillId="3" borderId="0" xfId="0" applyNumberFormat="1" applyFont="1" applyFill="1"/>
    <xf numFmtId="2" fontId="6" fillId="0" borderId="0" xfId="0" applyNumberFormat="1" applyFont="1"/>
    <xf numFmtId="44" fontId="4" fillId="0" borderId="0" xfId="0" applyNumberFormat="1" applyFont="1"/>
    <xf numFmtId="0" fontId="3" fillId="4" borderId="0" xfId="0" applyFont="1" applyFill="1" applyAlignment="1">
      <alignment vertical="top"/>
    </xf>
    <xf numFmtId="44" fontId="5" fillId="5" borderId="2" xfId="1" applyFont="1" applyFill="1" applyBorder="1" applyAlignment="1">
      <alignment horizontal="center" vertical="top" wrapText="1"/>
    </xf>
    <xf numFmtId="0" fontId="7" fillId="0" borderId="0" xfId="0" applyFont="1"/>
    <xf numFmtId="0" fontId="5" fillId="6" borderId="0" xfId="0" applyFont="1" applyFill="1" applyAlignment="1">
      <alignment vertical="top" wrapText="1"/>
    </xf>
    <xf numFmtId="0" fontId="5" fillId="7" borderId="0" xfId="0" applyFont="1" applyFill="1" applyAlignment="1">
      <alignment vertical="top" wrapText="1"/>
    </xf>
    <xf numFmtId="0" fontId="0" fillId="0" borderId="0" xfId="0" applyAlignment="1">
      <alignment horizontal="right"/>
    </xf>
    <xf numFmtId="0" fontId="5" fillId="2" borderId="3" xfId="0" applyFont="1" applyFill="1" applyBorder="1" applyAlignment="1">
      <alignment horizontal="right"/>
    </xf>
    <xf numFmtId="0" fontId="5" fillId="8" borderId="0" xfId="0" applyFont="1" applyFill="1" applyAlignment="1">
      <alignment vertical="top"/>
    </xf>
    <xf numFmtId="0" fontId="0" fillId="9" borderId="0" xfId="0" applyFill="1"/>
    <xf numFmtId="165" fontId="0" fillId="0" borderId="0" xfId="2" applyNumberFormat="1" applyFont="1"/>
    <xf numFmtId="0" fontId="0" fillId="0" borderId="4" xfId="0" applyBorder="1"/>
    <xf numFmtId="0" fontId="0" fillId="0" borderId="4" xfId="0" applyBorder="1" applyAlignment="1">
      <alignment horizontal="center"/>
    </xf>
    <xf numFmtId="44" fontId="0" fillId="3" borderId="4" xfId="1" applyFont="1" applyFill="1" applyBorder="1" applyAlignment="1">
      <alignment horizontal="right"/>
    </xf>
    <xf numFmtId="2" fontId="0" fillId="0" borderId="4" xfId="0" applyNumberFormat="1" applyBorder="1" applyAlignment="1">
      <alignment horizontal="left"/>
    </xf>
    <xf numFmtId="2" fontId="6" fillId="0" borderId="4" xfId="0" applyNumberFormat="1" applyFont="1" applyBorder="1"/>
    <xf numFmtId="44" fontId="0" fillId="3" borderId="4" xfId="0" applyNumberFormat="1" applyFill="1" applyBorder="1"/>
    <xf numFmtId="44" fontId="0" fillId="0" borderId="4" xfId="0" applyNumberFormat="1" applyBorder="1"/>
    <xf numFmtId="0" fontId="0" fillId="0" borderId="4" xfId="0" applyBorder="1" applyAlignment="1">
      <alignment horizontal="right"/>
    </xf>
    <xf numFmtId="0" fontId="0" fillId="9" borderId="4" xfId="0" applyFill="1" applyBorder="1"/>
    <xf numFmtId="165" fontId="0" fillId="0" borderId="4" xfId="2" applyNumberFormat="1" applyFont="1" applyBorder="1"/>
    <xf numFmtId="0" fontId="3" fillId="4" borderId="0" xfId="0" applyFont="1" applyFill="1" applyAlignment="1">
      <alignment horizontal="center" vertical="top"/>
    </xf>
    <xf numFmtId="0" fontId="5" fillId="8" borderId="0" xfId="0" applyFont="1" applyFill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macias\Desktop\PEDIDOS%20SUGERIDOS\CLIENTES%20NUEVOS\LISTA%20EXCEL%20TQ%20(2).xlsx" TargetMode="External"/><Relationship Id="rId1" Type="http://schemas.openxmlformats.org/officeDocument/2006/relationships/externalLinkPath" Target="LISTA%20EXCEL%20TQ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macias\Desktop\PEDIDOS%20SUGERIDOS\CLIENTES%20NUEVOS\LISTA%20EXCEL%20TY%20(3).xlsx" TargetMode="External"/><Relationship Id="rId1" Type="http://schemas.openxmlformats.org/officeDocument/2006/relationships/externalLinkPath" Target="LISTA%20EXCEL%20TY%20(3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macias\Desktop\ARCHIVOS\ARCHIVOS%202025%20&amp;%202026\LOOCKER%20STUDIO%20BACKORDER\10.06.2025%20CORREOS%20VENDEDORES.xlsx" TargetMode="External"/><Relationship Id="rId1" Type="http://schemas.openxmlformats.org/officeDocument/2006/relationships/externalLinkPath" Target="/Users/lmacias/Desktop/ARCHIVOS/ARCHIVOS%202025%20&amp;%202026/LOOCKER%20STUDIO%20BACKORDER/10.06.2025%20CORREOS%20VENDEDOR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macias\Desktop\PEDIDOS%20SUGERIDOS\CLIENTES%20NUEVOS\RECOMPRA_PRODUCTOS_90_DIAS.xlsx" TargetMode="External"/><Relationship Id="rId1" Type="http://schemas.openxmlformats.org/officeDocument/2006/relationships/externalLinkPath" Target="RECOMPRA_PRODUCTOS_90_DI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C1"/>
          <cell r="D1"/>
          <cell r="H1"/>
        </row>
        <row r="2">
          <cell r="C2"/>
          <cell r="D2"/>
          <cell r="H2" t="str">
            <v>Inicio de vig. 03 de Julio del 2026</v>
          </cell>
        </row>
        <row r="3">
          <cell r="C3"/>
          <cell r="D3"/>
          <cell r="H3"/>
        </row>
        <row r="4">
          <cell r="C4"/>
          <cell r="D4"/>
          <cell r="H4"/>
        </row>
        <row r="5">
          <cell r="C5"/>
          <cell r="D5"/>
          <cell r="H5"/>
        </row>
        <row r="6">
          <cell r="C6" t="str">
            <v>Material</v>
          </cell>
          <cell r="D6" t="str">
            <v>Descripcion</v>
          </cell>
          <cell r="H6" t="str">
            <v>Precio nuevo</v>
          </cell>
        </row>
        <row r="7">
          <cell r="C7" t="str">
            <v>60383</v>
          </cell>
          <cell r="D7" t="str">
            <v>THINNER STANDARD</v>
          </cell>
          <cell r="H7">
            <v>213.79</v>
          </cell>
        </row>
        <row r="8">
          <cell r="C8" t="str">
            <v>60444</v>
          </cell>
          <cell r="D8" t="str">
            <v>SOLVENTE PARA BICAPA PLUS</v>
          </cell>
          <cell r="H8">
            <v>78.45</v>
          </cell>
        </row>
        <row r="9">
          <cell r="C9" t="str">
            <v>68564</v>
          </cell>
          <cell r="D9" t="str">
            <v>TINTA F-ROJO OXIDO 400-060</v>
          </cell>
          <cell r="H9">
            <v>476.72</v>
          </cell>
        </row>
        <row r="10">
          <cell r="C10" t="str">
            <v>517</v>
          </cell>
          <cell r="D10" t="str">
            <v>GORRA BORDADA SI-GLO ROJA</v>
          </cell>
          <cell r="H10">
            <v>0.86</v>
          </cell>
        </row>
        <row r="11">
          <cell r="C11" t="str">
            <v>516</v>
          </cell>
          <cell r="D11" t="str">
            <v>GORRA BORDADA SI-GLO NEGRA</v>
          </cell>
          <cell r="H11">
            <v>0.86</v>
          </cell>
        </row>
        <row r="12">
          <cell r="C12" t="str">
            <v>60341</v>
          </cell>
          <cell r="D12" t="str">
            <v>THINNER MULTIUSOS G</v>
          </cell>
          <cell r="H12">
            <v>637.92999999999995</v>
          </cell>
        </row>
        <row r="13">
          <cell r="C13" t="str">
            <v>68264</v>
          </cell>
          <cell r="D13" t="str">
            <v>TINTA C-AMARILLO OXIDO 400-030</v>
          </cell>
          <cell r="H13">
            <v>529.30999999999995</v>
          </cell>
        </row>
        <row r="14">
          <cell r="C14" t="str">
            <v>68994</v>
          </cell>
          <cell r="D14" t="str">
            <v>TINTA B-NEGRO 400-020</v>
          </cell>
          <cell r="H14">
            <v>529.30999999999995</v>
          </cell>
        </row>
        <row r="15">
          <cell r="C15" t="str">
            <v>68594</v>
          </cell>
          <cell r="D15" t="str">
            <v>TINTA L-TIERRA SOMBRA 400-090</v>
          </cell>
          <cell r="H15">
            <v>529.30999999999995</v>
          </cell>
        </row>
        <row r="16">
          <cell r="C16" t="str">
            <v>68584</v>
          </cell>
          <cell r="D16" t="str">
            <v>TINTA I-CAFE OXIDO 400-070</v>
          </cell>
          <cell r="H16">
            <v>529.30999999999995</v>
          </cell>
        </row>
        <row r="17">
          <cell r="C17" t="str">
            <v>SRG-10073</v>
          </cell>
          <cell r="D17" t="str">
            <v>ESMALTE GLOSI SR OSTION</v>
          </cell>
          <cell r="H17">
            <v>584.48</v>
          </cell>
        </row>
        <row r="18">
          <cell r="C18" t="str">
            <v>60331</v>
          </cell>
          <cell r="D18" t="str">
            <v>THINNER STD G</v>
          </cell>
          <cell r="H18">
            <v>666.38</v>
          </cell>
        </row>
        <row r="19">
          <cell r="C19" t="str">
            <v>28804</v>
          </cell>
          <cell r="D19" t="str">
            <v>BARNIZ ALQ. TRANSP. NATURAL</v>
          </cell>
          <cell r="H19">
            <v>138.79</v>
          </cell>
        </row>
        <row r="20">
          <cell r="C20" t="str">
            <v>60424</v>
          </cell>
          <cell r="D20" t="str">
            <v>SOLVENTE ECONOMICO</v>
          </cell>
          <cell r="H20">
            <v>48.28</v>
          </cell>
        </row>
        <row r="21">
          <cell r="C21" t="str">
            <v>60384</v>
          </cell>
          <cell r="D21" t="str">
            <v>THINNER STANDARD</v>
          </cell>
          <cell r="H21">
            <v>56.9</v>
          </cell>
        </row>
        <row r="22">
          <cell r="C22" t="str">
            <v>60364</v>
          </cell>
          <cell r="D22" t="str">
            <v>THINNER STD MULTIUSOS PET</v>
          </cell>
          <cell r="H22">
            <v>53.45</v>
          </cell>
        </row>
        <row r="23">
          <cell r="C23" t="str">
            <v>60054</v>
          </cell>
          <cell r="D23" t="str">
            <v>THINNER NO.5</v>
          </cell>
          <cell r="H23">
            <v>78.45</v>
          </cell>
        </row>
        <row r="24">
          <cell r="C24" t="str">
            <v>60373</v>
          </cell>
          <cell r="D24" t="str">
            <v>SOLVENTE T-200 GALON</v>
          </cell>
          <cell r="H24">
            <v>361.21</v>
          </cell>
        </row>
        <row r="25">
          <cell r="C25" t="str">
            <v>28004</v>
          </cell>
          <cell r="D25" t="str">
            <v>ESMALTE BRILLON BLANCO</v>
          </cell>
          <cell r="H25">
            <v>112.93</v>
          </cell>
        </row>
        <row r="26">
          <cell r="C26" t="str">
            <v>VG-50014</v>
          </cell>
          <cell r="D26" t="str">
            <v>VINILICA GLOSI BLANCO ULTRA</v>
          </cell>
          <cell r="H26">
            <v>78.45</v>
          </cell>
        </row>
        <row r="27">
          <cell r="C27" t="str">
            <v>VG-50013</v>
          </cell>
          <cell r="D27" t="str">
            <v>VINILICA GLOSI BLANCO ULTRA</v>
          </cell>
          <cell r="H27">
            <v>224.14</v>
          </cell>
        </row>
        <row r="28">
          <cell r="C28" t="str">
            <v>VG-50011</v>
          </cell>
          <cell r="D28" t="str">
            <v>VINILICA GLOSI BLANCO ULTRA</v>
          </cell>
          <cell r="H28">
            <v>909.48</v>
          </cell>
        </row>
        <row r="29">
          <cell r="C29" t="str">
            <v>VG-30014</v>
          </cell>
          <cell r="D29" t="str">
            <v>VINILICA GLOSI BLANCO BASIC</v>
          </cell>
          <cell r="H29">
            <v>56.9</v>
          </cell>
        </row>
        <row r="30">
          <cell r="C30" t="str">
            <v>VG-30013</v>
          </cell>
          <cell r="D30" t="str">
            <v>VINILICA GLOSI BLANCO BASIC</v>
          </cell>
          <cell r="H30">
            <v>163.79</v>
          </cell>
        </row>
        <row r="31">
          <cell r="C31" t="str">
            <v>VG-30011</v>
          </cell>
          <cell r="D31" t="str">
            <v>VINILICA GLOSI BLANCO BASIC</v>
          </cell>
          <cell r="H31">
            <v>656.03</v>
          </cell>
        </row>
        <row r="32">
          <cell r="C32" t="str">
            <v>G-31114</v>
          </cell>
          <cell r="D32" t="str">
            <v>VINILICA GLOSI BLANCO PRO</v>
          </cell>
          <cell r="H32">
            <v>102.59</v>
          </cell>
        </row>
        <row r="33">
          <cell r="C33" t="str">
            <v>G-31113</v>
          </cell>
          <cell r="D33" t="str">
            <v>VINILICA GLOSI BLANCO PRO</v>
          </cell>
          <cell r="H33">
            <v>339.66</v>
          </cell>
        </row>
        <row r="34">
          <cell r="C34" t="str">
            <v>G-31111</v>
          </cell>
          <cell r="D34" t="str">
            <v>VINILICA GLOSI BLANCO PRO</v>
          </cell>
          <cell r="H34">
            <v>1355.17</v>
          </cell>
        </row>
        <row r="35">
          <cell r="C35" t="str">
            <v>17743</v>
          </cell>
          <cell r="D35" t="str">
            <v>S.R. VERDE BOSQUE E-1884</v>
          </cell>
          <cell r="H35">
            <v>927.59</v>
          </cell>
        </row>
        <row r="36">
          <cell r="C36" t="str">
            <v>17793</v>
          </cell>
          <cell r="D36" t="str">
            <v>SR VERDE OBSCURO</v>
          </cell>
          <cell r="H36">
            <v>972.41</v>
          </cell>
        </row>
        <row r="37">
          <cell r="C37" t="str">
            <v>G-31101</v>
          </cell>
          <cell r="D37" t="str">
            <v>VINILICA GLOSI BLANCO PRO</v>
          </cell>
          <cell r="H37">
            <v>1355.17</v>
          </cell>
        </row>
        <row r="38">
          <cell r="C38" t="str">
            <v>28934</v>
          </cell>
          <cell r="D38" t="str">
            <v>BRILLON GRIS</v>
          </cell>
          <cell r="H38">
            <v>112.93</v>
          </cell>
        </row>
        <row r="39">
          <cell r="C39" t="str">
            <v>28774</v>
          </cell>
          <cell r="D39" t="str">
            <v>BRILLON VERDE SELVA</v>
          </cell>
          <cell r="H39">
            <v>112.93</v>
          </cell>
        </row>
        <row r="40">
          <cell r="C40" t="str">
            <v>28304</v>
          </cell>
          <cell r="D40" t="str">
            <v>BRILLON DURAZNO</v>
          </cell>
          <cell r="H40">
            <v>112.93</v>
          </cell>
        </row>
        <row r="41">
          <cell r="C41" t="str">
            <v>28134</v>
          </cell>
          <cell r="D41" t="str">
            <v>BRILLON AMARILLO LIMON</v>
          </cell>
          <cell r="H41">
            <v>112.93</v>
          </cell>
        </row>
        <row r="42">
          <cell r="C42" t="str">
            <v>28914</v>
          </cell>
          <cell r="D42" t="str">
            <v>BRILLON DORADO</v>
          </cell>
          <cell r="H42">
            <v>112.93</v>
          </cell>
        </row>
        <row r="43">
          <cell r="C43" t="str">
            <v>ES-47154</v>
          </cell>
          <cell r="D43" t="str">
            <v>LACA NITRO ACRILICA MATE</v>
          </cell>
          <cell r="H43">
            <v>193.97</v>
          </cell>
        </row>
        <row r="44">
          <cell r="C44" t="str">
            <v>ES-47153</v>
          </cell>
          <cell r="D44" t="str">
            <v>LACA NITRO ACRILICA MATE</v>
          </cell>
          <cell r="H44">
            <v>669.83</v>
          </cell>
        </row>
        <row r="45">
          <cell r="C45" t="str">
            <v>ES-47151</v>
          </cell>
          <cell r="D45" t="str">
            <v>LACA NITRO ACRILICA MATE</v>
          </cell>
          <cell r="H45">
            <v>2902.59</v>
          </cell>
        </row>
        <row r="46">
          <cell r="C46" t="str">
            <v>ES-47144</v>
          </cell>
          <cell r="D46" t="str">
            <v>LACA NITRO ACRILICA SEMIMATE</v>
          </cell>
          <cell r="H46">
            <v>193.97</v>
          </cell>
        </row>
        <row r="47">
          <cell r="C47" t="str">
            <v>ES-47143</v>
          </cell>
          <cell r="D47" t="str">
            <v>LACA NITRO ACRILICA SEMIMATE</v>
          </cell>
          <cell r="H47">
            <v>669.83</v>
          </cell>
        </row>
        <row r="48">
          <cell r="C48" t="str">
            <v>ES-47141</v>
          </cell>
          <cell r="D48" t="str">
            <v>LACA NITRO ACRILICA SEMIMATE</v>
          </cell>
          <cell r="H48">
            <v>2902.59</v>
          </cell>
        </row>
        <row r="49">
          <cell r="C49" t="str">
            <v>ES-47134</v>
          </cell>
          <cell r="D49" t="str">
            <v>LACA NITRO ACRILICA BLANCA</v>
          </cell>
          <cell r="H49">
            <v>218.97</v>
          </cell>
        </row>
        <row r="50">
          <cell r="C50" t="str">
            <v>ES-47133</v>
          </cell>
          <cell r="D50" t="str">
            <v>LACA NITRO ACRILICA BLANCA</v>
          </cell>
          <cell r="H50">
            <v>756.9</v>
          </cell>
        </row>
        <row r="51">
          <cell r="C51" t="str">
            <v>ES-47131</v>
          </cell>
          <cell r="D51" t="str">
            <v>LACA NITRO ACRILICA BLANCA</v>
          </cell>
          <cell r="H51">
            <v>3321.55</v>
          </cell>
        </row>
        <row r="52">
          <cell r="C52" t="str">
            <v>ES-47124</v>
          </cell>
          <cell r="D52" t="str">
            <v>LACA NITRO ACRILICA BRILLANTE</v>
          </cell>
          <cell r="H52">
            <v>193.97</v>
          </cell>
        </row>
        <row r="53">
          <cell r="C53" t="str">
            <v>ES-47123</v>
          </cell>
          <cell r="D53" t="str">
            <v>LACA NITRO ACRILICA BRILLANTE</v>
          </cell>
          <cell r="H53">
            <v>669.83</v>
          </cell>
        </row>
        <row r="54">
          <cell r="C54" t="str">
            <v>ES-47121</v>
          </cell>
          <cell r="D54" t="str">
            <v>LACA NITRO ACRILICA BRILLANTE</v>
          </cell>
          <cell r="H54">
            <v>2902.59</v>
          </cell>
        </row>
        <row r="55">
          <cell r="C55" t="str">
            <v>ES-47114</v>
          </cell>
          <cell r="D55" t="str">
            <v>PRIMER NITRO ACRILICO BLANCO</v>
          </cell>
          <cell r="H55">
            <v>175.86</v>
          </cell>
        </row>
        <row r="56">
          <cell r="C56" t="str">
            <v>ES-47113</v>
          </cell>
          <cell r="D56" t="str">
            <v>PRIMER NITRO ACRILICO BLANCO</v>
          </cell>
          <cell r="H56">
            <v>562.92999999999995</v>
          </cell>
        </row>
        <row r="57">
          <cell r="C57" t="str">
            <v>ES-47111</v>
          </cell>
          <cell r="D57" t="str">
            <v>PRIMER NITRO ACRILICO BLANCO</v>
          </cell>
          <cell r="H57">
            <v>3166.38</v>
          </cell>
        </row>
        <row r="58">
          <cell r="C58" t="str">
            <v>28855</v>
          </cell>
          <cell r="D58" t="str">
            <v>BARNIZ ALQUIDALICO ROBLE</v>
          </cell>
          <cell r="H58">
            <v>97.41</v>
          </cell>
        </row>
        <row r="59">
          <cell r="C59" t="str">
            <v>60401</v>
          </cell>
          <cell r="D59" t="str">
            <v>THINNER-LACA</v>
          </cell>
          <cell r="H59">
            <v>1499.14</v>
          </cell>
        </row>
        <row r="60">
          <cell r="C60" t="str">
            <v>36044</v>
          </cell>
          <cell r="D60" t="str">
            <v>SELLADOR BASE ALCALINO PROTEC</v>
          </cell>
          <cell r="H60">
            <v>145.69</v>
          </cell>
        </row>
        <row r="61">
          <cell r="C61" t="str">
            <v>36043</v>
          </cell>
          <cell r="D61" t="str">
            <v>SELLADOR BASE ALCALINO PROTEC</v>
          </cell>
          <cell r="H61">
            <v>501.72</v>
          </cell>
        </row>
        <row r="62">
          <cell r="C62" t="str">
            <v>36041</v>
          </cell>
          <cell r="D62" t="str">
            <v>SELLADOR BASE ALCALINO PROTEC</v>
          </cell>
          <cell r="H62">
            <v>2554.31</v>
          </cell>
        </row>
        <row r="63">
          <cell r="C63" t="str">
            <v>29244</v>
          </cell>
          <cell r="D63" t="str">
            <v>CATALIZADOR P/RELL AZUL (25GRS)</v>
          </cell>
          <cell r="H63">
            <v>29.31</v>
          </cell>
        </row>
        <row r="64">
          <cell r="C64" t="str">
            <v>N29596</v>
          </cell>
          <cell r="D64" t="str">
            <v>PULIMENTO ROJO MEDIANO TRIPOLI</v>
          </cell>
          <cell r="H64">
            <v>47.41</v>
          </cell>
        </row>
        <row r="65">
          <cell r="C65" t="str">
            <v>N29595</v>
          </cell>
          <cell r="D65" t="str">
            <v>PULIMENTO ROJO MEDIANO TRIPOLI</v>
          </cell>
          <cell r="H65">
            <v>81.03</v>
          </cell>
        </row>
        <row r="66">
          <cell r="C66" t="str">
            <v>N29594</v>
          </cell>
          <cell r="D66" t="str">
            <v>PULIMENTO ROJO MEDIANO TRIPOLI</v>
          </cell>
          <cell r="H66">
            <v>144.83000000000001</v>
          </cell>
        </row>
        <row r="67">
          <cell r="C67" t="str">
            <v>N29506</v>
          </cell>
          <cell r="D67" t="str">
            <v>PULIMENTO BLANCO 1968</v>
          </cell>
          <cell r="H67">
            <v>47.41</v>
          </cell>
        </row>
        <row r="68">
          <cell r="C68" t="str">
            <v>N29505</v>
          </cell>
          <cell r="D68" t="str">
            <v>PULIMENTO BLANCO 1968</v>
          </cell>
          <cell r="H68">
            <v>81.03</v>
          </cell>
        </row>
        <row r="69">
          <cell r="C69" t="str">
            <v>N29504</v>
          </cell>
          <cell r="D69" t="str">
            <v>PULIMENTO BLANCO 1968</v>
          </cell>
          <cell r="H69">
            <v>144.83000000000001</v>
          </cell>
        </row>
        <row r="70">
          <cell r="C70" t="str">
            <v>KW2700</v>
          </cell>
          <cell r="D70" t="str">
            <v>KIT CARWASH</v>
          </cell>
          <cell r="H70">
            <v>200.86</v>
          </cell>
        </row>
        <row r="71">
          <cell r="C71" t="str">
            <v>SRG-10076</v>
          </cell>
          <cell r="D71" t="str">
            <v>ESMALTE GLOSI SR OSTION</v>
          </cell>
          <cell r="H71">
            <v>66.38</v>
          </cell>
        </row>
        <row r="72">
          <cell r="C72" t="str">
            <v>60363</v>
          </cell>
          <cell r="D72" t="str">
            <v>THINNER ESTANDAR MULTIUSOS</v>
          </cell>
          <cell r="H72">
            <v>264.66000000000003</v>
          </cell>
        </row>
        <row r="73">
          <cell r="C73" t="str">
            <v>58931</v>
          </cell>
          <cell r="D73" t="str">
            <v>PROMETAL E-29-A GRIS</v>
          </cell>
          <cell r="H73">
            <v>6346.55</v>
          </cell>
        </row>
        <row r="74">
          <cell r="C74" t="str">
            <v>E-59011</v>
          </cell>
          <cell r="D74" t="str">
            <v>PROMETAL E-29-A BLANCO</v>
          </cell>
          <cell r="H74">
            <v>6346.55</v>
          </cell>
        </row>
        <row r="75">
          <cell r="C75" t="str">
            <v>VG-30213</v>
          </cell>
          <cell r="D75" t="str">
            <v>VINILICA GLOSI MARFIL 3A</v>
          </cell>
          <cell r="H75">
            <v>163.79</v>
          </cell>
        </row>
        <row r="76">
          <cell r="C76" t="str">
            <v>VG-30211</v>
          </cell>
          <cell r="D76" t="str">
            <v>VINILICA GLOSI MARFIL 3A</v>
          </cell>
          <cell r="H76">
            <v>656.9</v>
          </cell>
        </row>
        <row r="77">
          <cell r="C77" t="str">
            <v>VG-30123</v>
          </cell>
          <cell r="D77" t="str">
            <v>VINILICA GLOSI AMARILLO 3A</v>
          </cell>
          <cell r="H77">
            <v>163.79</v>
          </cell>
        </row>
        <row r="78">
          <cell r="C78" t="str">
            <v>VG-30121</v>
          </cell>
          <cell r="D78" t="str">
            <v>VINILICA GLOSI AMARILLO 3A</v>
          </cell>
          <cell r="H78">
            <v>656.9</v>
          </cell>
        </row>
        <row r="79">
          <cell r="C79" t="str">
            <v>VG-30004</v>
          </cell>
          <cell r="D79" t="str">
            <v>VINILICA GLOSI BLANCO 3A</v>
          </cell>
          <cell r="H79">
            <v>56.9</v>
          </cell>
        </row>
        <row r="80">
          <cell r="C80" t="str">
            <v>VG-30003</v>
          </cell>
          <cell r="D80" t="str">
            <v>VINILICA GLOSI BLANCO 3A</v>
          </cell>
          <cell r="H80">
            <v>163.79</v>
          </cell>
        </row>
        <row r="81">
          <cell r="C81" t="str">
            <v>VG-30001</v>
          </cell>
          <cell r="D81" t="str">
            <v>VINILICA GLOSI BLANCO 3A</v>
          </cell>
          <cell r="H81">
            <v>656.9</v>
          </cell>
        </row>
        <row r="82">
          <cell r="C82" t="str">
            <v>T-14981</v>
          </cell>
          <cell r="D82" t="str">
            <v>BASE NITRO NEGRA</v>
          </cell>
          <cell r="H82">
            <v>3349.14</v>
          </cell>
        </row>
        <row r="83">
          <cell r="C83" t="str">
            <v>T-14980</v>
          </cell>
          <cell r="D83" t="str">
            <v>BASE NITRO NEGRA</v>
          </cell>
          <cell r="H83">
            <v>28331.03</v>
          </cell>
        </row>
        <row r="84">
          <cell r="C84" t="str">
            <v>T-13743</v>
          </cell>
          <cell r="D84" t="str">
            <v>LACA WATER WHITE T.A.</v>
          </cell>
          <cell r="H84">
            <v>653.45000000000005</v>
          </cell>
        </row>
        <row r="85">
          <cell r="C85" t="str">
            <v>T-13741</v>
          </cell>
          <cell r="D85" t="str">
            <v>LACA WATER WHITE T.A.</v>
          </cell>
          <cell r="H85">
            <v>2697.41</v>
          </cell>
        </row>
        <row r="86">
          <cell r="C86" t="str">
            <v>T-13740</v>
          </cell>
          <cell r="D86" t="str">
            <v>LACA WATER WHITE T.A.</v>
          </cell>
          <cell r="H86">
            <v>28468.97</v>
          </cell>
        </row>
        <row r="87">
          <cell r="C87" t="str">
            <v>T-13731</v>
          </cell>
          <cell r="D87" t="str">
            <v>LACA W.W.SEMIMATE</v>
          </cell>
          <cell r="H87">
            <v>2527.59</v>
          </cell>
        </row>
        <row r="88">
          <cell r="C88" t="str">
            <v>T-13730</v>
          </cell>
          <cell r="D88" t="str">
            <v>LACA W.W.SEMIMATE</v>
          </cell>
          <cell r="H88">
            <v>26663.79</v>
          </cell>
        </row>
        <row r="89">
          <cell r="C89" t="str">
            <v>T-13721</v>
          </cell>
          <cell r="D89" t="str">
            <v>LACA W.W. MATE</v>
          </cell>
          <cell r="H89">
            <v>2716.38</v>
          </cell>
        </row>
        <row r="90">
          <cell r="C90" t="str">
            <v>T-13001</v>
          </cell>
          <cell r="D90" t="str">
            <v>LACA NITRO BLANCA</v>
          </cell>
          <cell r="H90">
            <v>2499.14</v>
          </cell>
        </row>
        <row r="91">
          <cell r="C91" t="str">
            <v>STI-5960043</v>
          </cell>
          <cell r="D91" t="str">
            <v>PROMETAL E-26-B VERDE 1774</v>
          </cell>
          <cell r="H91">
            <v>1983.62</v>
          </cell>
        </row>
        <row r="92">
          <cell r="C92" t="str">
            <v>SRG-10995</v>
          </cell>
          <cell r="D92" t="str">
            <v>ESMALTE GLOSI SR NEGRO BRILLANTE</v>
          </cell>
          <cell r="H92">
            <v>100</v>
          </cell>
        </row>
        <row r="93">
          <cell r="C93" t="str">
            <v>SRG-10074</v>
          </cell>
          <cell r="D93" t="str">
            <v>ESMALTE GLOSI SR OSTION</v>
          </cell>
          <cell r="H93">
            <v>161.21</v>
          </cell>
        </row>
        <row r="94">
          <cell r="C94" t="str">
            <v>SRG-10005</v>
          </cell>
          <cell r="D94" t="str">
            <v>ESMALTE GLOSI SR BLANCO</v>
          </cell>
          <cell r="H94">
            <v>100</v>
          </cell>
        </row>
        <row r="95">
          <cell r="C95" t="str">
            <v>S-17984</v>
          </cell>
          <cell r="D95" t="str">
            <v>ESM.SECADO RAPIDO NEGRO MATE</v>
          </cell>
          <cell r="H95">
            <v>273.27999999999997</v>
          </cell>
        </row>
        <row r="96">
          <cell r="C96" t="str">
            <v>S-17983</v>
          </cell>
          <cell r="D96" t="str">
            <v>ESM.SECADO RAPIDO NEGRO MATE</v>
          </cell>
          <cell r="H96">
            <v>978.45</v>
          </cell>
        </row>
        <row r="97">
          <cell r="C97" t="str">
            <v>S-17004</v>
          </cell>
          <cell r="D97" t="str">
            <v>ESM.SECADO RAPIDO BLANCO</v>
          </cell>
          <cell r="H97">
            <v>273.27999999999997</v>
          </cell>
        </row>
        <row r="98">
          <cell r="C98" t="str">
            <v>RP-22073</v>
          </cell>
          <cell r="D98" t="str">
            <v>POLVO DE ZINC P/RP-22 3K</v>
          </cell>
          <cell r="H98">
            <v>4159.4799999999996</v>
          </cell>
        </row>
        <row r="99">
          <cell r="C99" t="str">
            <v>RP-22055</v>
          </cell>
          <cell r="D99" t="str">
            <v>CATALIZADOR P/RP22 3K</v>
          </cell>
          <cell r="H99">
            <v>199.14</v>
          </cell>
        </row>
        <row r="100">
          <cell r="C100" t="str">
            <v>RP-22033</v>
          </cell>
          <cell r="D100" t="str">
            <v>PRIMETAL RP-22 EPOX RICO EN ZINC 3K</v>
          </cell>
          <cell r="H100">
            <v>475.86</v>
          </cell>
        </row>
        <row r="101">
          <cell r="C101" t="str">
            <v>RA-28013</v>
          </cell>
          <cell r="D101" t="str">
            <v>CATALIZADOR PARA RA-2800</v>
          </cell>
          <cell r="H101">
            <v>3581.9</v>
          </cell>
        </row>
        <row r="102">
          <cell r="C102" t="str">
            <v>RA-28001</v>
          </cell>
          <cell r="D102" t="str">
            <v>P. ACAB. PU BLANCO RA-28</v>
          </cell>
          <cell r="H102">
            <v>12681.03</v>
          </cell>
        </row>
        <row r="103">
          <cell r="C103" t="str">
            <v>PRG-10934</v>
          </cell>
          <cell r="D103" t="str">
            <v>PRIMARIO GLOSI ESTRUCTURAS GRIS</v>
          </cell>
          <cell r="H103">
            <v>105.17</v>
          </cell>
        </row>
        <row r="104">
          <cell r="C104" t="str">
            <v>PRG-10933</v>
          </cell>
          <cell r="D104" t="str">
            <v>PRIMARIO GLOSI ESTRUCTURAS GRIS</v>
          </cell>
          <cell r="H104">
            <v>364.66</v>
          </cell>
        </row>
        <row r="105">
          <cell r="C105" t="str">
            <v>PRG-10931</v>
          </cell>
          <cell r="D105" t="str">
            <v>PRIMARIO GLOSI ESTRUCTURAS GRIS</v>
          </cell>
          <cell r="H105">
            <v>1500.86</v>
          </cell>
        </row>
        <row r="106">
          <cell r="C106" t="str">
            <v>PRG-10564</v>
          </cell>
          <cell r="D106" t="str">
            <v>ESTRUCTURAS ROJO OXIDO</v>
          </cell>
          <cell r="H106">
            <v>105.17</v>
          </cell>
        </row>
        <row r="107">
          <cell r="C107" t="str">
            <v>PRG-10563</v>
          </cell>
          <cell r="D107" t="str">
            <v>ESTRUCTURAS ROJO OXIDO</v>
          </cell>
          <cell r="H107">
            <v>364.66</v>
          </cell>
        </row>
        <row r="108">
          <cell r="C108" t="str">
            <v>PRG-10561</v>
          </cell>
          <cell r="D108" t="str">
            <v>ESTRUCTURAS ROJO OXIDO</v>
          </cell>
          <cell r="H108">
            <v>1500.86</v>
          </cell>
        </row>
        <row r="109">
          <cell r="C109" t="str">
            <v>PPP004</v>
          </cell>
          <cell r="D109" t="str">
            <v>PINTURA PARA PINTARRON 4 METROS</v>
          </cell>
          <cell r="H109">
            <v>1123.28</v>
          </cell>
        </row>
        <row r="110">
          <cell r="C110" t="str">
            <v>PPP002</v>
          </cell>
          <cell r="D110" t="str">
            <v>PINTURA PARA PINTARRON 2 METROS</v>
          </cell>
          <cell r="H110">
            <v>649.14</v>
          </cell>
        </row>
        <row r="111">
          <cell r="C111" t="str">
            <v>PM-42991</v>
          </cell>
          <cell r="D111" t="str">
            <v>PROMETAL MASTER BA A-420 NEGRO</v>
          </cell>
          <cell r="H111">
            <v>4149.1400000000003</v>
          </cell>
        </row>
        <row r="112">
          <cell r="C112" t="str">
            <v>PM-42001</v>
          </cell>
          <cell r="D112" t="str">
            <v>PROMETAL MASTER BA A-420 BLANCO</v>
          </cell>
          <cell r="H112">
            <v>4192.24</v>
          </cell>
        </row>
        <row r="113">
          <cell r="C113" t="str">
            <v>PM-40001</v>
          </cell>
          <cell r="D113" t="str">
            <v>PROMETAL MASTER BA P-400 BLANCO</v>
          </cell>
          <cell r="H113">
            <v>3606.9</v>
          </cell>
        </row>
        <row r="114">
          <cell r="C114" t="str">
            <v>PC-40993</v>
          </cell>
          <cell r="D114" t="str">
            <v>PROMETAL CLASICO PU-40 NEGRO</v>
          </cell>
          <cell r="H114">
            <v>1117.24</v>
          </cell>
        </row>
        <row r="115">
          <cell r="C115" t="str">
            <v>PC-40991</v>
          </cell>
          <cell r="D115" t="str">
            <v>PROMETAL CLASICO PU-40 NEGRO</v>
          </cell>
          <cell r="H115">
            <v>4421.55</v>
          </cell>
        </row>
        <row r="116">
          <cell r="C116" t="str">
            <v>PC-40923</v>
          </cell>
          <cell r="D116" t="str">
            <v>PROMETAL CLASICO PU-40 GRIS RAL 7004</v>
          </cell>
          <cell r="H116">
            <v>1310.3399999999999</v>
          </cell>
        </row>
        <row r="117">
          <cell r="C117" t="str">
            <v>PC-40921</v>
          </cell>
          <cell r="D117" t="str">
            <v>PROMETAL CLASICO PU-40 GRIS RAL 7004</v>
          </cell>
          <cell r="H117">
            <v>5125</v>
          </cell>
        </row>
        <row r="118">
          <cell r="C118" t="str">
            <v>PC-40173</v>
          </cell>
          <cell r="D118" t="str">
            <v>PROMETAL CLASICO PU-40 AMARILLO RAL 1028</v>
          </cell>
          <cell r="H118">
            <v>1310.3399999999999</v>
          </cell>
        </row>
        <row r="119">
          <cell r="C119" t="str">
            <v>PC-40171</v>
          </cell>
          <cell r="D119" t="str">
            <v>PROMETAL CLASICO PU-40 AMARILLO RAL 1028</v>
          </cell>
          <cell r="H119">
            <v>5125</v>
          </cell>
        </row>
        <row r="120">
          <cell r="C120" t="str">
            <v>PC-40014</v>
          </cell>
          <cell r="D120" t="str">
            <v>CATALIZADOR PARA PROMETAL CLASICO PU-40</v>
          </cell>
          <cell r="H120">
            <v>477.59</v>
          </cell>
        </row>
        <row r="121">
          <cell r="C121" t="str">
            <v>PC-40013</v>
          </cell>
          <cell r="D121" t="str">
            <v>CATALIZADOR PARA PROMETAL CLASICO PU-40</v>
          </cell>
          <cell r="H121">
            <v>1741.38</v>
          </cell>
        </row>
        <row r="122">
          <cell r="C122" t="str">
            <v>PC-40003</v>
          </cell>
          <cell r="D122" t="str">
            <v>PROMETAL CLASICO PU-40 BLANCO</v>
          </cell>
          <cell r="H122">
            <v>1310.3399999999999</v>
          </cell>
        </row>
        <row r="123">
          <cell r="C123" t="str">
            <v>PC-40001</v>
          </cell>
          <cell r="D123" t="str">
            <v>PROMETAL CLASICO PU-40 BLANCO</v>
          </cell>
          <cell r="H123">
            <v>5125</v>
          </cell>
        </row>
        <row r="124">
          <cell r="C124" t="str">
            <v>PC-38923</v>
          </cell>
          <cell r="D124" t="str">
            <v>PROMETAL CLASICO P EPX-38 GRIS RAL 7001</v>
          </cell>
          <cell r="H124">
            <v>1128.45</v>
          </cell>
        </row>
        <row r="125">
          <cell r="C125" t="str">
            <v>PC-38921</v>
          </cell>
          <cell r="D125" t="str">
            <v>PROMETAL CLASICO P EPX-38 GRIS RAL 7001</v>
          </cell>
          <cell r="H125">
            <v>4387.07</v>
          </cell>
        </row>
        <row r="126">
          <cell r="C126" t="str">
            <v>PC-38014</v>
          </cell>
          <cell r="D126" t="str">
            <v>CATALIZADOR P/PROMETAL CLASICO P EPX-38</v>
          </cell>
          <cell r="H126">
            <v>287.07</v>
          </cell>
        </row>
        <row r="127">
          <cell r="C127" t="str">
            <v>PC-38013</v>
          </cell>
          <cell r="D127" t="str">
            <v>CATALIZADOR P/PROMETAL CLASICO P EPX-38</v>
          </cell>
          <cell r="H127">
            <v>969.83</v>
          </cell>
        </row>
        <row r="128">
          <cell r="C128" t="str">
            <v>PC-38003</v>
          </cell>
          <cell r="D128" t="str">
            <v>PROMETAL CLASICO P EPX-38 BLANCO</v>
          </cell>
          <cell r="H128">
            <v>1128.45</v>
          </cell>
        </row>
        <row r="129">
          <cell r="C129" t="str">
            <v>PC-38001</v>
          </cell>
          <cell r="D129" t="str">
            <v>PROMETAL CLASICO P EPX-38 BLANCO</v>
          </cell>
          <cell r="H129">
            <v>4387.07</v>
          </cell>
        </row>
        <row r="130">
          <cell r="C130" t="str">
            <v>P-16800</v>
          </cell>
          <cell r="D130" t="str">
            <v>HORNEO BLANCO MALDONADO 2</v>
          </cell>
          <cell r="H130">
            <v>36525</v>
          </cell>
        </row>
        <row r="131">
          <cell r="C131" t="str">
            <v>IT-59-83</v>
          </cell>
          <cell r="D131" t="str">
            <v>PROMETAL E-26B</v>
          </cell>
          <cell r="H131">
            <v>2918.1</v>
          </cell>
        </row>
        <row r="132">
          <cell r="C132" t="str">
            <v>IG-50561</v>
          </cell>
          <cell r="D132" t="str">
            <v>IMPERGLOSI AGUACERO TERRACOTA 5A</v>
          </cell>
          <cell r="H132">
            <v>896.55</v>
          </cell>
        </row>
        <row r="133">
          <cell r="C133" t="str">
            <v>IG-50001</v>
          </cell>
          <cell r="D133" t="str">
            <v>IMPERGLOSI AGUACERO BLANCO 5A</v>
          </cell>
          <cell r="H133">
            <v>896.55</v>
          </cell>
        </row>
        <row r="134">
          <cell r="C134" t="str">
            <v>IG-40561</v>
          </cell>
          <cell r="D134" t="str">
            <v>AGUACERO 4A TERRACOTA FIBRATADO</v>
          </cell>
          <cell r="H134">
            <v>816.38</v>
          </cell>
        </row>
        <row r="135">
          <cell r="C135" t="str">
            <v>IG-40001</v>
          </cell>
          <cell r="D135" t="str">
            <v>AGUACERO 4A BLANCO FIBRATADO</v>
          </cell>
          <cell r="H135">
            <v>816.38</v>
          </cell>
        </row>
        <row r="136">
          <cell r="C136" t="str">
            <v>IG-30563</v>
          </cell>
          <cell r="D136" t="str">
            <v>IMPERGLOSI AGUACERO TERRACOTA 3A</v>
          </cell>
          <cell r="H136">
            <v>179.31</v>
          </cell>
        </row>
        <row r="137">
          <cell r="C137" t="str">
            <v>IG-30561</v>
          </cell>
          <cell r="D137" t="str">
            <v>IMPERGLOSI AGUACERO TERRACOTA 3A</v>
          </cell>
          <cell r="H137">
            <v>708.62</v>
          </cell>
        </row>
        <row r="138">
          <cell r="C138" t="str">
            <v>IG-30003</v>
          </cell>
          <cell r="D138" t="str">
            <v>IMPERGLOSI AGUACERO BLANCO 3A</v>
          </cell>
          <cell r="H138">
            <v>179.31</v>
          </cell>
        </row>
        <row r="139">
          <cell r="C139" t="str">
            <v>IG-30001</v>
          </cell>
          <cell r="D139" t="str">
            <v>IMPERGLOSI AGUACERO BLANCO 3A</v>
          </cell>
          <cell r="H139">
            <v>708.62</v>
          </cell>
        </row>
        <row r="140">
          <cell r="C140" t="str">
            <v>G-31974</v>
          </cell>
          <cell r="D140" t="str">
            <v>VINILICA GLOSI VERDE BOSQUE PRO</v>
          </cell>
          <cell r="H140">
            <v>102.59</v>
          </cell>
        </row>
        <row r="141">
          <cell r="C141" t="str">
            <v>G-31973</v>
          </cell>
          <cell r="D141" t="str">
            <v>VINILICA GLOSI VERDE BOSQUE PRO</v>
          </cell>
          <cell r="H141">
            <v>339.66</v>
          </cell>
        </row>
        <row r="142">
          <cell r="C142" t="str">
            <v>G-31971</v>
          </cell>
          <cell r="D142" t="str">
            <v>VINILICA GLOSI VERDE BOSQUE PRO</v>
          </cell>
          <cell r="H142">
            <v>1355.17</v>
          </cell>
        </row>
        <row r="143">
          <cell r="C143" t="str">
            <v>G-31924</v>
          </cell>
          <cell r="D143" t="str">
            <v>VINILICA GLOSI CAFE CHOCOLATE PRO</v>
          </cell>
          <cell r="H143">
            <v>102.59</v>
          </cell>
        </row>
        <row r="144">
          <cell r="C144" t="str">
            <v>G-31923</v>
          </cell>
          <cell r="D144" t="str">
            <v>VINILICA GLOSI CAFE CHOCOLATE PRO</v>
          </cell>
          <cell r="H144">
            <v>339.66</v>
          </cell>
        </row>
        <row r="145">
          <cell r="C145" t="str">
            <v>G-31921</v>
          </cell>
          <cell r="D145" t="str">
            <v>VINILICA GLOSI CAFE CHOCOLATE PRO</v>
          </cell>
          <cell r="H145">
            <v>1355.17</v>
          </cell>
        </row>
        <row r="146">
          <cell r="C146" t="str">
            <v>G-31914</v>
          </cell>
          <cell r="D146" t="str">
            <v>VINILICA GLOSI VIOLETA PRO</v>
          </cell>
          <cell r="H146">
            <v>102.59</v>
          </cell>
        </row>
        <row r="147">
          <cell r="C147" t="str">
            <v>G-31913</v>
          </cell>
          <cell r="D147" t="str">
            <v>VINILICA GLOSI VIOLETA PRO</v>
          </cell>
          <cell r="H147">
            <v>339.66</v>
          </cell>
        </row>
        <row r="148">
          <cell r="C148" t="str">
            <v>G-31911</v>
          </cell>
          <cell r="D148" t="str">
            <v>VINILICA GLOSI VIOLETA PRO</v>
          </cell>
          <cell r="H148">
            <v>1355.17</v>
          </cell>
        </row>
        <row r="149">
          <cell r="C149" t="str">
            <v>G-31894</v>
          </cell>
          <cell r="D149" t="str">
            <v>VINILICA GLOSI ROSA MEX PRO</v>
          </cell>
          <cell r="H149">
            <v>102.59</v>
          </cell>
        </row>
        <row r="150">
          <cell r="C150" t="str">
            <v>G-31893</v>
          </cell>
          <cell r="D150" t="str">
            <v>VINILICA GLOSI ROSA MEX PRO</v>
          </cell>
          <cell r="H150">
            <v>339.66</v>
          </cell>
        </row>
        <row r="151">
          <cell r="C151" t="str">
            <v>G-31891</v>
          </cell>
          <cell r="D151" t="str">
            <v>VINILICA GLOSI ROSA MEX PRO</v>
          </cell>
          <cell r="H151">
            <v>1355.17</v>
          </cell>
        </row>
        <row r="152">
          <cell r="C152" t="str">
            <v>G-31884</v>
          </cell>
          <cell r="D152" t="str">
            <v>VINILICA GLOSI NEGRO PRO</v>
          </cell>
          <cell r="H152">
            <v>102.59</v>
          </cell>
        </row>
        <row r="153">
          <cell r="C153" t="str">
            <v>G-31883</v>
          </cell>
          <cell r="D153" t="str">
            <v>VINILICA GLOSI NEGRO PRO</v>
          </cell>
          <cell r="H153">
            <v>339.66</v>
          </cell>
        </row>
        <row r="154">
          <cell r="C154" t="str">
            <v>G-31881</v>
          </cell>
          <cell r="D154" t="str">
            <v>VINILICA GLOSI NEGRO PRO</v>
          </cell>
          <cell r="H154">
            <v>1355.17</v>
          </cell>
        </row>
        <row r="155">
          <cell r="C155" t="str">
            <v>G-31874</v>
          </cell>
          <cell r="D155" t="str">
            <v>VINILICA GLOSI VERDE PRO</v>
          </cell>
          <cell r="H155">
            <v>102.59</v>
          </cell>
        </row>
        <row r="156">
          <cell r="C156" t="str">
            <v>G-31873</v>
          </cell>
          <cell r="D156" t="str">
            <v>VINILICA GLOSI VERDE PRO</v>
          </cell>
          <cell r="H156">
            <v>339.66</v>
          </cell>
        </row>
        <row r="157">
          <cell r="C157" t="str">
            <v>G-31871</v>
          </cell>
          <cell r="D157" t="str">
            <v>VINILICA GLOSI VERDE PRO</v>
          </cell>
          <cell r="H157">
            <v>1355.17</v>
          </cell>
        </row>
        <row r="158">
          <cell r="C158" t="str">
            <v>G-31864</v>
          </cell>
          <cell r="D158" t="str">
            <v>VINILICA GLOSI AZUL REY PRO</v>
          </cell>
          <cell r="H158">
            <v>102.59</v>
          </cell>
        </row>
        <row r="159">
          <cell r="C159" t="str">
            <v>G-31863</v>
          </cell>
          <cell r="D159" t="str">
            <v>VINILICA GLOSI AZUL REY PRO</v>
          </cell>
          <cell r="H159">
            <v>339.66</v>
          </cell>
        </row>
        <row r="160">
          <cell r="C160" t="str">
            <v>G-31861</v>
          </cell>
          <cell r="D160" t="str">
            <v>VINILICA GLOSI AZUL REY PRO</v>
          </cell>
          <cell r="H160">
            <v>1355.17</v>
          </cell>
        </row>
        <row r="161">
          <cell r="C161" t="str">
            <v>G-31854</v>
          </cell>
          <cell r="D161" t="str">
            <v>VINILICA GLOSI LADRILLO PRO</v>
          </cell>
          <cell r="H161">
            <v>102.59</v>
          </cell>
        </row>
        <row r="162">
          <cell r="C162" t="str">
            <v>G-31853</v>
          </cell>
          <cell r="D162" t="str">
            <v>VINILICA GLOSI LADRILLO PRO</v>
          </cell>
          <cell r="H162">
            <v>339.66</v>
          </cell>
        </row>
        <row r="163">
          <cell r="C163" t="str">
            <v>G-31851</v>
          </cell>
          <cell r="D163" t="str">
            <v>VINILICA GLOSI LADRILLO PRO</v>
          </cell>
          <cell r="H163">
            <v>1355.17</v>
          </cell>
        </row>
        <row r="164">
          <cell r="C164" t="str">
            <v>G-31844</v>
          </cell>
          <cell r="D164" t="str">
            <v>VINILICA GLOSI ROJO PRO</v>
          </cell>
          <cell r="H164">
            <v>102.59</v>
          </cell>
        </row>
        <row r="165">
          <cell r="C165" t="str">
            <v>G-31843</v>
          </cell>
          <cell r="D165" t="str">
            <v>VINILICA GLOSI ROJO PRO</v>
          </cell>
          <cell r="H165">
            <v>339.66</v>
          </cell>
        </row>
        <row r="166">
          <cell r="C166" t="str">
            <v>G-31841</v>
          </cell>
          <cell r="D166" t="str">
            <v>VINILICA GLOSI ROJO PRO</v>
          </cell>
          <cell r="H166">
            <v>1355.17</v>
          </cell>
        </row>
        <row r="167">
          <cell r="C167" t="str">
            <v>G-31834</v>
          </cell>
          <cell r="D167" t="str">
            <v>VINILICA GLOSI NARANJA PRO</v>
          </cell>
          <cell r="H167">
            <v>102.59</v>
          </cell>
        </row>
        <row r="168">
          <cell r="C168" t="str">
            <v>G-31833</v>
          </cell>
          <cell r="D168" t="str">
            <v>VINILICA GLOSI NARANJA PRO</v>
          </cell>
          <cell r="H168">
            <v>339.66</v>
          </cell>
        </row>
        <row r="169">
          <cell r="C169" t="str">
            <v>G-31831</v>
          </cell>
          <cell r="D169" t="str">
            <v>VINILICA GLOSI NARANJA PRO</v>
          </cell>
          <cell r="H169">
            <v>1355.17</v>
          </cell>
        </row>
        <row r="170">
          <cell r="C170" t="str">
            <v>G-31824</v>
          </cell>
          <cell r="D170" t="str">
            <v>VINILICA GLOSI OCRE PRO</v>
          </cell>
          <cell r="H170">
            <v>102.59</v>
          </cell>
        </row>
        <row r="171">
          <cell r="C171" t="str">
            <v>G-31823</v>
          </cell>
          <cell r="D171" t="str">
            <v>VINILICA GLOSI OCRE PRO</v>
          </cell>
          <cell r="H171">
            <v>339.66</v>
          </cell>
        </row>
        <row r="172">
          <cell r="C172" t="str">
            <v>G-31821</v>
          </cell>
          <cell r="D172" t="str">
            <v>VINILICA GLOSI OCRE PRO</v>
          </cell>
          <cell r="H172">
            <v>1355.17</v>
          </cell>
        </row>
        <row r="173">
          <cell r="C173" t="str">
            <v>G-31814</v>
          </cell>
          <cell r="D173" t="str">
            <v>VINILICA GLOSI AMARILLO PRO</v>
          </cell>
          <cell r="H173">
            <v>102.59</v>
          </cell>
        </row>
        <row r="174">
          <cell r="C174" t="str">
            <v>G-31813</v>
          </cell>
          <cell r="D174" t="str">
            <v>VINILICA GLOSI AMARILLO PRO</v>
          </cell>
          <cell r="H174">
            <v>339.66</v>
          </cell>
        </row>
        <row r="175">
          <cell r="C175" t="str">
            <v>G-31811</v>
          </cell>
          <cell r="D175" t="str">
            <v>VINILICA GLOSI AMARILLO PRO</v>
          </cell>
          <cell r="H175">
            <v>1355.17</v>
          </cell>
        </row>
        <row r="176">
          <cell r="C176" t="str">
            <v>G-31804</v>
          </cell>
          <cell r="D176" t="str">
            <v>VINILICA GLOSI AMARILLO ENTONADO PRO</v>
          </cell>
          <cell r="H176">
            <v>102.59</v>
          </cell>
        </row>
        <row r="177">
          <cell r="C177" t="str">
            <v>G-31803</v>
          </cell>
          <cell r="D177" t="str">
            <v>VINILICA GLOSI AMARILLO ENTONADO PRO</v>
          </cell>
          <cell r="H177">
            <v>339.66</v>
          </cell>
        </row>
        <row r="178">
          <cell r="C178" t="str">
            <v>G-31801</v>
          </cell>
          <cell r="D178" t="str">
            <v>VINILICA GLOSI AMARILLO ENTONADO PRO</v>
          </cell>
          <cell r="H178">
            <v>1355.17</v>
          </cell>
        </row>
        <row r="179">
          <cell r="C179" t="str">
            <v>G-31104</v>
          </cell>
          <cell r="D179" t="str">
            <v>VINILICA GLOSI BLANCO PRO</v>
          </cell>
          <cell r="H179">
            <v>102.59</v>
          </cell>
        </row>
        <row r="180">
          <cell r="C180" t="str">
            <v>G-31103</v>
          </cell>
          <cell r="D180" t="str">
            <v>VINILICA GLOSI BLANCO PRO</v>
          </cell>
          <cell r="H180">
            <v>339.66</v>
          </cell>
        </row>
        <row r="181">
          <cell r="C181" t="str">
            <v>ES-91351</v>
          </cell>
          <cell r="D181" t="str">
            <v>ESMALTE AMARILLO CROMO FMA BASE AGUA</v>
          </cell>
          <cell r="H181">
            <v>3219.83</v>
          </cell>
        </row>
        <row r="182">
          <cell r="C182" t="str">
            <v>ES-75401</v>
          </cell>
          <cell r="D182" t="str">
            <v>TRAFICO AMARILLO BASE AGUA ID</v>
          </cell>
          <cell r="H182">
            <v>2701.72</v>
          </cell>
        </row>
        <row r="183">
          <cell r="C183" t="str">
            <v>ES-75141</v>
          </cell>
          <cell r="D183" t="str">
            <v>TRAFICO BLANCO BASE AGUA ID</v>
          </cell>
          <cell r="H183">
            <v>2574.14</v>
          </cell>
        </row>
        <row r="184">
          <cell r="C184" t="str">
            <v>ES-70491</v>
          </cell>
          <cell r="D184" t="str">
            <v>FONDO 100% ACRILICO BLANCO</v>
          </cell>
          <cell r="H184">
            <v>1743.1</v>
          </cell>
        </row>
        <row r="185">
          <cell r="C185" t="str">
            <v>ES-62523</v>
          </cell>
          <cell r="D185" t="str">
            <v>PROM. APU GRIS PERLA HUNSTMAN</v>
          </cell>
          <cell r="H185">
            <v>1416.38</v>
          </cell>
        </row>
        <row r="186">
          <cell r="C186" t="str">
            <v>ES-62513</v>
          </cell>
          <cell r="D186" t="str">
            <v>PROMETAL E-26-B GRIS PERLA HUNTSMAN</v>
          </cell>
          <cell r="H186">
            <v>1513.79</v>
          </cell>
        </row>
        <row r="187">
          <cell r="C187" t="str">
            <v>ES-62181</v>
          </cell>
          <cell r="D187" t="str">
            <v>PROMETAL APU VERDE GUARDABOX</v>
          </cell>
          <cell r="H187">
            <v>7930.17</v>
          </cell>
        </row>
        <row r="188">
          <cell r="C188" t="str">
            <v>ES-61801</v>
          </cell>
          <cell r="D188" t="str">
            <v>PROMETAL APU ARENA 31</v>
          </cell>
          <cell r="H188">
            <v>7400.86</v>
          </cell>
        </row>
        <row r="189">
          <cell r="C189" t="str">
            <v>ES-61781</v>
          </cell>
          <cell r="D189" t="str">
            <v>PROMETAL APU VERDE OBSCURO #12</v>
          </cell>
          <cell r="H189">
            <v>7400.86</v>
          </cell>
        </row>
        <row r="190">
          <cell r="C190" t="str">
            <v>ES-61744</v>
          </cell>
          <cell r="D190" t="str">
            <v>ACABADO NC GRIS PIEDRA RAL 7030</v>
          </cell>
          <cell r="H190">
            <v>193.1</v>
          </cell>
        </row>
        <row r="191">
          <cell r="C191" t="str">
            <v>ES-61711</v>
          </cell>
          <cell r="D191" t="str">
            <v>PRIMETAL ALF-U GRIS SEÑALES RAL 7004</v>
          </cell>
          <cell r="H191">
            <v>4312.93</v>
          </cell>
        </row>
        <row r="192">
          <cell r="C192" t="str">
            <v>ES-61683</v>
          </cell>
          <cell r="D192" t="str">
            <v>PROMETAL APU GRIS LUMINOSO RAL 7035</v>
          </cell>
          <cell r="H192">
            <v>1819.83</v>
          </cell>
        </row>
        <row r="193">
          <cell r="C193" t="str">
            <v>ES-61626</v>
          </cell>
          <cell r="D193" t="str">
            <v>ACELERADOR PARA EPOXICO</v>
          </cell>
          <cell r="H193">
            <v>111.21</v>
          </cell>
        </row>
        <row r="194">
          <cell r="C194" t="str">
            <v>ES-61537</v>
          </cell>
          <cell r="D194" t="str">
            <v>ACELERADOR PARA APU</v>
          </cell>
          <cell r="H194">
            <v>55.17</v>
          </cell>
        </row>
        <row r="195">
          <cell r="C195" t="str">
            <v>ES-61171</v>
          </cell>
          <cell r="D195" t="str">
            <v>80619109 PROM E-26-B GRIS RAL 7035</v>
          </cell>
          <cell r="H195">
            <v>7437.93</v>
          </cell>
        </row>
        <row r="196">
          <cell r="C196" t="str">
            <v>ES-61161</v>
          </cell>
          <cell r="D196" t="str">
            <v>80621018 PROM E-26-B GRIS RAL 7038</v>
          </cell>
          <cell r="H196">
            <v>7437.93</v>
          </cell>
        </row>
        <row r="197">
          <cell r="C197" t="str">
            <v>ES-47026</v>
          </cell>
          <cell r="D197" t="str">
            <v>RESANADOR PINO BA H11</v>
          </cell>
          <cell r="H197">
            <v>58.62</v>
          </cell>
        </row>
        <row r="198">
          <cell r="C198" t="str">
            <v>ES-46944</v>
          </cell>
          <cell r="D198" t="str">
            <v>BARNIZ PU SOFT TOUCH B15</v>
          </cell>
          <cell r="H198">
            <v>276.72000000000003</v>
          </cell>
        </row>
        <row r="199">
          <cell r="C199" t="str">
            <v>ES-46943</v>
          </cell>
          <cell r="D199" t="str">
            <v>BARNIZ PU SOFT TOUCH B15</v>
          </cell>
          <cell r="H199">
            <v>1015.52</v>
          </cell>
        </row>
        <row r="200">
          <cell r="C200" t="str">
            <v>ES-46941</v>
          </cell>
          <cell r="D200" t="str">
            <v>BARNIZ PU SOFT TOUCH B15</v>
          </cell>
          <cell r="H200">
            <v>3610.34</v>
          </cell>
        </row>
        <row r="201">
          <cell r="C201" t="str">
            <v>ES-46934</v>
          </cell>
          <cell r="D201" t="str">
            <v>BARNIZ PU BLANCO SÓLIDO BTE</v>
          </cell>
          <cell r="H201">
            <v>292.24</v>
          </cell>
        </row>
        <row r="202">
          <cell r="C202" t="str">
            <v>ES-46933</v>
          </cell>
          <cell r="D202" t="str">
            <v>BARNIZ PU BLANCO SÓLIDO BTE</v>
          </cell>
          <cell r="H202">
            <v>1004.31</v>
          </cell>
        </row>
        <row r="203">
          <cell r="C203" t="str">
            <v>ES-46931</v>
          </cell>
          <cell r="D203" t="str">
            <v>BARNIZ PU BLANCO SÓLIDO BTE</v>
          </cell>
          <cell r="H203">
            <v>4118.1000000000004</v>
          </cell>
        </row>
        <row r="204">
          <cell r="C204" t="str">
            <v>ES-46781</v>
          </cell>
          <cell r="D204" t="str">
            <v>SELLADOR PARA MUÑEQUEO CHOCOLATE</v>
          </cell>
          <cell r="H204">
            <v>2700.86</v>
          </cell>
        </row>
        <row r="205">
          <cell r="C205" t="str">
            <v>ES-46780</v>
          </cell>
          <cell r="D205" t="str">
            <v>SELLADOR PARA MUÑEQUEO CHOCOLATE</v>
          </cell>
          <cell r="H205">
            <v>26847.41</v>
          </cell>
        </row>
        <row r="206">
          <cell r="C206" t="str">
            <v>ES-45321</v>
          </cell>
          <cell r="D206" t="str">
            <v>ESMALTE ACRILICO ROJO FERGUSON</v>
          </cell>
          <cell r="H206">
            <v>4803.45</v>
          </cell>
        </row>
        <row r="207">
          <cell r="C207" t="str">
            <v>ES-44821</v>
          </cell>
          <cell r="D207" t="str">
            <v>ESMALTE ACRILICO GRIS CLASS</v>
          </cell>
          <cell r="H207">
            <v>4178.45</v>
          </cell>
        </row>
        <row r="208">
          <cell r="C208" t="str">
            <v>ES-44801</v>
          </cell>
          <cell r="D208" t="str">
            <v>ESMALTE ACRILICO AZUL NEW HOLLAND</v>
          </cell>
          <cell r="H208">
            <v>5483.62</v>
          </cell>
        </row>
        <row r="209">
          <cell r="C209" t="str">
            <v>ES-44791</v>
          </cell>
          <cell r="D209" t="str">
            <v>ESMALTE ACRILICO AMARILLO JOHN DEERE</v>
          </cell>
          <cell r="H209">
            <v>3744.83</v>
          </cell>
        </row>
        <row r="210">
          <cell r="C210" t="str">
            <v>ES-42670</v>
          </cell>
          <cell r="D210" t="str">
            <v>PINTURA PERLA CTL</v>
          </cell>
          <cell r="H210">
            <v>28824.14</v>
          </cell>
        </row>
        <row r="211">
          <cell r="C211" t="str">
            <v>ES-42464</v>
          </cell>
          <cell r="D211" t="str">
            <v>AISLANTE DE PU P/MADERA</v>
          </cell>
          <cell r="H211">
            <v>217.24</v>
          </cell>
        </row>
        <row r="212">
          <cell r="C212" t="str">
            <v>ES-42351</v>
          </cell>
          <cell r="D212" t="str">
            <v>LACA INDUSTRIAL CHOCOLATE</v>
          </cell>
          <cell r="H212">
            <v>3075</v>
          </cell>
        </row>
        <row r="213">
          <cell r="C213" t="str">
            <v>ES-42260</v>
          </cell>
          <cell r="D213" t="str">
            <v>LACA DOPE ALTA VISCOSIDAD</v>
          </cell>
          <cell r="H213">
            <v>37983.620000000003</v>
          </cell>
        </row>
        <row r="214">
          <cell r="C214" t="str">
            <v>ES-41571</v>
          </cell>
          <cell r="D214" t="str">
            <v>SIGLO ESMALTE ACRILICO AMARILLO JOHN DEE</v>
          </cell>
          <cell r="H214">
            <v>5237.93</v>
          </cell>
        </row>
        <row r="215">
          <cell r="C215" t="str">
            <v>ES-40421</v>
          </cell>
          <cell r="D215" t="str">
            <v>ESM. ACRILICO ROJO</v>
          </cell>
          <cell r="H215">
            <v>5206.03</v>
          </cell>
        </row>
        <row r="216">
          <cell r="C216" t="str">
            <v>ES-40080</v>
          </cell>
          <cell r="D216" t="str">
            <v>PINTURA ROSA ALTA VISCOSIDAD</v>
          </cell>
          <cell r="H216">
            <v>39280.17</v>
          </cell>
        </row>
        <row r="217">
          <cell r="C217" t="str">
            <v>ES-05121</v>
          </cell>
          <cell r="D217" t="str">
            <v>TRAFICO BLANCO INECO</v>
          </cell>
          <cell r="H217">
            <v>2856.9</v>
          </cell>
        </row>
        <row r="218">
          <cell r="C218" t="str">
            <v>ES-05120</v>
          </cell>
          <cell r="D218" t="str">
            <v>TRAFICO BLANCO INECO</v>
          </cell>
          <cell r="H218">
            <v>28809.48</v>
          </cell>
        </row>
        <row r="219">
          <cell r="C219" t="str">
            <v>ES-05111</v>
          </cell>
          <cell r="D219" t="str">
            <v>TRAFICO AMARILLO INECO</v>
          </cell>
          <cell r="H219">
            <v>2856.9</v>
          </cell>
        </row>
        <row r="220">
          <cell r="C220" t="str">
            <v>ES-05110</v>
          </cell>
          <cell r="D220" t="str">
            <v>TRAFICO AMARILLO INECO</v>
          </cell>
          <cell r="H220">
            <v>28809.48</v>
          </cell>
        </row>
        <row r="221">
          <cell r="C221" t="str">
            <v>ES-04740</v>
          </cell>
          <cell r="D221" t="str">
            <v>AUTOIMPRIMANTE NEGRO L-28</v>
          </cell>
          <cell r="H221">
            <v>21325.86</v>
          </cell>
        </row>
        <row r="222">
          <cell r="C222" t="str">
            <v>ES-04371</v>
          </cell>
          <cell r="D222" t="str">
            <v>PRIMARIO ESTRUCTURAS GRIS 15-93 AD</v>
          </cell>
          <cell r="H222">
            <v>1806.03</v>
          </cell>
        </row>
        <row r="223">
          <cell r="C223" t="str">
            <v>ES-04103</v>
          </cell>
          <cell r="D223" t="str">
            <v>ACABADO NC GRIS SEÑALES RAL 7004</v>
          </cell>
          <cell r="H223">
            <v>857.76</v>
          </cell>
        </row>
        <row r="224">
          <cell r="C224" t="str">
            <v>ES-03990</v>
          </cell>
          <cell r="D224" t="str">
            <v>HORNEO ROJO MARRON</v>
          </cell>
          <cell r="H224">
            <v>40042.239999999998</v>
          </cell>
        </row>
        <row r="225">
          <cell r="C225" t="str">
            <v>ES-03781</v>
          </cell>
          <cell r="D225" t="str">
            <v>ACAB. FENOLADO RAL 9002 SEMI MATE</v>
          </cell>
          <cell r="H225">
            <v>4561.21</v>
          </cell>
        </row>
        <row r="226">
          <cell r="C226" t="str">
            <v>ES-03450</v>
          </cell>
          <cell r="D226" t="str">
            <v>HORNEO BLANCO BMR</v>
          </cell>
          <cell r="H226">
            <v>27275</v>
          </cell>
        </row>
        <row r="227">
          <cell r="C227" t="str">
            <v>ES-03300</v>
          </cell>
          <cell r="D227" t="str">
            <v>HORNEO ROJO FENIX</v>
          </cell>
          <cell r="H227">
            <v>37886.21</v>
          </cell>
        </row>
        <row r="228">
          <cell r="C228" t="str">
            <v>ES-03090</v>
          </cell>
          <cell r="D228" t="str">
            <v>PRIMARIO ESTRUCTURAS GRIS ORGANICO</v>
          </cell>
          <cell r="H228">
            <v>23518.1</v>
          </cell>
        </row>
        <row r="229">
          <cell r="C229" t="str">
            <v>ES-02870</v>
          </cell>
          <cell r="D229" t="str">
            <v>HORNEO VERDE LIQUESA</v>
          </cell>
          <cell r="H229">
            <v>37931.03</v>
          </cell>
        </row>
        <row r="230">
          <cell r="C230" t="str">
            <v>ES-02531</v>
          </cell>
          <cell r="D230" t="str">
            <v>TRAFICO GRIS</v>
          </cell>
          <cell r="H230">
            <v>3287.93</v>
          </cell>
        </row>
        <row r="231">
          <cell r="C231" t="str">
            <v>ES-02041</v>
          </cell>
          <cell r="D231" t="str">
            <v>PRIMARIO ESTRUCTURAS UP BLANCO RC-180</v>
          </cell>
          <cell r="H231">
            <v>2807.76</v>
          </cell>
        </row>
        <row r="232">
          <cell r="C232" t="str">
            <v>ES-02040</v>
          </cell>
          <cell r="D232" t="str">
            <v>PRIMARIO ESTRUCTURAS UP BLANCO RC-180</v>
          </cell>
          <cell r="H232">
            <v>28306.9</v>
          </cell>
        </row>
        <row r="233">
          <cell r="C233" t="str">
            <v>ES-01931</v>
          </cell>
          <cell r="D233" t="str">
            <v>TRAFICO VERDE</v>
          </cell>
          <cell r="H233">
            <v>3958.62</v>
          </cell>
        </row>
        <row r="234">
          <cell r="C234" t="str">
            <v>ES-01740</v>
          </cell>
          <cell r="D234" t="str">
            <v>HORNEO BLANCO MAZA</v>
          </cell>
          <cell r="H234">
            <v>42146.55</v>
          </cell>
        </row>
        <row r="235">
          <cell r="C235" t="str">
            <v>ES-01280</v>
          </cell>
          <cell r="D235" t="str">
            <v>DRY FALL BLANCO</v>
          </cell>
          <cell r="H235">
            <v>33764.660000000003</v>
          </cell>
        </row>
        <row r="236">
          <cell r="C236" t="str">
            <v>ES-00920</v>
          </cell>
          <cell r="D236" t="str">
            <v>HORNEO VERDE</v>
          </cell>
          <cell r="H236">
            <v>34818.97</v>
          </cell>
        </row>
        <row r="237">
          <cell r="C237" t="str">
            <v>ES-00840</v>
          </cell>
          <cell r="D237" t="str">
            <v>SR MARTILLADO GRIS MAZAHUA</v>
          </cell>
          <cell r="H237">
            <v>35408.620000000003</v>
          </cell>
        </row>
        <row r="238">
          <cell r="C238" t="str">
            <v>ES-00780</v>
          </cell>
          <cell r="D238" t="str">
            <v>HORNEO BEIGE OBSCURO MATE</v>
          </cell>
          <cell r="H238">
            <v>33411.21</v>
          </cell>
        </row>
        <row r="239">
          <cell r="C239" t="str">
            <v>ES-00670</v>
          </cell>
          <cell r="D239" t="str">
            <v>HORNEO TINTO P-506</v>
          </cell>
          <cell r="H239">
            <v>43624.14</v>
          </cell>
        </row>
        <row r="240">
          <cell r="C240" t="str">
            <v>ES-00600</v>
          </cell>
          <cell r="D240" t="str">
            <v>HORNEO GRIS GRAY 4 C</v>
          </cell>
          <cell r="H240">
            <v>32742.240000000002</v>
          </cell>
        </row>
        <row r="241">
          <cell r="C241" t="str">
            <v>ES-00590</v>
          </cell>
          <cell r="D241" t="str">
            <v>HORNEO NARANJA 172-C</v>
          </cell>
          <cell r="H241">
            <v>42548.28</v>
          </cell>
        </row>
        <row r="242">
          <cell r="C242" t="str">
            <v>ES-00031</v>
          </cell>
          <cell r="D242" t="str">
            <v>SR BLANCO</v>
          </cell>
          <cell r="H242">
            <v>3575</v>
          </cell>
        </row>
        <row r="243">
          <cell r="C243" t="str">
            <v>E-99390</v>
          </cell>
          <cell r="D243" t="str">
            <v>HORNEO CAFE MADERA</v>
          </cell>
          <cell r="H243">
            <v>38063.79</v>
          </cell>
        </row>
        <row r="244">
          <cell r="C244" t="str">
            <v>E-99331</v>
          </cell>
          <cell r="D244" t="str">
            <v>ACABADO INDUSTRIAL AF NEGRO</v>
          </cell>
          <cell r="H244">
            <v>2828.45</v>
          </cell>
        </row>
        <row r="245">
          <cell r="C245" t="str">
            <v>E-99250</v>
          </cell>
          <cell r="D245" t="str">
            <v>HORNEO CAFE CHOCOLATE SEMI-MATE</v>
          </cell>
          <cell r="H245">
            <v>35515.519999999997</v>
          </cell>
        </row>
        <row r="246">
          <cell r="C246" t="str">
            <v>E-99244</v>
          </cell>
          <cell r="D246" t="str">
            <v>SR CAFE CHOCOLATE SEMI-MATE</v>
          </cell>
          <cell r="H246">
            <v>209.48</v>
          </cell>
        </row>
        <row r="247">
          <cell r="C247" t="str">
            <v>E-99243</v>
          </cell>
          <cell r="D247" t="str">
            <v>SR CAFE CHOCOLATE SEMI-MATE</v>
          </cell>
          <cell r="H247">
            <v>807.76</v>
          </cell>
        </row>
        <row r="248">
          <cell r="C248" t="str">
            <v>E-99241</v>
          </cell>
          <cell r="D248" t="str">
            <v>SR CAFE CHOCOLATE SEMI-MATE</v>
          </cell>
          <cell r="H248">
            <v>4216.38</v>
          </cell>
        </row>
        <row r="249">
          <cell r="C249" t="str">
            <v>E-98080</v>
          </cell>
          <cell r="D249" t="str">
            <v>HORNEO CAFE METALICO</v>
          </cell>
          <cell r="H249">
            <v>40536.21</v>
          </cell>
        </row>
        <row r="250">
          <cell r="C250" t="str">
            <v>E-97421</v>
          </cell>
          <cell r="D250" t="str">
            <v>S.R. MART. AZUL MAZAHUA INVIERNO</v>
          </cell>
          <cell r="H250">
            <v>3612.93</v>
          </cell>
        </row>
        <row r="251">
          <cell r="C251" t="str">
            <v>E-9709TB</v>
          </cell>
          <cell r="D251" t="str">
            <v>SR METALICO</v>
          </cell>
          <cell r="H251">
            <v>186753.45</v>
          </cell>
        </row>
        <row r="252">
          <cell r="C252" t="str">
            <v>E-96880</v>
          </cell>
          <cell r="D252" t="str">
            <v>HORNEO BLANCO NAXCA 2 PIN 0301</v>
          </cell>
          <cell r="H252">
            <v>39481.03</v>
          </cell>
        </row>
        <row r="253">
          <cell r="C253" t="str">
            <v>E-96221</v>
          </cell>
          <cell r="D253" t="str">
            <v>S.R. BLANCO A.R.</v>
          </cell>
          <cell r="H253">
            <v>3215.52</v>
          </cell>
        </row>
        <row r="254">
          <cell r="C254" t="str">
            <v>E-96220</v>
          </cell>
          <cell r="D254" t="str">
            <v>S.R. BLANCO A.R.</v>
          </cell>
          <cell r="H254">
            <v>36130.17</v>
          </cell>
        </row>
        <row r="255">
          <cell r="C255" t="str">
            <v>E-95251</v>
          </cell>
          <cell r="D255" t="str">
            <v>HORNEO AZUL KEYSTONE</v>
          </cell>
          <cell r="H255">
            <v>3595.69</v>
          </cell>
        </row>
        <row r="256">
          <cell r="C256" t="str">
            <v>E-95050</v>
          </cell>
          <cell r="D256" t="str">
            <v>HORNEO BLANCO AZULADO</v>
          </cell>
          <cell r="H256">
            <v>38999.14</v>
          </cell>
        </row>
        <row r="257">
          <cell r="C257" t="str">
            <v>E-90384</v>
          </cell>
          <cell r="D257" t="str">
            <v>PROMETAL AF-62 BLANCO OSTION</v>
          </cell>
          <cell r="H257">
            <v>292.24</v>
          </cell>
        </row>
        <row r="258">
          <cell r="C258" t="str">
            <v>E-90383</v>
          </cell>
          <cell r="D258" t="str">
            <v>PRIMETAL AF-62 BLANCO OSTION</v>
          </cell>
          <cell r="H258">
            <v>859.48</v>
          </cell>
        </row>
        <row r="259">
          <cell r="C259" t="str">
            <v>E-90381</v>
          </cell>
          <cell r="D259" t="str">
            <v>PRIMETAL AF-62 BLANCO OSTION</v>
          </cell>
          <cell r="H259">
            <v>3654.31</v>
          </cell>
        </row>
        <row r="260">
          <cell r="C260" t="str">
            <v>E-90194</v>
          </cell>
          <cell r="D260" t="str">
            <v>PRIMARIO ESTRUCTURAS BLANCO</v>
          </cell>
          <cell r="H260">
            <v>214.66</v>
          </cell>
        </row>
        <row r="261">
          <cell r="C261" t="str">
            <v>E-90193</v>
          </cell>
          <cell r="D261" t="str">
            <v>PRIMARIO ESTRUCTURAS BLANCO</v>
          </cell>
          <cell r="H261">
            <v>769.83</v>
          </cell>
        </row>
        <row r="262">
          <cell r="C262" t="str">
            <v>E-90191</v>
          </cell>
          <cell r="D262" t="str">
            <v>PRIMARIO ESTRUCTURAS BLANCO</v>
          </cell>
          <cell r="H262">
            <v>3037.93</v>
          </cell>
        </row>
        <row r="263">
          <cell r="C263" t="str">
            <v>E-90190</v>
          </cell>
          <cell r="D263" t="str">
            <v>PRIMARIO ESTRUCTURAS BLANCO</v>
          </cell>
          <cell r="H263">
            <v>30518.97</v>
          </cell>
        </row>
        <row r="264">
          <cell r="C264" t="str">
            <v>E-75670</v>
          </cell>
          <cell r="D264" t="str">
            <v>LACA ACRILICA P/MADERA</v>
          </cell>
          <cell r="H264">
            <v>36737.93</v>
          </cell>
        </row>
        <row r="265">
          <cell r="C265" t="str">
            <v>E-75661</v>
          </cell>
          <cell r="D265" t="str">
            <v>SELLADOR PARA MADERA W.W A.V</v>
          </cell>
          <cell r="H265">
            <v>3142.24</v>
          </cell>
        </row>
        <row r="266">
          <cell r="C266" t="str">
            <v>E-74424</v>
          </cell>
          <cell r="D266" t="str">
            <v>FONDO DE NITRO CAFE TABACO</v>
          </cell>
          <cell r="H266">
            <v>190.52</v>
          </cell>
        </row>
        <row r="267">
          <cell r="C267" t="str">
            <v>E-73791</v>
          </cell>
          <cell r="D267" t="str">
            <v>BARNIZ DE SR P/MAD A.DIREC./A.BRILLO</v>
          </cell>
          <cell r="H267">
            <v>4550.8599999999997</v>
          </cell>
        </row>
        <row r="268">
          <cell r="C268" t="str">
            <v>E-73053</v>
          </cell>
          <cell r="D268" t="str">
            <v>RESANADOR PINO H-10 "RESANAPRISA"</v>
          </cell>
          <cell r="H268">
            <v>483.62</v>
          </cell>
        </row>
        <row r="269">
          <cell r="C269" t="str">
            <v>E-72831</v>
          </cell>
          <cell r="D269" t="str">
            <v>ESMALTE ACRILICO ALUMINIO OXIDERS 602.00</v>
          </cell>
          <cell r="H269">
            <v>4649.1400000000003</v>
          </cell>
        </row>
        <row r="270">
          <cell r="C270" t="str">
            <v>E-72700</v>
          </cell>
          <cell r="D270" t="str">
            <v>SOLUCION DE NITROCELULOSA 35/65 TRUMPER</v>
          </cell>
          <cell r="H270">
            <v>40775.86</v>
          </cell>
        </row>
        <row r="271">
          <cell r="C271" t="str">
            <v>E-71591</v>
          </cell>
          <cell r="D271" t="str">
            <v>TINTA AVELLANA</v>
          </cell>
          <cell r="H271">
            <v>14142.24</v>
          </cell>
        </row>
        <row r="272">
          <cell r="C272" t="str">
            <v>E-69631</v>
          </cell>
          <cell r="D272" t="str">
            <v>SOLVENTE PARA FONDO POLIACRILICO</v>
          </cell>
          <cell r="H272">
            <v>2315.52</v>
          </cell>
        </row>
        <row r="273">
          <cell r="C273" t="str">
            <v>E-69470</v>
          </cell>
          <cell r="D273" t="str">
            <v>LACA P/MADERA AZUL ULTRAMAR</v>
          </cell>
          <cell r="H273">
            <v>42797.41</v>
          </cell>
        </row>
        <row r="274">
          <cell r="C274" t="str">
            <v>E-69381</v>
          </cell>
          <cell r="D274" t="str">
            <v>LACA ACRILICA SEMIMATE</v>
          </cell>
          <cell r="H274">
            <v>3968.1</v>
          </cell>
        </row>
        <row r="275">
          <cell r="C275" t="str">
            <v>E-69081</v>
          </cell>
          <cell r="D275" t="str">
            <v>LACA TRANS. STD SEMIMATE B.V.</v>
          </cell>
          <cell r="H275">
            <v>3012.07</v>
          </cell>
        </row>
        <row r="276">
          <cell r="C276" t="str">
            <v>E-68021</v>
          </cell>
          <cell r="D276" t="str">
            <v>BARNIZ PU AS.TPE.BTE.S.RAP/B.OLO</v>
          </cell>
          <cell r="H276">
            <v>3444.83</v>
          </cell>
        </row>
        <row r="277">
          <cell r="C277" t="str">
            <v>E-67640</v>
          </cell>
          <cell r="D277" t="str">
            <v>PINTURA CREMA OBSCURO ALTA VISCOSIDAD</v>
          </cell>
          <cell r="H277">
            <v>48605.17</v>
          </cell>
        </row>
        <row r="278">
          <cell r="C278" t="str">
            <v>E-66954</v>
          </cell>
          <cell r="D278" t="str">
            <v>CATALIZADOR P/FONDO UNIVERSAL VP</v>
          </cell>
          <cell r="H278">
            <v>125.86</v>
          </cell>
        </row>
        <row r="279">
          <cell r="C279" t="str">
            <v>E-66953</v>
          </cell>
          <cell r="D279" t="str">
            <v>CATALIZADOR P/FONDO UNIVERSAL VP</v>
          </cell>
          <cell r="H279">
            <v>470.69</v>
          </cell>
        </row>
        <row r="280">
          <cell r="C280" t="str">
            <v>E-66951</v>
          </cell>
          <cell r="D280" t="str">
            <v>CATALIZADOR P/FONDO UNIVERSAL VP</v>
          </cell>
          <cell r="H280">
            <v>2039.66</v>
          </cell>
        </row>
        <row r="281">
          <cell r="C281" t="str">
            <v>E-66841</v>
          </cell>
          <cell r="D281" t="str">
            <v>LACA TPE.ACRILICA SEMIMATE INCOL</v>
          </cell>
          <cell r="H281">
            <v>3849.14</v>
          </cell>
        </row>
        <row r="282">
          <cell r="C282" t="str">
            <v>E-66153</v>
          </cell>
          <cell r="D282" t="str">
            <v>FONDO UNIVERSAL VP-38</v>
          </cell>
          <cell r="H282">
            <v>1481.03</v>
          </cell>
        </row>
        <row r="283">
          <cell r="C283" t="str">
            <v>E-66151</v>
          </cell>
          <cell r="D283" t="str">
            <v>FONDO UNIVERSAL VP-38</v>
          </cell>
          <cell r="H283">
            <v>6381.9</v>
          </cell>
        </row>
        <row r="284">
          <cell r="C284" t="str">
            <v>E-65303</v>
          </cell>
          <cell r="D284" t="str">
            <v>SOLVENTE REACTIVO PARA POLIURETANO</v>
          </cell>
          <cell r="H284">
            <v>575.86</v>
          </cell>
        </row>
        <row r="285">
          <cell r="C285" t="str">
            <v>E-65301</v>
          </cell>
          <cell r="D285" t="str">
            <v>SOLVENTE REACTIVO PARA POLIURETANO</v>
          </cell>
          <cell r="H285">
            <v>2351.7199999999998</v>
          </cell>
        </row>
        <row r="286">
          <cell r="C286" t="str">
            <v>E-65140</v>
          </cell>
          <cell r="D286" t="str">
            <v>PINTURA CHICLE OBSCURO ALTA VISCOSIDAD</v>
          </cell>
          <cell r="H286">
            <v>42293.97</v>
          </cell>
        </row>
        <row r="287">
          <cell r="C287" t="str">
            <v>E-63211</v>
          </cell>
          <cell r="D287" t="str">
            <v>DOPE SEMI TRANSPARENTE MEDIA VISCOSIDAD</v>
          </cell>
          <cell r="H287">
            <v>3525.86</v>
          </cell>
        </row>
        <row r="288">
          <cell r="C288" t="str">
            <v>E-61534</v>
          </cell>
          <cell r="D288" t="str">
            <v>FONDO AUTOMOTIVO NEGRO</v>
          </cell>
          <cell r="H288">
            <v>232.76</v>
          </cell>
        </row>
        <row r="289">
          <cell r="C289" t="str">
            <v>E-61533</v>
          </cell>
          <cell r="D289" t="str">
            <v>FONDO AUTOMOTIVO NEGRO</v>
          </cell>
          <cell r="H289">
            <v>834.48</v>
          </cell>
        </row>
        <row r="290">
          <cell r="C290" t="str">
            <v>E-61531</v>
          </cell>
          <cell r="D290" t="str">
            <v>FONDO AUTOMOTIVO NEGRO</v>
          </cell>
          <cell r="H290">
            <v>3739.66</v>
          </cell>
        </row>
        <row r="291">
          <cell r="C291" t="str">
            <v>E-59921</v>
          </cell>
          <cell r="D291" t="str">
            <v>PROMETAL APU ARENA ORGANICO</v>
          </cell>
          <cell r="H291">
            <v>7981.03</v>
          </cell>
        </row>
        <row r="292">
          <cell r="C292" t="str">
            <v>E-59871</v>
          </cell>
          <cell r="D292" t="str">
            <v>PROMETAL APU GRIS ORGANICO</v>
          </cell>
          <cell r="H292">
            <v>7400.86</v>
          </cell>
        </row>
        <row r="293">
          <cell r="C293" t="str">
            <v>E-59671</v>
          </cell>
          <cell r="D293" t="str">
            <v>PROMETAL APU AZUL ORGANICO</v>
          </cell>
          <cell r="H293">
            <v>7981.03</v>
          </cell>
        </row>
        <row r="294">
          <cell r="C294" t="str">
            <v>E-59571</v>
          </cell>
          <cell r="D294" t="str">
            <v>PROMETAL APU AMARILLO ORGANICO</v>
          </cell>
          <cell r="H294">
            <v>9649.14</v>
          </cell>
        </row>
        <row r="295">
          <cell r="C295" t="str">
            <v>E-58991</v>
          </cell>
          <cell r="D295" t="str">
            <v>PROMETAL E-26-B GRIS HUESO</v>
          </cell>
          <cell r="H295">
            <v>8120.69</v>
          </cell>
        </row>
        <row r="296">
          <cell r="C296" t="str">
            <v>E-58951</v>
          </cell>
          <cell r="D296" t="str">
            <v>PROMETAL APU ANTIDERRAPANTE GRIS</v>
          </cell>
          <cell r="H296">
            <v>8547.41</v>
          </cell>
        </row>
        <row r="297">
          <cell r="C297" t="str">
            <v>E-58450</v>
          </cell>
          <cell r="D297" t="str">
            <v>PROMETAL APU NARANJA</v>
          </cell>
          <cell r="H297">
            <v>120277.59</v>
          </cell>
        </row>
        <row r="298">
          <cell r="C298" t="str">
            <v>E-58440</v>
          </cell>
          <cell r="D298" t="str">
            <v>PRIMETAL AF-62 NARANJA</v>
          </cell>
          <cell r="H298">
            <v>42713.79</v>
          </cell>
        </row>
        <row r="299">
          <cell r="C299" t="str">
            <v>E-58101</v>
          </cell>
          <cell r="D299" t="str">
            <v>PROMETAL APU GRIS ANSI 70 PROLEC</v>
          </cell>
          <cell r="H299">
            <v>7100</v>
          </cell>
        </row>
        <row r="300">
          <cell r="C300" t="str">
            <v>E-57631</v>
          </cell>
          <cell r="D300" t="str">
            <v>PROMETAL E-26-B CAFE CLARO</v>
          </cell>
          <cell r="H300">
            <v>8605.17</v>
          </cell>
        </row>
        <row r="301">
          <cell r="C301" t="str">
            <v>E-57571</v>
          </cell>
          <cell r="D301" t="str">
            <v>PROMETAL E-21-B TRANSPARENTE</v>
          </cell>
          <cell r="H301">
            <v>6174.14</v>
          </cell>
        </row>
        <row r="302">
          <cell r="C302" t="str">
            <v>E-56653</v>
          </cell>
          <cell r="D302" t="str">
            <v>ACABADO AC-20 II SEMIBRILLANTE</v>
          </cell>
          <cell r="H302">
            <v>1258.6199999999999</v>
          </cell>
        </row>
        <row r="303">
          <cell r="C303" t="str">
            <v>E-56651</v>
          </cell>
          <cell r="D303" t="str">
            <v>ACABADO AC-20 II SEMIBRILLANTE</v>
          </cell>
          <cell r="H303">
            <v>4962.93</v>
          </cell>
        </row>
        <row r="304">
          <cell r="C304" t="str">
            <v>E-55761</v>
          </cell>
          <cell r="D304" t="str">
            <v>PROMETAL E-100 BLANCO</v>
          </cell>
          <cell r="H304">
            <v>12868.97</v>
          </cell>
        </row>
        <row r="305">
          <cell r="C305" t="str">
            <v>E-55713</v>
          </cell>
          <cell r="D305" t="str">
            <v>PROMETAL BPU SEMIMATE</v>
          </cell>
          <cell r="H305">
            <v>1949.14</v>
          </cell>
        </row>
        <row r="306">
          <cell r="C306" t="str">
            <v>E-53353</v>
          </cell>
          <cell r="D306" t="str">
            <v>CATALIZADOR PARA PROMETAL E-100</v>
          </cell>
          <cell r="H306">
            <v>5812.93</v>
          </cell>
        </row>
        <row r="307">
          <cell r="C307" t="str">
            <v>E-51101</v>
          </cell>
          <cell r="D307" t="str">
            <v>PROMETAL CGR NEGRO</v>
          </cell>
          <cell r="H307">
            <v>3726.72</v>
          </cell>
        </row>
        <row r="308">
          <cell r="C308" t="str">
            <v>E-50961</v>
          </cell>
          <cell r="D308" t="str">
            <v>PROMETAL E-1500 AZUL MODIFICADO</v>
          </cell>
          <cell r="H308">
            <v>9175.86</v>
          </cell>
        </row>
        <row r="309">
          <cell r="C309" t="str">
            <v>E-50511</v>
          </cell>
          <cell r="D309" t="str">
            <v>PROMETAL AL-20 VERDE MATE DIVA</v>
          </cell>
          <cell r="H309">
            <v>4206.03</v>
          </cell>
        </row>
        <row r="310">
          <cell r="C310" t="str">
            <v>E-48954</v>
          </cell>
          <cell r="D310" t="str">
            <v>S.R. VERDE JONH DEERE</v>
          </cell>
          <cell r="H310">
            <v>272.41000000000003</v>
          </cell>
        </row>
        <row r="311">
          <cell r="C311" t="str">
            <v>E-48953</v>
          </cell>
          <cell r="D311" t="str">
            <v>S.R. VERDE JOHN DEERE</v>
          </cell>
          <cell r="H311">
            <v>1314.66</v>
          </cell>
        </row>
        <row r="312">
          <cell r="C312" t="str">
            <v>E-48951</v>
          </cell>
          <cell r="D312" t="str">
            <v>S.R. VERDE JOHN DEERE</v>
          </cell>
          <cell r="H312">
            <v>5421.55</v>
          </cell>
        </row>
        <row r="313">
          <cell r="C313" t="str">
            <v>E-48580</v>
          </cell>
          <cell r="D313" t="str">
            <v>ACABADO INDUSTRIAL AF ROJO SC</v>
          </cell>
          <cell r="H313">
            <v>43484.480000000003</v>
          </cell>
        </row>
        <row r="314">
          <cell r="C314" t="str">
            <v>E-48060</v>
          </cell>
          <cell r="D314" t="str">
            <v>ESMALTE AF NARANJA BRILLANTE</v>
          </cell>
          <cell r="H314">
            <v>38937.07</v>
          </cell>
        </row>
        <row r="315">
          <cell r="C315" t="str">
            <v>E-47921</v>
          </cell>
          <cell r="D315" t="str">
            <v>SR NARANJA RIVA PALACIO</v>
          </cell>
          <cell r="H315">
            <v>6118.97</v>
          </cell>
        </row>
        <row r="316">
          <cell r="C316" t="str">
            <v>E-47281</v>
          </cell>
          <cell r="D316" t="str">
            <v>SR GRIS ROCHIN</v>
          </cell>
          <cell r="H316">
            <v>4444.83</v>
          </cell>
        </row>
        <row r="317">
          <cell r="C317" t="str">
            <v>E-47241</v>
          </cell>
          <cell r="D317" t="str">
            <v>SR AZUL ROCHIN</v>
          </cell>
          <cell r="H317">
            <v>4256.8999999999996</v>
          </cell>
        </row>
        <row r="318">
          <cell r="C318" t="str">
            <v>E-47021</v>
          </cell>
          <cell r="D318" t="str">
            <v>ESMALTE HYDRO FAST BLANCO</v>
          </cell>
          <cell r="H318">
            <v>2000</v>
          </cell>
        </row>
        <row r="319">
          <cell r="C319" t="str">
            <v>E-47020</v>
          </cell>
          <cell r="D319" t="str">
            <v>ESMALTE HYDRO FAST BLANCO</v>
          </cell>
          <cell r="H319">
            <v>17848.28</v>
          </cell>
        </row>
        <row r="320">
          <cell r="C320" t="str">
            <v>E-45240</v>
          </cell>
          <cell r="D320" t="str">
            <v>HORNEO GRIS CLARO MTY</v>
          </cell>
          <cell r="H320">
            <v>39154.31</v>
          </cell>
        </row>
        <row r="321">
          <cell r="C321" t="str">
            <v>E-45110</v>
          </cell>
          <cell r="D321" t="str">
            <v>HORNEO GRIS MONTERREY</v>
          </cell>
          <cell r="H321">
            <v>38978.449999999997</v>
          </cell>
        </row>
        <row r="322">
          <cell r="C322" t="str">
            <v>E-43851</v>
          </cell>
          <cell r="D322" t="str">
            <v>PRIMARIO ESTRUCTURAS ROJO OXIDO</v>
          </cell>
          <cell r="H322">
            <v>1925.86</v>
          </cell>
        </row>
        <row r="323">
          <cell r="C323" t="str">
            <v>E-43850</v>
          </cell>
          <cell r="D323" t="str">
            <v>PRIMARIO ESTRUCTURAS ROJO OXIDO</v>
          </cell>
          <cell r="H323">
            <v>19379.310000000001</v>
          </cell>
        </row>
        <row r="324">
          <cell r="C324" t="str">
            <v>E-43470</v>
          </cell>
          <cell r="D324" t="str">
            <v>HORNEO ROJO OXIDO</v>
          </cell>
          <cell r="H324">
            <v>37693.1</v>
          </cell>
        </row>
        <row r="325">
          <cell r="C325" t="str">
            <v>E-43131</v>
          </cell>
          <cell r="D325" t="str">
            <v>ESTRUCTURAS GRIS</v>
          </cell>
          <cell r="H325">
            <v>1963.79</v>
          </cell>
        </row>
        <row r="326">
          <cell r="C326" t="str">
            <v>E-43130</v>
          </cell>
          <cell r="D326" t="str">
            <v>ESTRUCTURAS GRIS</v>
          </cell>
          <cell r="H326">
            <v>19718.099999999999</v>
          </cell>
        </row>
        <row r="327">
          <cell r="C327" t="str">
            <v>E-41361</v>
          </cell>
          <cell r="D327" t="str">
            <v>ACAB. FENOLADO BLANCO LAGOS</v>
          </cell>
          <cell r="H327">
            <v>4326.72</v>
          </cell>
        </row>
        <row r="328">
          <cell r="C328" t="str">
            <v>E-41360</v>
          </cell>
          <cell r="D328" t="str">
            <v>ACAB. FENOLADO BLANCO LAGOS</v>
          </cell>
          <cell r="H328">
            <v>43237.93</v>
          </cell>
        </row>
        <row r="329">
          <cell r="C329" t="str">
            <v>E-40513</v>
          </cell>
          <cell r="D329" t="str">
            <v>ESMALTE ANTICORROSIVO P/ROTORES</v>
          </cell>
          <cell r="H329">
            <v>1449.14</v>
          </cell>
        </row>
        <row r="330">
          <cell r="C330" t="str">
            <v>E-19680</v>
          </cell>
          <cell r="D330" t="str">
            <v>S.R. AZUL VALSI</v>
          </cell>
          <cell r="H330">
            <v>52402.59</v>
          </cell>
        </row>
        <row r="331">
          <cell r="C331" t="str">
            <v>E-19590</v>
          </cell>
          <cell r="D331" t="str">
            <v>HORNEO AZUL COBALTO</v>
          </cell>
          <cell r="H331">
            <v>45767.24</v>
          </cell>
        </row>
        <row r="332">
          <cell r="C332" t="str">
            <v>E-18381</v>
          </cell>
          <cell r="D332" t="str">
            <v>ACABADO INDUSTRIAL AF BLANCO</v>
          </cell>
          <cell r="H332">
            <v>4326.72</v>
          </cell>
        </row>
        <row r="333">
          <cell r="C333" t="str">
            <v>E-18380</v>
          </cell>
          <cell r="D333" t="str">
            <v>ACABADO INDUSTRIAL AF BLANCO</v>
          </cell>
          <cell r="H333">
            <v>43237.93</v>
          </cell>
        </row>
        <row r="334">
          <cell r="C334" t="str">
            <v>E-17521</v>
          </cell>
          <cell r="D334" t="str">
            <v>ESMALTE S.R. NARANJA RAL 2001</v>
          </cell>
          <cell r="H334">
            <v>3643.1</v>
          </cell>
        </row>
        <row r="335">
          <cell r="C335" t="str">
            <v>E-08920</v>
          </cell>
          <cell r="D335" t="str">
            <v>SICLA HULE COZUMEL MATE E-892</v>
          </cell>
          <cell r="H335">
            <v>54434.48</v>
          </cell>
        </row>
        <row r="336">
          <cell r="C336" t="str">
            <v>CM-62995</v>
          </cell>
          <cell r="D336" t="str">
            <v>COLOR PARA CEMENTO NEGRO</v>
          </cell>
          <cell r="H336">
            <v>73.28</v>
          </cell>
        </row>
        <row r="337">
          <cell r="C337" t="str">
            <v>CM-62992</v>
          </cell>
          <cell r="D337" t="str">
            <v>COLOR PARA CEMENTO NEGRO</v>
          </cell>
          <cell r="H337">
            <v>1581.9</v>
          </cell>
        </row>
        <row r="338">
          <cell r="C338" t="str">
            <v>CM-62735</v>
          </cell>
          <cell r="D338" t="str">
            <v>COLOR PARA CEMENTO VERDE LUZ</v>
          </cell>
          <cell r="H338">
            <v>87.93</v>
          </cell>
        </row>
        <row r="339">
          <cell r="C339" t="str">
            <v>CM-62732</v>
          </cell>
          <cell r="D339" t="str">
            <v>COLOR PARA CEMENTO VERDE LUZ</v>
          </cell>
          <cell r="H339">
            <v>1931.9</v>
          </cell>
        </row>
        <row r="340">
          <cell r="C340" t="str">
            <v>CM-62655</v>
          </cell>
          <cell r="D340" t="str">
            <v>COLOR PARA CEMENTO AZUL FLAMA</v>
          </cell>
          <cell r="H340">
            <v>87.93</v>
          </cell>
        </row>
        <row r="341">
          <cell r="C341" t="str">
            <v>CM-62652</v>
          </cell>
          <cell r="D341" t="str">
            <v>COLOR PARA CEMENTO AZUL FLAMA</v>
          </cell>
          <cell r="H341">
            <v>1931.9</v>
          </cell>
        </row>
        <row r="342">
          <cell r="C342" t="str">
            <v>CM-62585</v>
          </cell>
          <cell r="D342" t="str">
            <v>COLOR PARA CEMENTO CAFE</v>
          </cell>
          <cell r="H342">
            <v>73.28</v>
          </cell>
        </row>
        <row r="343">
          <cell r="C343" t="str">
            <v>CM-62582</v>
          </cell>
          <cell r="D343" t="str">
            <v>COLOR PARA CEMENTO CAFE</v>
          </cell>
          <cell r="H343">
            <v>1581.9</v>
          </cell>
        </row>
        <row r="344">
          <cell r="C344" t="str">
            <v>CM-62565</v>
          </cell>
          <cell r="D344" t="str">
            <v>COLOR PARA CEMENTO ROJO OXIDO</v>
          </cell>
          <cell r="H344">
            <v>73.28</v>
          </cell>
        </row>
        <row r="345">
          <cell r="C345" t="str">
            <v>CM-62562</v>
          </cell>
          <cell r="D345" t="str">
            <v>COLOR PARA CEMENTO ROJO OXIDO</v>
          </cell>
          <cell r="H345">
            <v>1581.9</v>
          </cell>
        </row>
        <row r="346">
          <cell r="C346" t="str">
            <v>CM-62265</v>
          </cell>
          <cell r="D346" t="str">
            <v>COLOR PARA CEMENTO AMARILLO OXIDO</v>
          </cell>
          <cell r="H346">
            <v>73.28</v>
          </cell>
        </row>
        <row r="347">
          <cell r="C347" t="str">
            <v>CM-62262</v>
          </cell>
          <cell r="D347" t="str">
            <v>COLOR PARA CEMENTO AMARILLO OXIDO</v>
          </cell>
          <cell r="H347">
            <v>1581.9</v>
          </cell>
        </row>
        <row r="348">
          <cell r="C348" t="str">
            <v>BAG-10894</v>
          </cell>
          <cell r="D348" t="str">
            <v>BARNIZ GLOSI ALQUI NOGAL</v>
          </cell>
          <cell r="H348">
            <v>145.69</v>
          </cell>
        </row>
        <row r="349">
          <cell r="C349" t="str">
            <v>BAG-10884</v>
          </cell>
          <cell r="D349" t="str">
            <v>BARNIZ GLOSI ALQUI CAOBA</v>
          </cell>
          <cell r="H349">
            <v>145.69</v>
          </cell>
        </row>
        <row r="350">
          <cell r="C350" t="str">
            <v>BAG-10844</v>
          </cell>
          <cell r="D350" t="str">
            <v>BARNIZ GLOSI ALQUI CEDRO</v>
          </cell>
          <cell r="H350">
            <v>145.69</v>
          </cell>
        </row>
        <row r="351">
          <cell r="C351" t="str">
            <v>9920-50</v>
          </cell>
          <cell r="D351" t="str">
            <v>CINTA AZUL PINTOR 1/2 PULG X 50 M.</v>
          </cell>
          <cell r="H351">
            <v>40.520000000000003</v>
          </cell>
        </row>
        <row r="352">
          <cell r="C352" t="str">
            <v>99-CM-62655</v>
          </cell>
          <cell r="D352" t="str">
            <v>COLOR PARA CEMENTO AZUL FLAMA</v>
          </cell>
          <cell r="H352">
            <v>87.93</v>
          </cell>
        </row>
        <row r="353">
          <cell r="C353" t="str">
            <v>99-70704</v>
          </cell>
          <cell r="D353" t="str">
            <v>BASE COLOR PERLA VIOLETA</v>
          </cell>
          <cell r="H353">
            <v>632.76</v>
          </cell>
        </row>
        <row r="354">
          <cell r="C354" t="str">
            <v>99-60424</v>
          </cell>
          <cell r="D354" t="str">
            <v>SOLVENTE ECONOMICO -SOLO LIQUIDO-</v>
          </cell>
          <cell r="H354">
            <v>37.07</v>
          </cell>
        </row>
        <row r="355">
          <cell r="C355" t="str">
            <v>99-60381</v>
          </cell>
          <cell r="D355" t="str">
            <v>THINNER STANDARD LACA</v>
          </cell>
          <cell r="H355">
            <v>1209.48</v>
          </cell>
        </row>
        <row r="356">
          <cell r="C356" t="str">
            <v>99-60364</v>
          </cell>
          <cell r="D356" t="str">
            <v>THINNER ESTANDAR MULTIUSOS -SOLO LIQUIDO</v>
          </cell>
          <cell r="H356">
            <v>55.17</v>
          </cell>
        </row>
        <row r="357">
          <cell r="C357" t="str">
            <v>99-60304</v>
          </cell>
          <cell r="D357" t="str">
            <v>SOLVENTE TURPISOL</v>
          </cell>
          <cell r="H357">
            <v>108.62</v>
          </cell>
        </row>
        <row r="358">
          <cell r="C358" t="str">
            <v>99-60052</v>
          </cell>
          <cell r="D358" t="str">
            <v>THINNER NO.5  -SOLO LIQUIDO-</v>
          </cell>
          <cell r="H358">
            <v>68.97</v>
          </cell>
        </row>
        <row r="359">
          <cell r="C359" t="str">
            <v>99-29677</v>
          </cell>
          <cell r="D359" t="str">
            <v>ENDURECEDOR 597</v>
          </cell>
          <cell r="H359">
            <v>171.55</v>
          </cell>
        </row>
        <row r="360">
          <cell r="C360" t="str">
            <v>99-29501</v>
          </cell>
          <cell r="D360" t="str">
            <v>PULIMENTO BLANCO 1968</v>
          </cell>
          <cell r="H360">
            <v>2368.1</v>
          </cell>
        </row>
        <row r="361">
          <cell r="C361" t="str">
            <v>99-2454</v>
          </cell>
          <cell r="D361" t="str">
            <v>AEROSOL PRISA SUPER CROMO</v>
          </cell>
          <cell r="H361">
            <v>53.45</v>
          </cell>
        </row>
        <row r="362">
          <cell r="C362" t="str">
            <v>9270-R</v>
          </cell>
          <cell r="D362" t="str">
            <v>REJILLA ESCURRIDORA DE PINTURA  -BAJA-</v>
          </cell>
          <cell r="H362">
            <v>44.83</v>
          </cell>
        </row>
        <row r="363">
          <cell r="C363" t="str">
            <v>9211-9</v>
          </cell>
          <cell r="D363" t="str">
            <v>CHAROLA 9 PULG</v>
          </cell>
          <cell r="H363">
            <v>15.52</v>
          </cell>
        </row>
        <row r="364">
          <cell r="C364" t="str">
            <v>9211-4</v>
          </cell>
          <cell r="D364" t="str">
            <v>CHAROLA 4 PULG -BAJA-</v>
          </cell>
          <cell r="H364">
            <v>15.52</v>
          </cell>
        </row>
        <row r="365">
          <cell r="C365" t="str">
            <v>9209-6</v>
          </cell>
          <cell r="D365" t="str">
            <v>REPUESTO P/MINIRODILLO ESPUMA JUMBO 6"</v>
          </cell>
          <cell r="H365">
            <v>15.52</v>
          </cell>
        </row>
        <row r="366">
          <cell r="C366" t="str">
            <v>9209-4</v>
          </cell>
          <cell r="D366" t="str">
            <v>REPUESTO P/MINIRODILLO ESPUMA JUMBO 4"2P</v>
          </cell>
          <cell r="H366">
            <v>15.52</v>
          </cell>
        </row>
        <row r="367">
          <cell r="C367" t="str">
            <v>9208-4</v>
          </cell>
          <cell r="D367" t="str">
            <v>REPUESTO P/MINIRODILLO JUMBO 6" 1" NAP2P</v>
          </cell>
          <cell r="H367">
            <v>15.52</v>
          </cell>
        </row>
        <row r="368">
          <cell r="C368" t="str">
            <v>9208-3</v>
          </cell>
          <cell r="D368" t="str">
            <v>REPUESTO P/MINIRODILLO JUMBO 6 IN 3/4"</v>
          </cell>
          <cell r="H368">
            <v>15.52</v>
          </cell>
        </row>
        <row r="369">
          <cell r="C369" t="str">
            <v>9208-2</v>
          </cell>
          <cell r="D369" t="str">
            <v>REPUESTO MINIRODILLO PLSTR 6 IN 1/2" NAP</v>
          </cell>
          <cell r="H369">
            <v>15.52</v>
          </cell>
        </row>
        <row r="370">
          <cell r="C370" t="str">
            <v>9208-00</v>
          </cell>
          <cell r="D370" t="str">
            <v>REP P/MINI RODILLO 4 IN 38MM GROSOR</v>
          </cell>
          <cell r="H370">
            <v>15.52</v>
          </cell>
        </row>
        <row r="371">
          <cell r="C371" t="str">
            <v>9208-0</v>
          </cell>
          <cell r="D371" t="str">
            <v>REP P/MINIRODILLO 4 IN 3/4 IN NAP 2P</v>
          </cell>
          <cell r="H371">
            <v>15.52</v>
          </cell>
        </row>
        <row r="372">
          <cell r="C372" t="str">
            <v>9207-6</v>
          </cell>
          <cell r="D372" t="str">
            <v>REP P/MINIROD MOHAIR 6 IN 1/6 IN NAP 2P</v>
          </cell>
          <cell r="H372">
            <v>15.52</v>
          </cell>
        </row>
        <row r="373">
          <cell r="C373" t="str">
            <v>SRG-11004</v>
          </cell>
          <cell r="D373" t="str">
            <v>ESMALTE GLOSI SR BLANCO MATE</v>
          </cell>
          <cell r="H373">
            <v>161.21</v>
          </cell>
        </row>
        <row r="374">
          <cell r="C374" t="str">
            <v>ES-47054</v>
          </cell>
          <cell r="D374" t="str">
            <v>BARNIZ PU SOFT TOUCH B30</v>
          </cell>
          <cell r="H374">
            <v>185.34</v>
          </cell>
        </row>
        <row r="375">
          <cell r="C375" t="str">
            <v>ES-47053</v>
          </cell>
          <cell r="D375" t="str">
            <v>BARNIZ PU SOFT TOUCH B30</v>
          </cell>
          <cell r="H375">
            <v>731.03</v>
          </cell>
        </row>
        <row r="376">
          <cell r="C376" t="str">
            <v>ES-47025</v>
          </cell>
          <cell r="D376" t="str">
            <v>RESANADOR PINO BA H11</v>
          </cell>
          <cell r="H376">
            <v>81.900000000000006</v>
          </cell>
        </row>
        <row r="377">
          <cell r="C377" t="str">
            <v>ES-47024</v>
          </cell>
          <cell r="D377" t="str">
            <v>RESANADOR PINO BA H11</v>
          </cell>
          <cell r="H377">
            <v>163.79</v>
          </cell>
        </row>
        <row r="378">
          <cell r="C378" t="str">
            <v>ES-47021</v>
          </cell>
          <cell r="D378" t="str">
            <v>RESANADOR PINO BA H11</v>
          </cell>
          <cell r="H378">
            <v>1723.28</v>
          </cell>
        </row>
        <row r="379">
          <cell r="C379" t="str">
            <v>ES-46876</v>
          </cell>
          <cell r="D379" t="str">
            <v>RESANADOR PARA MADERA INCOLORO SR</v>
          </cell>
          <cell r="H379">
            <v>81.900000000000006</v>
          </cell>
        </row>
        <row r="380">
          <cell r="C380" t="str">
            <v>ES-46875</v>
          </cell>
          <cell r="D380" t="str">
            <v>RESANADOR PARA MADERA INCOLORO SR</v>
          </cell>
          <cell r="H380">
            <v>125</v>
          </cell>
        </row>
        <row r="381">
          <cell r="C381" t="str">
            <v>ES-46873</v>
          </cell>
          <cell r="D381" t="str">
            <v>RESANADOR PARA MADERA INCOLORO SR</v>
          </cell>
          <cell r="H381">
            <v>564.66</v>
          </cell>
        </row>
        <row r="382">
          <cell r="C382" t="str">
            <v>ES-45235</v>
          </cell>
          <cell r="D382" t="str">
            <v>CATALIZADOR PU PARA MADERA</v>
          </cell>
          <cell r="H382">
            <v>96.55</v>
          </cell>
        </row>
        <row r="383">
          <cell r="C383" t="str">
            <v>CIN-7I910 0503</v>
          </cell>
          <cell r="D383" t="str">
            <v>C-THERM W910 / 7I910 0503 20</v>
          </cell>
          <cell r="H383">
            <v>6437.07</v>
          </cell>
        </row>
        <row r="384">
          <cell r="C384" t="str">
            <v>SRG-10644</v>
          </cell>
          <cell r="D384" t="str">
            <v>ESMALTE GLOSI SR AZUL BRILLANTE</v>
          </cell>
          <cell r="H384">
            <v>161.21</v>
          </cell>
        </row>
        <row r="385">
          <cell r="C385" t="str">
            <v>E-73075</v>
          </cell>
          <cell r="D385" t="str">
            <v>RESANADOR NOGAL H10 "RESANAPRISA"</v>
          </cell>
          <cell r="H385">
            <v>58.62</v>
          </cell>
        </row>
        <row r="386">
          <cell r="C386" t="str">
            <v>ES-09830</v>
          </cell>
          <cell r="D386" t="str">
            <v>SR NEGRO LV MATE</v>
          </cell>
          <cell r="H386">
            <v>30165.52</v>
          </cell>
        </row>
        <row r="387">
          <cell r="C387" t="str">
            <v>ES-09731</v>
          </cell>
          <cell r="D387" t="str">
            <v>SR NEGRO LV</v>
          </cell>
          <cell r="H387">
            <v>1980.17</v>
          </cell>
        </row>
        <row r="388">
          <cell r="C388" t="str">
            <v>ES-09730</v>
          </cell>
          <cell r="D388" t="str">
            <v>SR NEGRO LV</v>
          </cell>
          <cell r="H388">
            <v>19662.93</v>
          </cell>
        </row>
        <row r="389">
          <cell r="C389" t="str">
            <v>ES-08491</v>
          </cell>
          <cell r="D389" t="str">
            <v>ESMALTE ULTRA RAPID NEGRO</v>
          </cell>
          <cell r="H389">
            <v>3049.14</v>
          </cell>
        </row>
        <row r="390">
          <cell r="C390" t="str">
            <v>9207-29</v>
          </cell>
          <cell r="D390" t="str">
            <v>RODILLO MEGAROLL 1 1/4 PULG</v>
          </cell>
          <cell r="H390">
            <v>41.38</v>
          </cell>
        </row>
        <row r="391">
          <cell r="C391" t="str">
            <v>T-L3180</v>
          </cell>
          <cell r="D391" t="str">
            <v>LACA ALTO BRILLO T.C.</v>
          </cell>
          <cell r="H391">
            <v>22659.48</v>
          </cell>
        </row>
        <row r="392">
          <cell r="C392" t="str">
            <v>T-14723</v>
          </cell>
          <cell r="D392" t="str">
            <v>SELLADOR WW 25</v>
          </cell>
          <cell r="H392">
            <v>650</v>
          </cell>
        </row>
        <row r="393">
          <cell r="C393" t="str">
            <v>T-14721</v>
          </cell>
          <cell r="D393" t="str">
            <v>SELLADOR WW 25</v>
          </cell>
          <cell r="H393">
            <v>2680.17</v>
          </cell>
        </row>
        <row r="394">
          <cell r="C394" t="str">
            <v>T-14720</v>
          </cell>
          <cell r="D394" t="str">
            <v>SELLADOR WW 25</v>
          </cell>
          <cell r="H394">
            <v>25625.86</v>
          </cell>
        </row>
        <row r="395">
          <cell r="C395" t="str">
            <v>T-14561</v>
          </cell>
          <cell r="D395" t="str">
            <v>BASE NITRO ROJO OXIDO</v>
          </cell>
          <cell r="H395">
            <v>2630.17</v>
          </cell>
        </row>
        <row r="396">
          <cell r="C396" t="str">
            <v>T-14560</v>
          </cell>
          <cell r="D396" t="str">
            <v>BASE NITRO ROJO OXIDO</v>
          </cell>
          <cell r="H396">
            <v>26312.07</v>
          </cell>
        </row>
        <row r="397">
          <cell r="C397" t="str">
            <v>T-14261</v>
          </cell>
          <cell r="D397" t="str">
            <v>BASE AMARILLO OXIDO</v>
          </cell>
          <cell r="H397">
            <v>2534.48</v>
          </cell>
        </row>
        <row r="398">
          <cell r="C398" t="str">
            <v>T-14021</v>
          </cell>
          <cell r="D398" t="str">
            <v>BASE BLANCA ALTA VISCOSIDAD</v>
          </cell>
          <cell r="H398">
            <v>2989.66</v>
          </cell>
        </row>
        <row r="399">
          <cell r="C399" t="str">
            <v>T-14020</v>
          </cell>
          <cell r="D399" t="str">
            <v>BASE BLANCA ALTA VISCOSIDAD</v>
          </cell>
          <cell r="H399">
            <v>29896.55</v>
          </cell>
        </row>
        <row r="400">
          <cell r="C400" t="str">
            <v>T-13541</v>
          </cell>
          <cell r="D400" t="str">
            <v>LACA ALTO BRILLO T.C.</v>
          </cell>
          <cell r="H400">
            <v>2783.62</v>
          </cell>
        </row>
        <row r="401">
          <cell r="C401" t="str">
            <v>SRG-11003</v>
          </cell>
          <cell r="D401" t="str">
            <v>ESMALTE GLOSI SR BLANCO MATE</v>
          </cell>
          <cell r="H401">
            <v>584.48</v>
          </cell>
        </row>
        <row r="402">
          <cell r="C402" t="str">
            <v>SRG-11001</v>
          </cell>
          <cell r="D402" t="str">
            <v>ESMALTE GLOSI SR BLANCO MATE</v>
          </cell>
          <cell r="H402">
            <v>2462.9299999999998</v>
          </cell>
        </row>
        <row r="403">
          <cell r="C403" t="str">
            <v>SRG-10996</v>
          </cell>
          <cell r="D403" t="str">
            <v>ESMALTE GLOSI SR NEGRO BRILLANTE</v>
          </cell>
          <cell r="H403">
            <v>66.38</v>
          </cell>
        </row>
        <row r="404">
          <cell r="C404" t="str">
            <v>SRG-10994</v>
          </cell>
          <cell r="D404" t="str">
            <v>ESMALTE GLOSI SR NEGRO BRILLANTE</v>
          </cell>
          <cell r="H404">
            <v>161.21</v>
          </cell>
        </row>
        <row r="405">
          <cell r="C405" t="str">
            <v>SRG-10993</v>
          </cell>
          <cell r="D405" t="str">
            <v>ESMALTE GLOSI SR NEGRO BRILLANTE</v>
          </cell>
          <cell r="H405">
            <v>584.48</v>
          </cell>
        </row>
        <row r="406">
          <cell r="C406" t="str">
            <v>SRG-10991</v>
          </cell>
          <cell r="D406" t="str">
            <v>ESMALTE GLOSI SR NEGRO BRILLANTE</v>
          </cell>
          <cell r="H406">
            <v>2462.9299999999998</v>
          </cell>
        </row>
        <row r="407">
          <cell r="C407" t="str">
            <v>SRG-10984</v>
          </cell>
          <cell r="D407" t="str">
            <v>ESMALTE GLOSI SR NEGRO MATE</v>
          </cell>
          <cell r="H407">
            <v>161.21</v>
          </cell>
        </row>
        <row r="408">
          <cell r="C408" t="str">
            <v>SRG-10983</v>
          </cell>
          <cell r="D408" t="str">
            <v>ESMALTE GLOSI SR NEGRO MATE</v>
          </cell>
          <cell r="H408">
            <v>584.48</v>
          </cell>
        </row>
        <row r="409">
          <cell r="C409" t="str">
            <v>SRG-10934</v>
          </cell>
          <cell r="D409" t="str">
            <v>ESMALTE GLOSI SR GRIS</v>
          </cell>
          <cell r="H409">
            <v>161.21</v>
          </cell>
        </row>
        <row r="410">
          <cell r="C410" t="str">
            <v>SRG-10933</v>
          </cell>
          <cell r="D410" t="str">
            <v>ESMALTE GLOSI SR GRIS</v>
          </cell>
          <cell r="H410">
            <v>584.48</v>
          </cell>
        </row>
        <row r="411">
          <cell r="C411" t="str">
            <v>SRG-10931</v>
          </cell>
          <cell r="D411" t="str">
            <v>ESMALTE GLOSI SR GRIS</v>
          </cell>
          <cell r="H411">
            <v>2462.9299999999998</v>
          </cell>
        </row>
        <row r="412">
          <cell r="C412" t="str">
            <v>SRG-10824</v>
          </cell>
          <cell r="D412" t="str">
            <v>ESMALTE GLOSI SR ALUMINIO</v>
          </cell>
          <cell r="H412">
            <v>161.21</v>
          </cell>
        </row>
        <row r="413">
          <cell r="C413" t="str">
            <v>SRG-10823</v>
          </cell>
          <cell r="D413" t="str">
            <v>ESMALTE GLOSI SR ALUMINIO</v>
          </cell>
          <cell r="H413">
            <v>584.48</v>
          </cell>
        </row>
        <row r="414">
          <cell r="C414" t="str">
            <v>SRG-10804</v>
          </cell>
          <cell r="D414" t="str">
            <v>BARNIZ SR GLOSI</v>
          </cell>
          <cell r="H414">
            <v>161.21</v>
          </cell>
        </row>
        <row r="415">
          <cell r="C415" t="str">
            <v>SRG-10803</v>
          </cell>
          <cell r="D415" t="str">
            <v>BARNIZ SR GLOSI</v>
          </cell>
          <cell r="H415">
            <v>584.48</v>
          </cell>
        </row>
        <row r="416">
          <cell r="C416" t="str">
            <v>SRG-10801</v>
          </cell>
          <cell r="D416" t="str">
            <v>BARNIZ SR GLOSI</v>
          </cell>
          <cell r="H416">
            <v>2462.9299999999998</v>
          </cell>
        </row>
        <row r="417">
          <cell r="C417" t="str">
            <v>SRG-10794</v>
          </cell>
          <cell r="D417" t="str">
            <v>ESMALTE GLOSI S.R. VERDE OBSCURO</v>
          </cell>
          <cell r="H417">
            <v>161.21</v>
          </cell>
        </row>
        <row r="418">
          <cell r="C418" t="str">
            <v>SRG-10793</v>
          </cell>
          <cell r="D418" t="str">
            <v>ESMALTE GLOSI S.R. VERDE OBSCURO</v>
          </cell>
          <cell r="H418">
            <v>584.48</v>
          </cell>
        </row>
        <row r="419">
          <cell r="C419" t="str">
            <v>SRG-10791</v>
          </cell>
          <cell r="D419" t="str">
            <v>ESMALTE GLOSI S.R. VERDE OBSCURO</v>
          </cell>
          <cell r="H419">
            <v>2462.9299999999998</v>
          </cell>
        </row>
        <row r="420">
          <cell r="C420" t="str">
            <v>SRG-10694</v>
          </cell>
          <cell r="D420" t="str">
            <v>ESMALTE GLOSI SR AZUL OBSCURO</v>
          </cell>
          <cell r="H420">
            <v>161.21</v>
          </cell>
        </row>
        <row r="421">
          <cell r="C421" t="str">
            <v>SRG-10693</v>
          </cell>
          <cell r="D421" t="str">
            <v>ESMALTE GLOSI SR AZUL OBSCURO</v>
          </cell>
          <cell r="H421">
            <v>584.48</v>
          </cell>
        </row>
        <row r="422">
          <cell r="C422" t="str">
            <v>SRG-10643</v>
          </cell>
          <cell r="D422" t="str">
            <v>ESMALTE GLOSI SR AZUL BRILLANTE</v>
          </cell>
          <cell r="H422">
            <v>584.48</v>
          </cell>
        </row>
        <row r="423">
          <cell r="C423" t="str">
            <v>SRG-10641</v>
          </cell>
          <cell r="D423" t="str">
            <v>ESMALTE GLOSI SR AZUL BRILLANTE</v>
          </cell>
          <cell r="H423">
            <v>2462.9299999999998</v>
          </cell>
        </row>
        <row r="424">
          <cell r="C424" t="str">
            <v>SRG-10584</v>
          </cell>
          <cell r="D424" t="str">
            <v>ESMALTE GLOSI SR CHOCOLATE</v>
          </cell>
          <cell r="H424">
            <v>161.21</v>
          </cell>
        </row>
        <row r="425">
          <cell r="C425" t="str">
            <v>SRG-10583</v>
          </cell>
          <cell r="D425" t="str">
            <v>ESMALTE GLOSI SR CHOCOLATE</v>
          </cell>
          <cell r="H425">
            <v>584.48</v>
          </cell>
        </row>
        <row r="426">
          <cell r="C426" t="str">
            <v>SRG-10581</v>
          </cell>
          <cell r="D426" t="str">
            <v>ESMALTE GLOSI SR CHOCOLATE</v>
          </cell>
          <cell r="H426">
            <v>2462.9299999999998</v>
          </cell>
        </row>
        <row r="427">
          <cell r="C427" t="str">
            <v>SRG-10564</v>
          </cell>
          <cell r="D427" t="str">
            <v>ESMALTE GLOSI SR ROJO OXIDO</v>
          </cell>
          <cell r="H427">
            <v>161.21</v>
          </cell>
        </row>
        <row r="428">
          <cell r="C428" t="str">
            <v>SRG-10563</v>
          </cell>
          <cell r="D428" t="str">
            <v>ESMALTE GLOSI SR ROJO OXIDO</v>
          </cell>
          <cell r="H428">
            <v>584.48</v>
          </cell>
        </row>
        <row r="429">
          <cell r="C429" t="str">
            <v>SRG-10454</v>
          </cell>
          <cell r="D429" t="str">
            <v>ESMALTE GLOSI SR ROJO</v>
          </cell>
          <cell r="H429">
            <v>161.21</v>
          </cell>
        </row>
        <row r="430">
          <cell r="C430" t="str">
            <v>SRG-10453</v>
          </cell>
          <cell r="D430" t="str">
            <v>ESMALTE GLOSI SR ROJO</v>
          </cell>
          <cell r="H430">
            <v>584.48</v>
          </cell>
        </row>
        <row r="431">
          <cell r="C431" t="str">
            <v>SRG-10354</v>
          </cell>
          <cell r="D431" t="str">
            <v>ESMALTE GLOSI SR NARANJA</v>
          </cell>
          <cell r="H431">
            <v>161.21</v>
          </cell>
        </row>
        <row r="432">
          <cell r="C432" t="str">
            <v>SRG-10353</v>
          </cell>
          <cell r="D432" t="str">
            <v>ESMALTE GLOSI SR NARANJA</v>
          </cell>
          <cell r="H432">
            <v>584.48</v>
          </cell>
        </row>
        <row r="433">
          <cell r="C433" t="str">
            <v>SRG-10351</v>
          </cell>
          <cell r="D433" t="str">
            <v>ESMALTE GLOSI SR NARANJA</v>
          </cell>
          <cell r="H433">
            <v>2462.9299999999998</v>
          </cell>
        </row>
        <row r="434">
          <cell r="C434" t="str">
            <v>SRG-10264</v>
          </cell>
          <cell r="D434" t="str">
            <v>ESMALTE GLOSI SR OCRE</v>
          </cell>
          <cell r="H434">
            <v>161.21</v>
          </cell>
        </row>
        <row r="435">
          <cell r="C435" t="str">
            <v>SRG-10263</v>
          </cell>
          <cell r="D435" t="str">
            <v>ESMALTE GLOSI SR OCRE</v>
          </cell>
          <cell r="H435">
            <v>584.48</v>
          </cell>
        </row>
        <row r="436">
          <cell r="C436" t="str">
            <v>SRG-10261</v>
          </cell>
          <cell r="D436" t="str">
            <v>ESMALTE GLOSI SR OCRE</v>
          </cell>
          <cell r="H436">
            <v>2462.9299999999998</v>
          </cell>
        </row>
        <row r="437">
          <cell r="C437" t="str">
            <v>SRG-10174</v>
          </cell>
          <cell r="D437" t="str">
            <v>ESM. GLOSI SR AMARILLO CATERPILLAR</v>
          </cell>
          <cell r="H437">
            <v>161.21</v>
          </cell>
        </row>
        <row r="438">
          <cell r="C438" t="str">
            <v>SRG-10173</v>
          </cell>
          <cell r="D438" t="str">
            <v>ESM. GLOSI SR AMARILLO CATERPILLAR</v>
          </cell>
          <cell r="H438">
            <v>584.48</v>
          </cell>
        </row>
        <row r="439">
          <cell r="C439" t="str">
            <v>SRG-10171</v>
          </cell>
          <cell r="D439" t="str">
            <v>ESM. GLOSI SR AMARILLO CATERPILLAR</v>
          </cell>
          <cell r="H439">
            <v>2462.9299999999998</v>
          </cell>
        </row>
        <row r="440">
          <cell r="C440" t="str">
            <v>SRG-10134</v>
          </cell>
          <cell r="D440" t="str">
            <v>ESMALTE GLOSI SR CANARIO</v>
          </cell>
          <cell r="H440">
            <v>161.21</v>
          </cell>
        </row>
        <row r="441">
          <cell r="C441" t="str">
            <v>SRG-10133</v>
          </cell>
          <cell r="D441" t="str">
            <v>ESMALTE GLOSI SR CANARIO</v>
          </cell>
          <cell r="H441">
            <v>584.48</v>
          </cell>
        </row>
        <row r="442">
          <cell r="C442" t="str">
            <v>SRG-10006</v>
          </cell>
          <cell r="D442" t="str">
            <v>ESMALTE GLOSI SR BLANCO</v>
          </cell>
          <cell r="H442">
            <v>66.38</v>
          </cell>
        </row>
        <row r="443">
          <cell r="C443" t="str">
            <v>SRG-10004</v>
          </cell>
          <cell r="D443" t="str">
            <v>ESMALTE GLOSI SR BLANCO</v>
          </cell>
          <cell r="H443">
            <v>161.21</v>
          </cell>
        </row>
        <row r="444">
          <cell r="C444" t="str">
            <v>SRG-10003</v>
          </cell>
          <cell r="D444" t="str">
            <v>ESMALTE GLOSI SR BLANCO</v>
          </cell>
          <cell r="H444">
            <v>584.48</v>
          </cell>
        </row>
        <row r="445">
          <cell r="C445" t="str">
            <v>SRG-10001</v>
          </cell>
          <cell r="D445" t="str">
            <v>ESMALTE GLOSI SR BLANCO</v>
          </cell>
          <cell r="H445">
            <v>2462.9299999999998</v>
          </cell>
        </row>
        <row r="446">
          <cell r="C446" t="str">
            <v>IT-17-81</v>
          </cell>
          <cell r="D446" t="str">
            <v>SR</v>
          </cell>
          <cell r="H446">
            <v>3592.24</v>
          </cell>
        </row>
        <row r="447">
          <cell r="C447" t="str">
            <v>IT-17-71</v>
          </cell>
          <cell r="D447" t="str">
            <v>SR</v>
          </cell>
          <cell r="H447">
            <v>3625</v>
          </cell>
        </row>
        <row r="448">
          <cell r="C448" t="str">
            <v>ES-45231</v>
          </cell>
          <cell r="D448" t="str">
            <v>CATALIZADOR PU PARA MADERA</v>
          </cell>
          <cell r="H448">
            <v>3436.21</v>
          </cell>
        </row>
        <row r="449">
          <cell r="C449" t="str">
            <v>ES-45203</v>
          </cell>
          <cell r="D449" t="str">
            <v>SELLADOR PU PRO 4500</v>
          </cell>
          <cell r="H449">
            <v>498.28</v>
          </cell>
        </row>
        <row r="450">
          <cell r="C450" t="str">
            <v>ES-43811</v>
          </cell>
          <cell r="D450" t="str">
            <v>SELLADOR P.U. 4X1</v>
          </cell>
          <cell r="H450">
            <v>3353.45</v>
          </cell>
        </row>
        <row r="451">
          <cell r="C451" t="str">
            <v>ES-43551</v>
          </cell>
          <cell r="D451" t="str">
            <v>FONDO DE P.U NEGRO</v>
          </cell>
          <cell r="H451">
            <v>2704.31</v>
          </cell>
        </row>
        <row r="452">
          <cell r="C452" t="str">
            <v>ES-43531</v>
          </cell>
          <cell r="D452" t="str">
            <v>FONDO DE P.U BLANCO</v>
          </cell>
          <cell r="H452">
            <v>3079.31</v>
          </cell>
        </row>
        <row r="453">
          <cell r="C453" t="str">
            <v>ES-43291</v>
          </cell>
          <cell r="D453" t="str">
            <v>BARNIZ PU SATINADO BRILLO 30</v>
          </cell>
          <cell r="H453">
            <v>2637.07</v>
          </cell>
        </row>
        <row r="454">
          <cell r="C454" t="str">
            <v>ES-43151</v>
          </cell>
          <cell r="D454" t="str">
            <v>FONDO PARA MADERA BASE AGUA CHOCOLATE ES</v>
          </cell>
          <cell r="H454">
            <v>1706.03</v>
          </cell>
        </row>
        <row r="455">
          <cell r="C455" t="str">
            <v>ES-42021</v>
          </cell>
          <cell r="D455" t="str">
            <v>LACA W.W. SEMIMATE</v>
          </cell>
          <cell r="H455">
            <v>2718.1</v>
          </cell>
        </row>
        <row r="456">
          <cell r="C456" t="str">
            <v>ES-41771</v>
          </cell>
          <cell r="D456" t="str">
            <v>BARNIZ DE PU CHOCOLATE SEMIBRILLANTE</v>
          </cell>
          <cell r="H456">
            <v>3168.1</v>
          </cell>
        </row>
        <row r="457">
          <cell r="C457" t="str">
            <v>ES-41550</v>
          </cell>
          <cell r="D457" t="str">
            <v>PINTURA CREMA OBSCURO M.V.</v>
          </cell>
          <cell r="H457">
            <v>30970.69</v>
          </cell>
        </row>
        <row r="458">
          <cell r="C458" t="str">
            <v>ES-41524</v>
          </cell>
          <cell r="D458" t="str">
            <v>SIGLO LACA NITRO CHOCOLATE</v>
          </cell>
          <cell r="H458">
            <v>178.45</v>
          </cell>
        </row>
        <row r="459">
          <cell r="C459" t="str">
            <v>ES-41523</v>
          </cell>
          <cell r="D459" t="str">
            <v>SIGLO LACA NITRO CHOCOLATE</v>
          </cell>
          <cell r="H459">
            <v>702.59</v>
          </cell>
        </row>
        <row r="460">
          <cell r="C460" t="str">
            <v>ES-41521</v>
          </cell>
          <cell r="D460" t="str">
            <v>SIGLO LACA NITRO CHOCOLATE</v>
          </cell>
          <cell r="H460">
            <v>2885.34</v>
          </cell>
        </row>
        <row r="461">
          <cell r="C461" t="str">
            <v>ES-41251</v>
          </cell>
          <cell r="D461" t="str">
            <v>BARNIZ DE PU CHOCOLATE</v>
          </cell>
          <cell r="H461">
            <v>3278.45</v>
          </cell>
        </row>
        <row r="462">
          <cell r="C462" t="str">
            <v>ES-41141</v>
          </cell>
          <cell r="D462" t="str">
            <v>BARNIZ DE PU CHOCOLATE SEMI-BRILLANTE</v>
          </cell>
          <cell r="H462">
            <v>3387.93</v>
          </cell>
        </row>
        <row r="463">
          <cell r="C463" t="str">
            <v>ES-41000</v>
          </cell>
          <cell r="D463" t="str">
            <v>PINTURA DOPE A.V. PERLA</v>
          </cell>
          <cell r="H463">
            <v>31224.14</v>
          </cell>
        </row>
        <row r="464">
          <cell r="C464" t="str">
            <v>ES-40584</v>
          </cell>
          <cell r="D464" t="str">
            <v>TINTA AL ACEITE ROJO</v>
          </cell>
          <cell r="H464">
            <v>147.41</v>
          </cell>
        </row>
        <row r="465">
          <cell r="C465" t="str">
            <v>ES-40574</v>
          </cell>
          <cell r="D465" t="str">
            <v>TINTA AL ACEITE BLANCO</v>
          </cell>
          <cell r="H465">
            <v>147.41</v>
          </cell>
        </row>
        <row r="466">
          <cell r="C466" t="str">
            <v>ES-40564</v>
          </cell>
          <cell r="D466" t="str">
            <v>TINTA AL ACEITE NARANJA</v>
          </cell>
          <cell r="H466">
            <v>147.41</v>
          </cell>
        </row>
        <row r="467">
          <cell r="C467" t="str">
            <v>ES-40554</v>
          </cell>
          <cell r="D467" t="str">
            <v>TINTA AL ACEITE MOSTAZA</v>
          </cell>
          <cell r="H467">
            <v>147.41</v>
          </cell>
        </row>
        <row r="468">
          <cell r="C468" t="str">
            <v>ES-40544</v>
          </cell>
          <cell r="D468" t="str">
            <v>TINTA AL ACEITE AMARILLO ORO</v>
          </cell>
          <cell r="H468">
            <v>147.41</v>
          </cell>
        </row>
        <row r="469">
          <cell r="C469" t="str">
            <v>ES-40351</v>
          </cell>
          <cell r="D469" t="str">
            <v>FONDO PARA MAD. NITRO CHOCOLATE OBSCURO</v>
          </cell>
          <cell r="H469">
            <v>2989.66</v>
          </cell>
        </row>
        <row r="470">
          <cell r="C470" t="str">
            <v>ES-40231</v>
          </cell>
          <cell r="D470" t="str">
            <v>FONDO DE NITRO CHOCOLATE MARRON</v>
          </cell>
          <cell r="H470">
            <v>3272.41</v>
          </cell>
        </row>
        <row r="471">
          <cell r="C471" t="str">
            <v>ES-40181</v>
          </cell>
          <cell r="D471" t="str">
            <v>FONDO P.U. MARRON</v>
          </cell>
          <cell r="H471">
            <v>3482.76</v>
          </cell>
        </row>
        <row r="472">
          <cell r="C472" t="str">
            <v>ES-40154</v>
          </cell>
          <cell r="D472" t="str">
            <v>TINTA AL ACEITE CIPRES</v>
          </cell>
          <cell r="H472">
            <v>147.41</v>
          </cell>
        </row>
        <row r="473">
          <cell r="C473" t="str">
            <v>ES-40144</v>
          </cell>
          <cell r="D473" t="str">
            <v>TINTA AL ACEITE MAGNOLIA</v>
          </cell>
          <cell r="H473">
            <v>147.41</v>
          </cell>
        </row>
        <row r="474">
          <cell r="C474" t="str">
            <v>ES-40134</v>
          </cell>
          <cell r="D474" t="str">
            <v>TINTA AL ACEITE OYAMEL</v>
          </cell>
          <cell r="H474">
            <v>147.41</v>
          </cell>
        </row>
        <row r="475">
          <cell r="C475" t="str">
            <v>ES-40124</v>
          </cell>
          <cell r="D475" t="str">
            <v>TINTA AL ACEITE AMARANTO</v>
          </cell>
          <cell r="H475">
            <v>147.41</v>
          </cell>
        </row>
        <row r="476">
          <cell r="C476" t="str">
            <v>ES-40114</v>
          </cell>
          <cell r="D476" t="str">
            <v>TINTA AL ACEITE ARCE</v>
          </cell>
          <cell r="H476">
            <v>147.41</v>
          </cell>
        </row>
        <row r="477">
          <cell r="C477" t="str">
            <v>ES-40104</v>
          </cell>
          <cell r="D477" t="str">
            <v>TINTA AL ACEITE OLMO</v>
          </cell>
          <cell r="H477">
            <v>147.41</v>
          </cell>
        </row>
        <row r="478">
          <cell r="C478" t="str">
            <v>ES-40021</v>
          </cell>
          <cell r="D478" t="str">
            <v>LACA INDUSTRIAL CHOCOLATE MATE</v>
          </cell>
          <cell r="H478">
            <v>3106.03</v>
          </cell>
        </row>
        <row r="479">
          <cell r="C479" t="str">
            <v>ES-40020</v>
          </cell>
          <cell r="D479" t="str">
            <v>LACA INDUSTRIAL CHOCOLATE MATE</v>
          </cell>
          <cell r="H479">
            <v>36624.14</v>
          </cell>
        </row>
        <row r="480">
          <cell r="C480" t="str">
            <v>ES-02940</v>
          </cell>
          <cell r="D480" t="str">
            <v>RECUBRIMIENTO HORNEO RED JUICE COATING</v>
          </cell>
          <cell r="H480">
            <v>29203.45</v>
          </cell>
        </row>
        <row r="481">
          <cell r="C481" t="str">
            <v>E-76400</v>
          </cell>
          <cell r="D481" t="str">
            <v>PINTURA HUESO CLARO A.V.</v>
          </cell>
          <cell r="H481">
            <v>39174.14</v>
          </cell>
        </row>
        <row r="482">
          <cell r="C482" t="str">
            <v>E-76360</v>
          </cell>
          <cell r="D482" t="str">
            <v>PINTURA BLANCA OSTION ROCA</v>
          </cell>
          <cell r="H482">
            <v>38728.449999999997</v>
          </cell>
        </row>
        <row r="483">
          <cell r="C483" t="str">
            <v>E-76051</v>
          </cell>
          <cell r="D483" t="str">
            <v>TINTA AL ALCOHOL CAFE</v>
          </cell>
          <cell r="H483">
            <v>2737.93</v>
          </cell>
        </row>
        <row r="484">
          <cell r="C484" t="str">
            <v>E-75871</v>
          </cell>
          <cell r="D484" t="str">
            <v>LACA DOPE P/SOMBREROS MEDIA VISCOSIDAD</v>
          </cell>
          <cell r="H484">
            <v>3596.55</v>
          </cell>
        </row>
        <row r="485">
          <cell r="C485" t="str">
            <v>E-75870</v>
          </cell>
          <cell r="D485" t="str">
            <v>LACA DOPE P/SOMBREROS MEDIA VISCOSIDAD</v>
          </cell>
          <cell r="H485">
            <v>26905.17</v>
          </cell>
        </row>
        <row r="486">
          <cell r="C486" t="str">
            <v>E-75831</v>
          </cell>
          <cell r="D486" t="str">
            <v>SELLADOR DE ALTA DUREZA BAJA VISCOSIDAD</v>
          </cell>
          <cell r="H486">
            <v>2842.24</v>
          </cell>
        </row>
        <row r="487">
          <cell r="C487" t="str">
            <v>E-75830</v>
          </cell>
          <cell r="D487" t="str">
            <v>SELLADOR DE ALTA DUREZA BAJA VISCOSIDAD</v>
          </cell>
          <cell r="H487">
            <v>21843.97</v>
          </cell>
        </row>
        <row r="488">
          <cell r="C488" t="str">
            <v>E-75821</v>
          </cell>
          <cell r="D488" t="str">
            <v>FONDO DE P.U. CHOCOLATE</v>
          </cell>
          <cell r="H488">
            <v>2639.66</v>
          </cell>
        </row>
        <row r="489">
          <cell r="C489" t="str">
            <v>E-75663</v>
          </cell>
          <cell r="D489" t="str">
            <v>SELLADOR PARA MADERA W.W A.V</v>
          </cell>
          <cell r="H489">
            <v>731.03</v>
          </cell>
        </row>
        <row r="490">
          <cell r="C490" t="str">
            <v>E-75581</v>
          </cell>
          <cell r="D490" t="str">
            <v>LACA NITRO CHOCOLATE</v>
          </cell>
          <cell r="H490">
            <v>3086.21</v>
          </cell>
        </row>
        <row r="491">
          <cell r="C491" t="str">
            <v>E-75431</v>
          </cell>
          <cell r="D491" t="str">
            <v>PINTURA MARFIL CLARO</v>
          </cell>
          <cell r="H491">
            <v>2867.24</v>
          </cell>
        </row>
        <row r="492">
          <cell r="C492" t="str">
            <v>E-75424</v>
          </cell>
          <cell r="D492" t="str">
            <v>SELLADOR P/MADERA ULTRAPLUS</v>
          </cell>
          <cell r="H492">
            <v>116.38</v>
          </cell>
        </row>
        <row r="493">
          <cell r="C493" t="str">
            <v>E-75423</v>
          </cell>
          <cell r="D493" t="str">
            <v>SELLADOR P/MADERA ULTRAPLUS</v>
          </cell>
          <cell r="H493">
            <v>454.31</v>
          </cell>
        </row>
        <row r="494">
          <cell r="C494" t="str">
            <v>E-75421</v>
          </cell>
          <cell r="D494" t="str">
            <v>SELLADOR P/MADERA ULTRAPLUS</v>
          </cell>
          <cell r="H494">
            <v>2106.9</v>
          </cell>
        </row>
        <row r="495">
          <cell r="C495" t="str">
            <v>E-75420</v>
          </cell>
          <cell r="D495" t="str">
            <v>SELLADOR P/MADERA ULTRAPLUS</v>
          </cell>
          <cell r="H495">
            <v>27321.55</v>
          </cell>
        </row>
        <row r="496">
          <cell r="C496" t="str">
            <v>E-75194</v>
          </cell>
          <cell r="D496" t="str">
            <v>TINTA AL ACEITE CHOCOLATE</v>
          </cell>
          <cell r="H496">
            <v>162.07</v>
          </cell>
        </row>
        <row r="497">
          <cell r="C497" t="str">
            <v>E-75184</v>
          </cell>
          <cell r="D497" t="str">
            <v>TINTA AL ACEITE CAOBA CLASICO</v>
          </cell>
          <cell r="H497">
            <v>147.41</v>
          </cell>
        </row>
        <row r="498">
          <cell r="C498" t="str">
            <v>E-75174</v>
          </cell>
          <cell r="D498" t="str">
            <v>TINTA AL ACEITE CHERRY</v>
          </cell>
          <cell r="H498">
            <v>147.41</v>
          </cell>
        </row>
        <row r="499">
          <cell r="C499" t="str">
            <v>E-75164</v>
          </cell>
          <cell r="D499" t="str">
            <v>TINTA AL ACEITE EARLY AMERICAN</v>
          </cell>
          <cell r="H499">
            <v>162.07</v>
          </cell>
        </row>
        <row r="500">
          <cell r="C500" t="str">
            <v>E-75154</v>
          </cell>
          <cell r="D500" t="str">
            <v>TINTA AL ACEITE NEGRA</v>
          </cell>
          <cell r="H500">
            <v>134.47999999999999</v>
          </cell>
        </row>
        <row r="501">
          <cell r="C501" t="str">
            <v>E-75144</v>
          </cell>
          <cell r="D501" t="str">
            <v>TINTA AL ACEITE NOGAL CLARO</v>
          </cell>
          <cell r="H501">
            <v>161.21</v>
          </cell>
        </row>
        <row r="502">
          <cell r="C502" t="str">
            <v>E-74591</v>
          </cell>
          <cell r="D502" t="str">
            <v>BARNIZ PU BLANCO ESTABLE SEMIMATE</v>
          </cell>
          <cell r="H502">
            <v>4493.1000000000004</v>
          </cell>
        </row>
        <row r="503">
          <cell r="C503" t="str">
            <v>E-74423</v>
          </cell>
          <cell r="D503" t="str">
            <v>FONDO DE NITRO CAFE TABACO</v>
          </cell>
          <cell r="H503">
            <v>705.17</v>
          </cell>
        </row>
        <row r="504">
          <cell r="C504" t="str">
            <v>E-74421</v>
          </cell>
          <cell r="D504" t="str">
            <v>FONDO DE NITRO CAFE TABACO</v>
          </cell>
          <cell r="H504">
            <v>2947.41</v>
          </cell>
        </row>
        <row r="505">
          <cell r="C505" t="str">
            <v>E-74413</v>
          </cell>
          <cell r="D505" t="str">
            <v>FONDO P/MADERA CAFE ROJIZO</v>
          </cell>
          <cell r="H505">
            <v>768.97</v>
          </cell>
        </row>
        <row r="506">
          <cell r="C506" t="str">
            <v>E-74323</v>
          </cell>
          <cell r="D506" t="str">
            <v>FONDO DE PIROXILINA COLOR PIEL</v>
          </cell>
          <cell r="H506">
            <v>827.59</v>
          </cell>
        </row>
        <row r="507">
          <cell r="C507" t="str">
            <v>E-74290</v>
          </cell>
          <cell r="D507" t="str">
            <v>PINTURA CAFE ALTA VISCOSIDAD</v>
          </cell>
          <cell r="H507">
            <v>24517.24</v>
          </cell>
        </row>
        <row r="508">
          <cell r="C508" t="str">
            <v>E-73891</v>
          </cell>
          <cell r="D508" t="str">
            <v>MASILLA INCOLORA P/MADERA</v>
          </cell>
          <cell r="H508">
            <v>3816.38</v>
          </cell>
        </row>
        <row r="509">
          <cell r="C509" t="str">
            <v>E-73790</v>
          </cell>
          <cell r="D509" t="str">
            <v>BARNIZ DE S.R P/MAD A. DIREC./A.BRILLO</v>
          </cell>
          <cell r="H509">
            <v>38640.519999999997</v>
          </cell>
        </row>
        <row r="510">
          <cell r="C510" t="str">
            <v>E-73510</v>
          </cell>
          <cell r="D510" t="str">
            <v>PINTURA AMARILLO OBSCURO ALTA VISCOSIDAD</v>
          </cell>
          <cell r="H510">
            <v>34475.86</v>
          </cell>
        </row>
        <row r="511">
          <cell r="C511" t="str">
            <v>E-73261</v>
          </cell>
          <cell r="D511" t="str">
            <v>BARNIZ PU CHOCOLATE OBSCURO</v>
          </cell>
          <cell r="H511">
            <v>4205.17</v>
          </cell>
        </row>
        <row r="512">
          <cell r="C512" t="str">
            <v>E-73055</v>
          </cell>
          <cell r="D512" t="str">
            <v>RESANADOR PINO H-10 "RESANAPRISA"</v>
          </cell>
          <cell r="H512">
            <v>81.03</v>
          </cell>
        </row>
        <row r="513">
          <cell r="C513" t="str">
            <v>E-73054</v>
          </cell>
          <cell r="D513" t="str">
            <v>RESANADOR PINO H-10 "RESANAPRISA"</v>
          </cell>
          <cell r="H513">
            <v>138.79</v>
          </cell>
        </row>
        <row r="514">
          <cell r="C514" t="str">
            <v>E-73051</v>
          </cell>
          <cell r="D514" t="str">
            <v>RESANADOR PINO H-10 "RESANAPRISA"</v>
          </cell>
          <cell r="H514">
            <v>2221.5500000000002</v>
          </cell>
        </row>
        <row r="515">
          <cell r="C515" t="str">
            <v>E-72481</v>
          </cell>
          <cell r="D515" t="str">
            <v>BARNIZ P.U. PLUS</v>
          </cell>
          <cell r="H515">
            <v>3556.03</v>
          </cell>
        </row>
        <row r="516">
          <cell r="C516" t="str">
            <v>E-72391</v>
          </cell>
          <cell r="D516" t="str">
            <v>RESANASIGLO NOGAL</v>
          </cell>
          <cell r="H516">
            <v>1491.38</v>
          </cell>
        </row>
        <row r="517">
          <cell r="C517" t="str">
            <v>E-72281</v>
          </cell>
          <cell r="D517" t="str">
            <v>FONDO POLIACRILICO AROMATICO</v>
          </cell>
          <cell r="H517">
            <v>5546.55</v>
          </cell>
        </row>
        <row r="518">
          <cell r="C518" t="str">
            <v>E-72280</v>
          </cell>
          <cell r="D518" t="str">
            <v>FONDO POLIACRILICO AROMATICO</v>
          </cell>
          <cell r="H518">
            <v>55442.239999999998</v>
          </cell>
        </row>
        <row r="519">
          <cell r="C519" t="str">
            <v>E-72111</v>
          </cell>
          <cell r="D519" t="str">
            <v>LACA PARA SOMBREROS HUESO A.D.</v>
          </cell>
          <cell r="H519">
            <v>2873.28</v>
          </cell>
        </row>
        <row r="520">
          <cell r="C520" t="str">
            <v>E-71611</v>
          </cell>
          <cell r="D520" t="str">
            <v>TINTA CONCENTRADA NEGRO</v>
          </cell>
          <cell r="H520">
            <v>13296.55</v>
          </cell>
        </row>
        <row r="521">
          <cell r="C521" t="str">
            <v>E-71151</v>
          </cell>
          <cell r="D521" t="str">
            <v>SELLADOR CRISTAL APLICACION DIRE WW</v>
          </cell>
          <cell r="H521">
            <v>3395.69</v>
          </cell>
        </row>
        <row r="522">
          <cell r="C522" t="str">
            <v>E-71140</v>
          </cell>
          <cell r="D522" t="str">
            <v>LACA DOPE APLICACION DIR.</v>
          </cell>
          <cell r="H522">
            <v>27711.21</v>
          </cell>
        </row>
        <row r="523">
          <cell r="C523" t="str">
            <v>E-70230</v>
          </cell>
          <cell r="D523" t="str">
            <v>SELLADOR BLANCO MEDIA VISCOSIDAD</v>
          </cell>
          <cell r="H523">
            <v>40723.279999999999</v>
          </cell>
        </row>
        <row r="524">
          <cell r="C524" t="str">
            <v>E-69870</v>
          </cell>
          <cell r="D524" t="str">
            <v>PINTURA MARFIL CLARO ALTA VISCOSIDAD</v>
          </cell>
          <cell r="H524">
            <v>38906.03</v>
          </cell>
        </row>
        <row r="525">
          <cell r="C525" t="str">
            <v>E-69613</v>
          </cell>
          <cell r="D525" t="str">
            <v>BARNIZ DE PU SEMIBRILLANTE</v>
          </cell>
          <cell r="H525">
            <v>881.03</v>
          </cell>
        </row>
        <row r="526">
          <cell r="C526" t="str">
            <v>E-69611</v>
          </cell>
          <cell r="D526" t="str">
            <v>BARNIZ DE PU SEMIBRILLANTE</v>
          </cell>
          <cell r="H526">
            <v>3668.97</v>
          </cell>
        </row>
        <row r="527">
          <cell r="C527" t="str">
            <v>E-69593</v>
          </cell>
          <cell r="D527" t="str">
            <v>CATALIZADOR P/F POLIACRILICO TPE</v>
          </cell>
          <cell r="H527">
            <v>756.03</v>
          </cell>
        </row>
        <row r="528">
          <cell r="C528" t="str">
            <v>E-69581</v>
          </cell>
          <cell r="D528" t="str">
            <v>FONDO POLIACRILICO TRANSPARENTE</v>
          </cell>
          <cell r="H528">
            <v>5549.14</v>
          </cell>
        </row>
        <row r="529">
          <cell r="C529" t="str">
            <v>E-69580</v>
          </cell>
          <cell r="D529" t="str">
            <v>FONDO POLIACRILICO TRANSPARENTE</v>
          </cell>
          <cell r="H529">
            <v>55442.239999999998</v>
          </cell>
        </row>
        <row r="530">
          <cell r="C530" t="str">
            <v>E-69471</v>
          </cell>
          <cell r="D530" t="str">
            <v>LACA PARA MADERA AZUL ULTRAMAR</v>
          </cell>
          <cell r="H530">
            <v>4125</v>
          </cell>
        </row>
        <row r="531">
          <cell r="C531" t="str">
            <v>E-69401</v>
          </cell>
          <cell r="D531" t="str">
            <v>BARNIZ DE SR P/MAD.A DIREC/A.BRI</v>
          </cell>
          <cell r="H531">
            <v>3337.07</v>
          </cell>
        </row>
        <row r="532">
          <cell r="C532" t="str">
            <v>E-69340</v>
          </cell>
          <cell r="D532" t="str">
            <v>LACA AT NOGAL M-8020</v>
          </cell>
          <cell r="H532">
            <v>30806.9</v>
          </cell>
        </row>
        <row r="533">
          <cell r="C533" t="str">
            <v>E-69163</v>
          </cell>
          <cell r="D533" t="str">
            <v>BARNIZ DE P.U. STD TPE. B-20</v>
          </cell>
          <cell r="H533">
            <v>975</v>
          </cell>
        </row>
        <row r="534">
          <cell r="C534" t="str">
            <v>E-69161</v>
          </cell>
          <cell r="D534" t="str">
            <v>BARNIZ DE P.U. STD TPE. B-20</v>
          </cell>
          <cell r="H534">
            <v>4039.66</v>
          </cell>
        </row>
        <row r="535">
          <cell r="C535" t="str">
            <v>E-69084</v>
          </cell>
          <cell r="D535" t="str">
            <v>LACA TRANS. STD SEMIMATE B.V.</v>
          </cell>
          <cell r="H535">
            <v>187.93</v>
          </cell>
        </row>
        <row r="536">
          <cell r="C536" t="str">
            <v>E-69083</v>
          </cell>
          <cell r="D536" t="str">
            <v>LACA TRANS. STD SEMIMATE B.V.</v>
          </cell>
          <cell r="H536">
            <v>737.07</v>
          </cell>
        </row>
        <row r="537">
          <cell r="C537" t="str">
            <v>E-69074</v>
          </cell>
          <cell r="D537" t="str">
            <v>LACA TRANS. STD MATE B.VISCOSIDAD</v>
          </cell>
          <cell r="H537">
            <v>211.21</v>
          </cell>
        </row>
        <row r="538">
          <cell r="C538" t="str">
            <v>E-69073</v>
          </cell>
          <cell r="D538" t="str">
            <v>LACA TRANS. STD MATE B.VISCOSIDAD</v>
          </cell>
          <cell r="H538">
            <v>722.41</v>
          </cell>
        </row>
        <row r="539">
          <cell r="C539" t="str">
            <v>E-69071</v>
          </cell>
          <cell r="D539" t="str">
            <v>LACA TRANS. STD MATE B.VISCOSIDAD</v>
          </cell>
          <cell r="H539">
            <v>3440.52</v>
          </cell>
        </row>
        <row r="540">
          <cell r="C540" t="str">
            <v>E-68890</v>
          </cell>
          <cell r="D540" t="str">
            <v>SELLADOR ALTA DUREZA MEDIA VISCOSIDAD</v>
          </cell>
          <cell r="H540">
            <v>35917.24</v>
          </cell>
        </row>
        <row r="541">
          <cell r="C541" t="str">
            <v>E-68590</v>
          </cell>
          <cell r="D541" t="str">
            <v>PINTURA HUESO MEDIA VISCOSIDAD</v>
          </cell>
          <cell r="H541">
            <v>42652.59</v>
          </cell>
        </row>
        <row r="542">
          <cell r="C542" t="str">
            <v>E-68311</v>
          </cell>
          <cell r="D542" t="str">
            <v>BARNIZ PU STD TPE. SATINADO BR 30-50</v>
          </cell>
          <cell r="H542">
            <v>3396.55</v>
          </cell>
        </row>
        <row r="543">
          <cell r="C543" t="str">
            <v>E-68251</v>
          </cell>
          <cell r="D543" t="str">
            <v>BARNIZ PU ESTABLE MATE B-10-15</v>
          </cell>
          <cell r="H543">
            <v>5909.48</v>
          </cell>
        </row>
        <row r="544">
          <cell r="C544" t="str">
            <v>E-68144</v>
          </cell>
          <cell r="D544" t="str">
            <v>CATALIZADOR PU NO AMARILL P/B.E6</v>
          </cell>
          <cell r="H544">
            <v>456.03</v>
          </cell>
        </row>
        <row r="545">
          <cell r="C545" t="str">
            <v>E-68143</v>
          </cell>
          <cell r="D545" t="str">
            <v>CATALIZADOR PU NO AMARILL P/B.E6</v>
          </cell>
          <cell r="H545">
            <v>1619.83</v>
          </cell>
        </row>
        <row r="546">
          <cell r="C546" t="str">
            <v>E-68141</v>
          </cell>
          <cell r="D546" t="str">
            <v>CATALIZADOR PU NO AMARILL P/B.E6</v>
          </cell>
          <cell r="H546">
            <v>6659.48</v>
          </cell>
        </row>
        <row r="547">
          <cell r="C547" t="str">
            <v>E-68133</v>
          </cell>
          <cell r="D547" t="str">
            <v>BARNIZ PU BLANCO ESTABLE ALTO BR</v>
          </cell>
          <cell r="H547">
            <v>1381.9</v>
          </cell>
        </row>
        <row r="548">
          <cell r="C548" t="str">
            <v>E-68131</v>
          </cell>
          <cell r="D548" t="str">
            <v>BARNIZ PU BLANCO ESTABLE ALTO BR</v>
          </cell>
          <cell r="H548">
            <v>4800.8599999999997</v>
          </cell>
        </row>
        <row r="549">
          <cell r="C549" t="str">
            <v>E-68013</v>
          </cell>
          <cell r="D549" t="str">
            <v>SELLADOR DE PU TRANSP. ALTO EMPASTE</v>
          </cell>
          <cell r="H549">
            <v>780.17</v>
          </cell>
        </row>
        <row r="550">
          <cell r="C550" t="str">
            <v>E-68011</v>
          </cell>
          <cell r="D550" t="str">
            <v>SELLADOR DE PU TRANSP. ALTO EMPASTE</v>
          </cell>
          <cell r="H550">
            <v>3095.69</v>
          </cell>
        </row>
        <row r="551">
          <cell r="C551" t="str">
            <v>E-67761</v>
          </cell>
          <cell r="D551" t="str">
            <v>CATALIZADOR DE PU PARA BARNIZ EX</v>
          </cell>
          <cell r="H551">
            <v>4294.83</v>
          </cell>
        </row>
        <row r="552">
          <cell r="C552" t="str">
            <v>E-67281</v>
          </cell>
          <cell r="D552" t="str">
            <v>SELLADOR FACIL LIJADO AS/A.VISC</v>
          </cell>
          <cell r="H552">
            <v>4208.62</v>
          </cell>
        </row>
        <row r="553">
          <cell r="C553" t="str">
            <v>E-67280</v>
          </cell>
          <cell r="D553" t="str">
            <v>SELLADOR FACIL LIJADO AS/A.VISC</v>
          </cell>
          <cell r="H553">
            <v>40318.97</v>
          </cell>
        </row>
        <row r="554">
          <cell r="C554" t="str">
            <v>E-66891</v>
          </cell>
          <cell r="D554" t="str">
            <v>BARNIZ DE SR. P/MAD.A.DIR./A.BRI</v>
          </cell>
          <cell r="H554">
            <v>3337.07</v>
          </cell>
        </row>
        <row r="555">
          <cell r="C555" t="str">
            <v>E-65663</v>
          </cell>
          <cell r="D555" t="str">
            <v>CATALIZADOR PU REACTIVO P/SELL.Y</v>
          </cell>
          <cell r="H555">
            <v>933.62</v>
          </cell>
        </row>
        <row r="556">
          <cell r="C556" t="str">
            <v>E-65661</v>
          </cell>
          <cell r="D556" t="str">
            <v>CATALIZADOR PU REACTIVO P/SELL.Y</v>
          </cell>
          <cell r="H556">
            <v>3835.34</v>
          </cell>
        </row>
        <row r="557">
          <cell r="C557" t="str">
            <v>E-65651</v>
          </cell>
          <cell r="D557" t="str">
            <v>SELLADOR DE PU SEMI-TPE ALTO EMP</v>
          </cell>
          <cell r="H557">
            <v>3611.21</v>
          </cell>
        </row>
        <row r="558">
          <cell r="C558" t="str">
            <v>E-65581</v>
          </cell>
          <cell r="D558" t="str">
            <v>FONDO NITRO MARRON</v>
          </cell>
          <cell r="H558">
            <v>4249.1400000000003</v>
          </cell>
        </row>
        <row r="559">
          <cell r="C559" t="str">
            <v>E-65231</v>
          </cell>
          <cell r="D559" t="str">
            <v>SELLADOR PARA RESANES</v>
          </cell>
          <cell r="H559">
            <v>2806.03</v>
          </cell>
        </row>
        <row r="560">
          <cell r="C560" t="str">
            <v>E-65230</v>
          </cell>
          <cell r="D560" t="str">
            <v>SELLADOR PARA RESANES</v>
          </cell>
          <cell r="H560">
            <v>28011.21</v>
          </cell>
        </row>
        <row r="561">
          <cell r="C561" t="str">
            <v>E-65070</v>
          </cell>
          <cell r="D561" t="str">
            <v>PINTURA AMARILLO MEDIA VISCOSIDAD</v>
          </cell>
          <cell r="H561">
            <v>42729.31</v>
          </cell>
        </row>
        <row r="562">
          <cell r="C562" t="str">
            <v>E-64980</v>
          </cell>
          <cell r="D562" t="str">
            <v>PINTURA BEIGE ALTA VISCOSIDAD</v>
          </cell>
          <cell r="H562">
            <v>40863.79</v>
          </cell>
        </row>
        <row r="563">
          <cell r="C563" t="str">
            <v>E-64490</v>
          </cell>
          <cell r="D563" t="str">
            <v>PINTURA PERLA ALTA VISCOSIDAD</v>
          </cell>
          <cell r="H563">
            <v>41185.339999999997</v>
          </cell>
        </row>
        <row r="564">
          <cell r="C564" t="str">
            <v>E-64480</v>
          </cell>
          <cell r="D564" t="str">
            <v>PINTURA CREMA ALTA VISCOSIDAD</v>
          </cell>
          <cell r="H564">
            <v>40814.660000000003</v>
          </cell>
        </row>
        <row r="565">
          <cell r="C565" t="str">
            <v>E-64060</v>
          </cell>
          <cell r="D565" t="str">
            <v>LACA BLANCA ALTA VISCOSIDAD</v>
          </cell>
          <cell r="H565">
            <v>38805.17</v>
          </cell>
        </row>
        <row r="566">
          <cell r="C566" t="str">
            <v>E-63860</v>
          </cell>
          <cell r="D566" t="str">
            <v>PINTURA CREMA MEDIA VISCOSIDAD</v>
          </cell>
          <cell r="H566">
            <v>42652.59</v>
          </cell>
        </row>
        <row r="567">
          <cell r="C567" t="str">
            <v>E-63791</v>
          </cell>
          <cell r="D567" t="str">
            <v>BARNIZ PU AS.TRANS.BTE.SEC.RAPID</v>
          </cell>
          <cell r="H567">
            <v>4039.66</v>
          </cell>
        </row>
        <row r="568">
          <cell r="C568" t="str">
            <v>E-63570</v>
          </cell>
          <cell r="D568" t="str">
            <v>DOPE ALTA VISCOSIDAD</v>
          </cell>
          <cell r="H568">
            <v>38805.17</v>
          </cell>
        </row>
        <row r="569">
          <cell r="C569" t="str">
            <v>E-63210</v>
          </cell>
          <cell r="D569" t="str">
            <v>DOPE SEMI TRANSPARENTE MEDIA VISCOSIDAD</v>
          </cell>
          <cell r="H569">
            <v>35250</v>
          </cell>
        </row>
        <row r="570">
          <cell r="C570" t="str">
            <v>E-62310</v>
          </cell>
          <cell r="D570" t="str">
            <v>DOPE MEDIA VISCOSIDAD</v>
          </cell>
          <cell r="H570">
            <v>38805.17</v>
          </cell>
        </row>
        <row r="571">
          <cell r="C571" t="str">
            <v>E-62184</v>
          </cell>
          <cell r="D571" t="str">
            <v>MATIZANTE UNIVERSAL</v>
          </cell>
          <cell r="H571">
            <v>275.86</v>
          </cell>
        </row>
        <row r="572">
          <cell r="C572" t="str">
            <v>E-62183</v>
          </cell>
          <cell r="D572" t="str">
            <v>MATIZANTE UNIVERSAL</v>
          </cell>
          <cell r="H572">
            <v>975.86</v>
          </cell>
        </row>
        <row r="573">
          <cell r="C573" t="str">
            <v>E-62181</v>
          </cell>
          <cell r="D573" t="str">
            <v>MATIZANTE UNIVERSAL</v>
          </cell>
          <cell r="H573">
            <v>4046.55</v>
          </cell>
        </row>
        <row r="574">
          <cell r="C574" t="str">
            <v>E-43134</v>
          </cell>
          <cell r="D574" t="str">
            <v>ESTRUCTURAS GRIS</v>
          </cell>
          <cell r="H574">
            <v>143.1</v>
          </cell>
        </row>
        <row r="575">
          <cell r="C575" t="str">
            <v>E-43133</v>
          </cell>
          <cell r="D575" t="str">
            <v>ESTRUCTURAS GRIS</v>
          </cell>
          <cell r="H575">
            <v>488.79</v>
          </cell>
        </row>
        <row r="576">
          <cell r="C576" t="str">
            <v>BAG-10896</v>
          </cell>
          <cell r="D576" t="str">
            <v>BARNIZ GLOSI ALQUI NOGAL</v>
          </cell>
          <cell r="H576">
            <v>52.59</v>
          </cell>
        </row>
        <row r="577">
          <cell r="C577" t="str">
            <v>BAG-10895</v>
          </cell>
          <cell r="D577" t="str">
            <v>BARNIZ GLOSI ALQUI NOGAL</v>
          </cell>
          <cell r="H577">
            <v>83.62</v>
          </cell>
        </row>
        <row r="578">
          <cell r="C578" t="str">
            <v>BAG-10886</v>
          </cell>
          <cell r="D578" t="str">
            <v>BARNIZ GLOSI ALQUI CAOBA</v>
          </cell>
          <cell r="H578">
            <v>52.59</v>
          </cell>
        </row>
        <row r="579">
          <cell r="C579" t="str">
            <v>BAG-10885</v>
          </cell>
          <cell r="D579" t="str">
            <v>BARNIZ GLOSI ALQUI CAOBA</v>
          </cell>
          <cell r="H579">
            <v>83.62</v>
          </cell>
        </row>
        <row r="580">
          <cell r="C580" t="str">
            <v>BAG-10846</v>
          </cell>
          <cell r="D580" t="str">
            <v>BARNIZ GLOSI ALQUI CEDRO</v>
          </cell>
          <cell r="H580">
            <v>52.59</v>
          </cell>
        </row>
        <row r="581">
          <cell r="C581" t="str">
            <v>BAG-10845</v>
          </cell>
          <cell r="D581" t="str">
            <v>BARNIZ GLOSI ALQUI CEDRO</v>
          </cell>
          <cell r="H581">
            <v>83.62</v>
          </cell>
        </row>
        <row r="582">
          <cell r="C582" t="str">
            <v>ES-06230</v>
          </cell>
          <cell r="D582" t="str">
            <v>PRIMARIO ESTRUCTURAS INECO C30 GRIS</v>
          </cell>
          <cell r="H582">
            <v>17276.72</v>
          </cell>
        </row>
        <row r="583">
          <cell r="C583" t="str">
            <v>ES-04370</v>
          </cell>
          <cell r="D583" t="str">
            <v>PRIMARIO ESTRUCTURAS GRIS 15-93 AD</v>
          </cell>
          <cell r="H583">
            <v>15845.69</v>
          </cell>
        </row>
        <row r="584">
          <cell r="C584" t="str">
            <v>9205-2</v>
          </cell>
          <cell r="D584" t="str">
            <v>REP P/ROD COLOSO 9 IN 1/2 IN NAP</v>
          </cell>
          <cell r="H584">
            <v>15.52</v>
          </cell>
        </row>
        <row r="585">
          <cell r="C585" t="str">
            <v>9204-4</v>
          </cell>
          <cell r="D585" t="str">
            <v>REP P/ROD ECO-ROLL 9 IN 1 IN NAP</v>
          </cell>
          <cell r="H585">
            <v>15.52</v>
          </cell>
        </row>
        <row r="586">
          <cell r="C586" t="str">
            <v>9204-3</v>
          </cell>
          <cell r="D586" t="str">
            <v>REP P/ROD ECO-ROLL 9" 3/4" NAP -BAJA-</v>
          </cell>
          <cell r="H586">
            <v>15.52</v>
          </cell>
        </row>
        <row r="587">
          <cell r="C587" t="str">
            <v>9203-4</v>
          </cell>
          <cell r="D587" t="str">
            <v>REP P/ROD ALTA/DEN PRODU-C 9 IN 1 IN NAP</v>
          </cell>
          <cell r="H587">
            <v>15.52</v>
          </cell>
        </row>
        <row r="588">
          <cell r="C588" t="str">
            <v>9203-2</v>
          </cell>
          <cell r="D588" t="str">
            <v>REP P/ROD ALTA/DEN PRODU-C 9 IN 1/2" NAP</v>
          </cell>
          <cell r="H588">
            <v>15.52</v>
          </cell>
        </row>
        <row r="589">
          <cell r="C589" t="str">
            <v>9203-1</v>
          </cell>
          <cell r="D589" t="str">
            <v>REP P/ROD ALTA/DEN PRODU-C 9" 3/8" NAP</v>
          </cell>
          <cell r="H589">
            <v>15.52</v>
          </cell>
        </row>
        <row r="590">
          <cell r="C590" t="str">
            <v>9202-14</v>
          </cell>
          <cell r="D590" t="str">
            <v>MANERAL PARA MINI RODILLO DE 4" -BAJA-</v>
          </cell>
          <cell r="H590">
            <v>23.28</v>
          </cell>
        </row>
        <row r="591">
          <cell r="C591" t="str">
            <v>9202-01</v>
          </cell>
          <cell r="D591" t="str">
            <v>MINI MANERAL 6 PULG</v>
          </cell>
          <cell r="H591">
            <v>15.52</v>
          </cell>
        </row>
        <row r="592">
          <cell r="C592" t="str">
            <v>9202-00</v>
          </cell>
          <cell r="D592" t="str">
            <v>MINI MANERAL 4 PULG 38 MM GROSOR</v>
          </cell>
          <cell r="H592">
            <v>15.52</v>
          </cell>
        </row>
        <row r="593">
          <cell r="C593" t="str">
            <v>9202-0</v>
          </cell>
          <cell r="D593" t="str">
            <v>MINI MANERAL 4 PULG -BAJA-</v>
          </cell>
          <cell r="H593">
            <v>15.52</v>
          </cell>
        </row>
        <row r="594">
          <cell r="C594" t="str">
            <v>9179-B</v>
          </cell>
          <cell r="D594" t="str">
            <v>CEPILLO LECHUGUILLA P/IMPER CON BASTON</v>
          </cell>
          <cell r="H594">
            <v>64.66</v>
          </cell>
        </row>
        <row r="595">
          <cell r="C595" t="str">
            <v>9178-CN</v>
          </cell>
          <cell r="D595" t="str">
            <v>EXITO CEPILLO P/PICAR 220 CER NAT</v>
          </cell>
          <cell r="H595">
            <v>98.28</v>
          </cell>
        </row>
        <row r="596">
          <cell r="C596" t="str">
            <v>9149-PG</v>
          </cell>
          <cell r="D596" t="str">
            <v>PISTOLA GRAV HVLP VASO PLAST 600ML-BAJA-</v>
          </cell>
          <cell r="H596">
            <v>719.83</v>
          </cell>
        </row>
        <row r="597">
          <cell r="C597" t="str">
            <v>9148-PR</v>
          </cell>
          <cell r="D597" t="str">
            <v>PISTOLA DE SUCCION REFORZADA</v>
          </cell>
          <cell r="H597">
            <v>481.03</v>
          </cell>
        </row>
        <row r="598">
          <cell r="C598" t="str">
            <v>9148-PB</v>
          </cell>
          <cell r="D598" t="str">
            <v>PISTOLA DE SUCCION BASICA -BAJA-</v>
          </cell>
          <cell r="H598">
            <v>342.24</v>
          </cell>
        </row>
        <row r="599">
          <cell r="C599" t="str">
            <v>9124-43</v>
          </cell>
          <cell r="D599" t="str">
            <v>REPUESTO PINTAPAD PREM 9" -63513-</v>
          </cell>
          <cell r="H599">
            <v>45.69</v>
          </cell>
        </row>
        <row r="600">
          <cell r="C600" t="str">
            <v>9124-42</v>
          </cell>
          <cell r="D600" t="str">
            <v>PINTAPAD PREMIUM 9 PULG -63511- PREMIER</v>
          </cell>
          <cell r="H600">
            <v>88.79</v>
          </cell>
        </row>
        <row r="601">
          <cell r="C601" t="str">
            <v>9124-41</v>
          </cell>
          <cell r="D601" t="str">
            <v>FIBRA VIDRIO ACERO INOX 1.8M-3.7M-84612-</v>
          </cell>
          <cell r="H601">
            <v>650</v>
          </cell>
        </row>
        <row r="602">
          <cell r="C602" t="str">
            <v>9124-40</v>
          </cell>
          <cell r="D602" t="str">
            <v>FIBRA DE VIDRIO AC-INOX 1.2M-2.4 M-84048</v>
          </cell>
          <cell r="H602">
            <v>400</v>
          </cell>
        </row>
        <row r="603">
          <cell r="C603" t="str">
            <v>9124-39</v>
          </cell>
          <cell r="D603" t="str">
            <v>FIBRA D VIDRIO Y ALUM 2.4M-4.9M-84816MX-</v>
          </cell>
          <cell r="H603">
            <v>666.38</v>
          </cell>
        </row>
        <row r="604">
          <cell r="C604" t="str">
            <v>9124-38</v>
          </cell>
          <cell r="D604" t="str">
            <v>EXHIBIDOR DE EXTENSIONES -62100- PREMIER</v>
          </cell>
          <cell r="H604">
            <v>768.1</v>
          </cell>
        </row>
        <row r="605">
          <cell r="C605" t="str">
            <v>9124-37</v>
          </cell>
          <cell r="D605" t="str">
            <v>EXTENSION METAL 3MT TELESCOPICA</v>
          </cell>
          <cell r="H605">
            <v>134.47999999999999</v>
          </cell>
        </row>
        <row r="606">
          <cell r="C606" t="str">
            <v>9124-36</v>
          </cell>
          <cell r="D606" t="str">
            <v>EXTENSION-METAL 2MT TELESCOPICA</v>
          </cell>
          <cell r="H606">
            <v>89.66</v>
          </cell>
        </row>
        <row r="607">
          <cell r="C607" t="str">
            <v>9124-35</v>
          </cell>
          <cell r="D607" t="str">
            <v>EXTENSION METAL 1.2 MT FIJA</v>
          </cell>
          <cell r="H607">
            <v>27.59</v>
          </cell>
        </row>
        <row r="608">
          <cell r="C608" t="str">
            <v>9124-34</v>
          </cell>
          <cell r="D608" t="str">
            <v>CHAROLA ECONOMICA 9 PULG -63001- PREMIER</v>
          </cell>
          <cell r="H608">
            <v>24.14</v>
          </cell>
        </row>
        <row r="609">
          <cell r="C609" t="str">
            <v>9124-33</v>
          </cell>
          <cell r="D609" t="str">
            <v>MINI CHAROLA 4 PULG -63000- PREMIER</v>
          </cell>
          <cell r="H609">
            <v>17.239999999999998</v>
          </cell>
        </row>
        <row r="610">
          <cell r="C610" t="str">
            <v>9124-32</v>
          </cell>
          <cell r="D610" t="str">
            <v>ARMAZON PROFESIONAL 9" -62003- PREMIER</v>
          </cell>
          <cell r="H610">
            <v>41.38</v>
          </cell>
        </row>
        <row r="611">
          <cell r="C611" t="str">
            <v>9124-31</v>
          </cell>
          <cell r="D611" t="str">
            <v>ARMAZON C/JAULA 4 PULG -62002- PREMIER</v>
          </cell>
          <cell r="H611">
            <v>24.14</v>
          </cell>
        </row>
        <row r="612">
          <cell r="C612" t="str">
            <v>9124-30</v>
          </cell>
          <cell r="D612" t="str">
            <v>ARMAZON ESTANDAR 9 PULG -62001- PREMIER</v>
          </cell>
          <cell r="H612">
            <v>37.07</v>
          </cell>
        </row>
        <row r="613">
          <cell r="C613" t="str">
            <v>9124-28</v>
          </cell>
          <cell r="D613" t="str">
            <v>ARMAZON SENCILLO 4 PULG -62000- PREMIER</v>
          </cell>
          <cell r="H613">
            <v>18.100000000000001</v>
          </cell>
        </row>
        <row r="614">
          <cell r="C614" t="str">
            <v>9124-27</v>
          </cell>
          <cell r="D614" t="str">
            <v>MINI RODILLO COMPELTO NYLON 4" -62602-</v>
          </cell>
          <cell r="H614">
            <v>28.45</v>
          </cell>
        </row>
        <row r="615">
          <cell r="C615" t="str">
            <v>9124-26</v>
          </cell>
          <cell r="D615" t="str">
            <v>MINI RODILLO NYLON 4" 10PK-62601-PREMIER</v>
          </cell>
          <cell r="H615">
            <v>118.97</v>
          </cell>
        </row>
        <row r="616">
          <cell r="C616" t="str">
            <v>9124-25</v>
          </cell>
          <cell r="D616" t="str">
            <v>MINIRODILLO COMPLETO P/ESMALTE 4"-62402-</v>
          </cell>
          <cell r="H616">
            <v>34.479999999999997</v>
          </cell>
        </row>
        <row r="617">
          <cell r="C617" t="str">
            <v>9124-24</v>
          </cell>
          <cell r="D617" t="str">
            <v>MINI RODILLO P/ESMALTE 4" 10 PK -62401-</v>
          </cell>
          <cell r="H617">
            <v>159.47999999999999</v>
          </cell>
        </row>
        <row r="618">
          <cell r="C618" t="str">
            <v>9124-23</v>
          </cell>
          <cell r="D618" t="str">
            <v>RODILLO PROFESIONAL 1 1/4" -65104-</v>
          </cell>
          <cell r="H618">
            <v>58.62</v>
          </cell>
        </row>
        <row r="619">
          <cell r="C619" t="str">
            <v>9124-22</v>
          </cell>
          <cell r="D619" t="str">
            <v>RODILLO PROFESIONAL 9X3/4" -65105-</v>
          </cell>
          <cell r="H619">
            <v>52.59</v>
          </cell>
        </row>
        <row r="620">
          <cell r="C620" t="str">
            <v>9124-21</v>
          </cell>
          <cell r="D620" t="str">
            <v>RODILLO PROFESIONAL 3/8" -65106- PREMIER</v>
          </cell>
          <cell r="H620">
            <v>43.1</v>
          </cell>
        </row>
        <row r="621">
          <cell r="C621" t="str">
            <v>9124-20</v>
          </cell>
          <cell r="D621" t="str">
            <v>RODILLO DOMESTICO 1-1/4" -65101- PREMIER</v>
          </cell>
          <cell r="H621">
            <v>51.72</v>
          </cell>
        </row>
        <row r="622">
          <cell r="C622" t="str">
            <v>9124-18</v>
          </cell>
          <cell r="D622" t="str">
            <v>RODILLO DOMESTICO 3/4" -65102- PREMIER</v>
          </cell>
          <cell r="H622">
            <v>40.520000000000003</v>
          </cell>
        </row>
        <row r="623">
          <cell r="C623" t="str">
            <v>9124-17</v>
          </cell>
          <cell r="D623" t="str">
            <v>RODILLO DOMESTICO 3/8" -65103- PREMIER</v>
          </cell>
          <cell r="H623">
            <v>37.93</v>
          </cell>
        </row>
        <row r="624">
          <cell r="C624" t="str">
            <v>9124-16</v>
          </cell>
          <cell r="D624" t="str">
            <v>RODILLO STD PROF 9X1/4" -65204- PREMIER</v>
          </cell>
          <cell r="H624">
            <v>73.28</v>
          </cell>
        </row>
        <row r="625">
          <cell r="C625" t="str">
            <v>9124-15</v>
          </cell>
          <cell r="D625" t="str">
            <v>RODILLO STD PROF 9X3/4" -65205- PREMIER</v>
          </cell>
          <cell r="H625">
            <v>62.93</v>
          </cell>
        </row>
        <row r="626">
          <cell r="C626" t="str">
            <v>9124-14</v>
          </cell>
          <cell r="D626" t="str">
            <v>RODILLO STD PROF 9X3/8" -65206- PREMIER</v>
          </cell>
          <cell r="H626">
            <v>56.03</v>
          </cell>
        </row>
        <row r="627">
          <cell r="C627" t="str">
            <v>9124-13</v>
          </cell>
          <cell r="D627" t="str">
            <v>RODILLO STD DOMSTCO 9X1/4" -65201-</v>
          </cell>
          <cell r="H627">
            <v>58.62</v>
          </cell>
        </row>
        <row r="628">
          <cell r="C628" t="str">
            <v>9124-12</v>
          </cell>
          <cell r="D628" t="str">
            <v>RODILLO STD DOMSTCO 9X3/4" -65202-</v>
          </cell>
          <cell r="H628">
            <v>53.45</v>
          </cell>
        </row>
        <row r="629">
          <cell r="C629" t="str">
            <v>9124-11</v>
          </cell>
          <cell r="D629" t="str">
            <v>RODILLO STD DOMSTCO 9X3/8" -65203-</v>
          </cell>
          <cell r="H629">
            <v>50.86</v>
          </cell>
        </row>
        <row r="630">
          <cell r="C630" t="str">
            <v>9124-10</v>
          </cell>
          <cell r="D630" t="str">
            <v>FELPA PARA EPOXICOS 9" -933-M- PREMIER</v>
          </cell>
          <cell r="H630">
            <v>70.69</v>
          </cell>
        </row>
        <row r="631">
          <cell r="C631" t="str">
            <v>9124-09</v>
          </cell>
          <cell r="D631" t="str">
            <v>FELPA ULTRA MICRO 9X3/8" -9UM38- PREMIER</v>
          </cell>
          <cell r="H631">
            <v>58.62</v>
          </cell>
        </row>
        <row r="632">
          <cell r="C632" t="str">
            <v>9124-08</v>
          </cell>
          <cell r="D632" t="str">
            <v>FELPA MICROFIBRA 9X3/8"-9MCR-38- PREMIER</v>
          </cell>
          <cell r="H632">
            <v>37.07</v>
          </cell>
        </row>
        <row r="633">
          <cell r="C633" t="str">
            <v>9124-07</v>
          </cell>
          <cell r="D633" t="str">
            <v>FELPA KODAWOOL 9X3/8" -9KW2-38- PREMIER</v>
          </cell>
          <cell r="H633">
            <v>39.659999999999997</v>
          </cell>
        </row>
        <row r="634">
          <cell r="C634" t="str">
            <v>9124-06</v>
          </cell>
          <cell r="D634" t="str">
            <v>FELPA 9X1-1/4" PROFESIONAL-65004-PREMIER</v>
          </cell>
          <cell r="H634">
            <v>34.479999999999997</v>
          </cell>
        </row>
        <row r="635">
          <cell r="C635" t="str">
            <v>9124-05</v>
          </cell>
          <cell r="D635" t="str">
            <v>FELPA 9X3/4" PROFESIONAL -65005- PREMIER</v>
          </cell>
          <cell r="H635">
            <v>31.9</v>
          </cell>
        </row>
        <row r="636">
          <cell r="C636" t="str">
            <v>9124-04</v>
          </cell>
          <cell r="D636" t="str">
            <v>FELPA 9X3/8" PROFESIONAL -65006- PREMIER</v>
          </cell>
          <cell r="H636">
            <v>27.59</v>
          </cell>
        </row>
        <row r="637">
          <cell r="C637" t="str">
            <v>9124-03</v>
          </cell>
          <cell r="D637" t="str">
            <v>FELPA 9X1-1/4" DOMESTICO -65001- PREMIER</v>
          </cell>
          <cell r="H637">
            <v>37.93</v>
          </cell>
        </row>
        <row r="638">
          <cell r="C638" t="str">
            <v>9124-02</v>
          </cell>
          <cell r="D638" t="str">
            <v>FELPA 9X3/4" DOMESTICO -65002- PREMIER</v>
          </cell>
          <cell r="H638">
            <v>32.76</v>
          </cell>
        </row>
        <row r="639">
          <cell r="C639" t="str">
            <v>9124-01</v>
          </cell>
          <cell r="D639" t="str">
            <v>FELPA 9X3/8" DOMESTICO -65003- PREMIER</v>
          </cell>
          <cell r="H639">
            <v>25</v>
          </cell>
        </row>
        <row r="640">
          <cell r="C640" t="str">
            <v>9121-PR</v>
          </cell>
          <cell r="D640" t="str">
            <v>REFIL PINTA PAD 9 PULG -19AH023121-</v>
          </cell>
          <cell r="H640">
            <v>45.69</v>
          </cell>
        </row>
        <row r="641">
          <cell r="C641" t="str">
            <v>9121-PP</v>
          </cell>
          <cell r="D641" t="str">
            <v>PINTA PAD 9 PULG COMPLETO -19AH023120-</v>
          </cell>
          <cell r="H641">
            <v>89.66</v>
          </cell>
        </row>
        <row r="642">
          <cell r="C642" t="str">
            <v>9121-9</v>
          </cell>
          <cell r="D642" t="str">
            <v>PAD PAINT 9 PULG -BAJA-</v>
          </cell>
          <cell r="H642">
            <v>104.31</v>
          </cell>
        </row>
        <row r="643">
          <cell r="C643" t="str">
            <v>6782-60</v>
          </cell>
          <cell r="D643" t="str">
            <v>BROCHA ULTRA 6 PULG ***BAJA***</v>
          </cell>
          <cell r="H643">
            <v>17.239999999999998</v>
          </cell>
        </row>
        <row r="644">
          <cell r="C644" t="str">
            <v>6780-60</v>
          </cell>
          <cell r="D644" t="str">
            <v>BROCHA EXTRA 6 PULG</v>
          </cell>
          <cell r="H644">
            <v>15.52</v>
          </cell>
        </row>
        <row r="645">
          <cell r="C645" t="str">
            <v>6780-20</v>
          </cell>
          <cell r="D645" t="str">
            <v>BROCHA EXTRA 2 PULG</v>
          </cell>
          <cell r="H645">
            <v>7.76</v>
          </cell>
        </row>
        <row r="646">
          <cell r="C646" t="str">
            <v>6780-15</v>
          </cell>
          <cell r="D646" t="str">
            <v>BROCHA EXTRA 1 1/2 PULG</v>
          </cell>
          <cell r="H646">
            <v>7.76</v>
          </cell>
        </row>
        <row r="647">
          <cell r="C647" t="str">
            <v>6780-10</v>
          </cell>
          <cell r="D647" t="str">
            <v>BROCHA EXTRA 1 PULG -BAJA-</v>
          </cell>
          <cell r="H647">
            <v>7.76</v>
          </cell>
        </row>
        <row r="648">
          <cell r="C648" t="str">
            <v>6768-60</v>
          </cell>
          <cell r="D648" t="str">
            <v>BROCHA MULTIPRO POLY 6" -61009- PREMIER</v>
          </cell>
          <cell r="H648">
            <v>75.86</v>
          </cell>
        </row>
        <row r="649">
          <cell r="C649" t="str">
            <v>6768-50</v>
          </cell>
          <cell r="D649" t="str">
            <v>BROCHA MULTIPRO POLY 5" -61008- PREMIER</v>
          </cell>
          <cell r="H649">
            <v>62.93</v>
          </cell>
        </row>
        <row r="650">
          <cell r="C650" t="str">
            <v>6768-40</v>
          </cell>
          <cell r="D650" t="str">
            <v>BROCHA MULTIPRO POLY 4" -61007- PREMIER</v>
          </cell>
          <cell r="H650">
            <v>43.1</v>
          </cell>
        </row>
        <row r="651">
          <cell r="C651" t="str">
            <v>6768-30</v>
          </cell>
          <cell r="D651" t="str">
            <v>BROCHA MULTIPRO POLY 3" -61006- PREMIER</v>
          </cell>
          <cell r="H651">
            <v>32.76</v>
          </cell>
        </row>
        <row r="652">
          <cell r="C652" t="str">
            <v>6768-25</v>
          </cell>
          <cell r="D652" t="str">
            <v>BROCHA MULTIPRO POLY 2½" -61005- PREMIER</v>
          </cell>
          <cell r="H652">
            <v>21.55</v>
          </cell>
        </row>
        <row r="653">
          <cell r="C653" t="str">
            <v>6768-20</v>
          </cell>
          <cell r="D653" t="str">
            <v>BROCHA MULTIPRO POLY 2" -61004-</v>
          </cell>
          <cell r="H653">
            <v>18.100000000000001</v>
          </cell>
        </row>
        <row r="654">
          <cell r="C654" t="str">
            <v>6768-15</v>
          </cell>
          <cell r="D654" t="str">
            <v>BROCHA MULTIPRO POLY 1½" -61003- PREMIER</v>
          </cell>
          <cell r="H654">
            <v>15.52</v>
          </cell>
        </row>
        <row r="655">
          <cell r="C655" t="str">
            <v>6767-60</v>
          </cell>
          <cell r="D655" t="str">
            <v>BROCHA PARA BARNIZAR 6" -61058- PREMIER</v>
          </cell>
          <cell r="H655">
            <v>161.21</v>
          </cell>
        </row>
        <row r="656">
          <cell r="C656" t="str">
            <v>6767-50</v>
          </cell>
          <cell r="D656" t="str">
            <v>BROCHA PARA BARNIZAR 5 PULG -61057-</v>
          </cell>
          <cell r="H656">
            <v>120.69</v>
          </cell>
        </row>
        <row r="657">
          <cell r="C657" t="str">
            <v>6767-40</v>
          </cell>
          <cell r="D657" t="str">
            <v>BROCHA PARA BARNIZAR 4" -61056- PREMIER</v>
          </cell>
          <cell r="H657">
            <v>95.69</v>
          </cell>
        </row>
        <row r="658">
          <cell r="C658" t="str">
            <v>6767-30</v>
          </cell>
          <cell r="D658" t="str">
            <v>BROCHA PARA BARNIZAR 3" -61055- PREMIER</v>
          </cell>
          <cell r="H658">
            <v>71.55</v>
          </cell>
        </row>
        <row r="659">
          <cell r="C659" t="str">
            <v>6767-25</v>
          </cell>
          <cell r="D659" t="str">
            <v>BROCHA PARA BARNIZAR 2½" -61054- PREMIER</v>
          </cell>
          <cell r="H659">
            <v>56.9</v>
          </cell>
        </row>
        <row r="660">
          <cell r="C660" t="str">
            <v>6767-20</v>
          </cell>
          <cell r="D660" t="str">
            <v>BROCHA PARA BARNIZAR 2" -61053- PREMIER</v>
          </cell>
          <cell r="H660">
            <v>41.38</v>
          </cell>
        </row>
        <row r="661">
          <cell r="C661" t="str">
            <v>6767-15</v>
          </cell>
          <cell r="D661" t="str">
            <v>BROCHA PARA BARNIZAR 1½" -61052- PREMIER</v>
          </cell>
          <cell r="H661">
            <v>27.59</v>
          </cell>
        </row>
        <row r="662">
          <cell r="C662" t="str">
            <v>6767-10</v>
          </cell>
          <cell r="D662" t="str">
            <v>BROCHA PARA BARNIZAR 1" -61051- PREMIER</v>
          </cell>
          <cell r="H662">
            <v>19.829999999999998</v>
          </cell>
        </row>
        <row r="663">
          <cell r="C663" t="str">
            <v>6767-05</v>
          </cell>
          <cell r="D663" t="str">
            <v>BROCHA PARA BARNIZAR ½" -61050- PREMIER</v>
          </cell>
          <cell r="H663">
            <v>17.239999999999998</v>
          </cell>
        </row>
        <row r="664">
          <cell r="C664" t="str">
            <v>6766-60</v>
          </cell>
          <cell r="D664" t="str">
            <v>BROCHA PROFESIONAL 6" -61038- PREMIER</v>
          </cell>
          <cell r="H664">
            <v>83.62</v>
          </cell>
        </row>
        <row r="665">
          <cell r="C665" t="str">
            <v>6766-50</v>
          </cell>
          <cell r="D665" t="str">
            <v>BROCHA PROFESIONAL 5" -61037- PREMIER</v>
          </cell>
          <cell r="H665">
            <v>72.41</v>
          </cell>
        </row>
        <row r="666">
          <cell r="C666" t="str">
            <v>6766-40</v>
          </cell>
          <cell r="D666" t="str">
            <v>BROCHA PROFESIONAL 4" -61036- PREMIER</v>
          </cell>
          <cell r="H666">
            <v>56.9</v>
          </cell>
        </row>
        <row r="667">
          <cell r="C667" t="str">
            <v>6766-30</v>
          </cell>
          <cell r="D667" t="str">
            <v>BROCHA PROFESIONAL 3" -61035- PREMIER</v>
          </cell>
          <cell r="H667">
            <v>37.07</v>
          </cell>
        </row>
        <row r="668">
          <cell r="C668" t="str">
            <v>6766-25</v>
          </cell>
          <cell r="D668" t="str">
            <v>BROCHA PROFESIONAL 2½" -61034- PREMIER</v>
          </cell>
          <cell r="H668">
            <v>25</v>
          </cell>
        </row>
        <row r="669">
          <cell r="C669" t="str">
            <v>6766-20</v>
          </cell>
          <cell r="D669" t="str">
            <v>BROCHA PROFESIONAL 2" -61033- PREMIER</v>
          </cell>
          <cell r="H669">
            <v>19.829999999999998</v>
          </cell>
        </row>
        <row r="670">
          <cell r="C670" t="str">
            <v>6766-15</v>
          </cell>
          <cell r="D670" t="str">
            <v>BROCHA PROFESIONAL 1½" -61032- PREMIER</v>
          </cell>
          <cell r="H670">
            <v>17.239999999999998</v>
          </cell>
        </row>
        <row r="671">
          <cell r="C671" t="str">
            <v>6766-10</v>
          </cell>
          <cell r="D671" t="str">
            <v>BROCHA PROFESIONAL 1" -61031- PREMIER</v>
          </cell>
          <cell r="H671">
            <v>12.93</v>
          </cell>
        </row>
        <row r="672">
          <cell r="C672" t="str">
            <v>6766-05</v>
          </cell>
          <cell r="D672" t="str">
            <v>BROCHA PROFESIONAL ½" -61030- PREMIER</v>
          </cell>
          <cell r="H672">
            <v>8.6199999999999992</v>
          </cell>
        </row>
        <row r="673">
          <cell r="C673" t="str">
            <v>6765-01</v>
          </cell>
          <cell r="D673" t="str">
            <v>MINI FELPA ACRILICO 4 PULG 2 PACK -FMP2-</v>
          </cell>
          <cell r="H673">
            <v>37.07</v>
          </cell>
        </row>
        <row r="674">
          <cell r="C674" t="str">
            <v>6764-50</v>
          </cell>
          <cell r="D674" t="str">
            <v>CINTA MASKING 1/2 PULG -BAJA-</v>
          </cell>
          <cell r="H674">
            <v>27.59</v>
          </cell>
        </row>
        <row r="675">
          <cell r="C675" t="str">
            <v>6764-05</v>
          </cell>
          <cell r="D675" t="str">
            <v>ROLLO INDUSTRIAL 3.0X7.50=22.5 M2-67117-</v>
          </cell>
          <cell r="H675">
            <v>153.44999999999999</v>
          </cell>
        </row>
        <row r="676">
          <cell r="C676" t="str">
            <v>6764-04</v>
          </cell>
          <cell r="D676" t="str">
            <v>ROLLO INDUSTRIAL 1X15 = 15 M2 -67116-</v>
          </cell>
          <cell r="H676">
            <v>87.07</v>
          </cell>
        </row>
        <row r="677">
          <cell r="C677" t="str">
            <v>6764-03</v>
          </cell>
          <cell r="D677" t="str">
            <v>PLASTIPROTECTOR PREMIUM UL 10 M2-67111-</v>
          </cell>
          <cell r="H677">
            <v>17.239999999999998</v>
          </cell>
        </row>
        <row r="678">
          <cell r="C678" t="str">
            <v>6764-02</v>
          </cell>
          <cell r="D678" t="str">
            <v>PLASTIPROTECTOR UL 15 M2 -67110- PREMIER</v>
          </cell>
          <cell r="H678">
            <v>24.14</v>
          </cell>
        </row>
        <row r="679">
          <cell r="C679" t="str">
            <v>6764-01</v>
          </cell>
          <cell r="D679" t="str">
            <v>PLASTIPROTECTOR PREMIUM UR 10 MT -67109-</v>
          </cell>
          <cell r="H679">
            <v>28.45</v>
          </cell>
        </row>
        <row r="680">
          <cell r="C680" t="str">
            <v>6763-60</v>
          </cell>
          <cell r="D680" t="str">
            <v>BROCHA DOMESTICA 6 PULG -61048- PREMIER</v>
          </cell>
          <cell r="H680">
            <v>62.07</v>
          </cell>
        </row>
        <row r="681">
          <cell r="C681" t="str">
            <v>6763-50</v>
          </cell>
          <cell r="D681" t="str">
            <v>BROCHA DOMESTICA 5 PULG -61047- PREMIER</v>
          </cell>
          <cell r="H681">
            <v>54.31</v>
          </cell>
        </row>
        <row r="682">
          <cell r="C682" t="str">
            <v>6763-40</v>
          </cell>
          <cell r="D682" t="str">
            <v>BROCHA DOMESTICA 4 PULG -61046- PREMIER</v>
          </cell>
          <cell r="H682">
            <v>43.1</v>
          </cell>
        </row>
        <row r="683">
          <cell r="C683" t="str">
            <v>6763-30</v>
          </cell>
          <cell r="D683" t="str">
            <v>BROCHA DOMESTICA 3 PULG -61045- PREMIER</v>
          </cell>
          <cell r="H683">
            <v>27.59</v>
          </cell>
        </row>
        <row r="684">
          <cell r="C684" t="str">
            <v>6763-25</v>
          </cell>
          <cell r="D684" t="str">
            <v>BROCHA DOMESTICA 2½ PULG -61044- PREMIER</v>
          </cell>
          <cell r="H684">
            <v>19.829999999999998</v>
          </cell>
        </row>
        <row r="685">
          <cell r="C685" t="str">
            <v>6763-20</v>
          </cell>
          <cell r="D685" t="str">
            <v>BROCHA DOMESTICA 2 PULG -61043- PREMIER</v>
          </cell>
          <cell r="H685">
            <v>18.100000000000001</v>
          </cell>
        </row>
        <row r="686">
          <cell r="C686" t="str">
            <v>6763-15</v>
          </cell>
          <cell r="D686" t="str">
            <v>BROCHA DOMESTICA 1½ PULG -61042- PREMIER</v>
          </cell>
          <cell r="H686">
            <v>12.93</v>
          </cell>
        </row>
        <row r="687">
          <cell r="C687" t="str">
            <v>6763-10</v>
          </cell>
          <cell r="D687" t="str">
            <v>BROCHA DOMESTICA 1 PULG -61041- PREMIER</v>
          </cell>
          <cell r="H687">
            <v>11.21</v>
          </cell>
        </row>
        <row r="688">
          <cell r="C688" t="str">
            <v>6763-05</v>
          </cell>
          <cell r="D688" t="str">
            <v>BROCHA DOMESTICA ½ PULG -61040- PREMIER</v>
          </cell>
          <cell r="H688">
            <v>6.03</v>
          </cell>
        </row>
        <row r="689">
          <cell r="C689" t="str">
            <v>6762-20</v>
          </cell>
          <cell r="D689" t="str">
            <v>BROCHA CAMELUS 2 PULG -BCA20-</v>
          </cell>
          <cell r="H689">
            <v>31.9</v>
          </cell>
        </row>
        <row r="690">
          <cell r="C690" t="str">
            <v>6762-10</v>
          </cell>
          <cell r="D690" t="str">
            <v>BROCHA CAMELUS 1 PULG -BCA10-</v>
          </cell>
          <cell r="H690">
            <v>18.100000000000001</v>
          </cell>
        </row>
        <row r="691">
          <cell r="C691" t="str">
            <v>6762-05</v>
          </cell>
          <cell r="D691" t="str">
            <v>BROCHA CAMELUS 1/2 PULG -BCA05-</v>
          </cell>
          <cell r="H691">
            <v>14.66</v>
          </cell>
        </row>
        <row r="692">
          <cell r="C692" t="str">
            <v>6761-50</v>
          </cell>
          <cell r="D692" t="str">
            <v>BROCHA LA REGIA 5 PULG -BRE50-</v>
          </cell>
          <cell r="H692">
            <v>65.52</v>
          </cell>
        </row>
        <row r="693">
          <cell r="C693" t="str">
            <v>6761-05</v>
          </cell>
          <cell r="D693" t="str">
            <v>BROCHA LA REGIA 1/2 PULG -BRE05-</v>
          </cell>
          <cell r="H693">
            <v>6.03</v>
          </cell>
        </row>
        <row r="694">
          <cell r="C694" t="str">
            <v>6760-60</v>
          </cell>
          <cell r="D694" t="str">
            <v>BROCHA PINTOR PROFESIONAL 6 PULG -BPP60-</v>
          </cell>
          <cell r="H694">
            <v>129.31</v>
          </cell>
        </row>
        <row r="695">
          <cell r="C695" t="str">
            <v>6760-50</v>
          </cell>
          <cell r="D695" t="str">
            <v>BROCHA PINTOR PROFESIONAL 5 PULG -BPP50-</v>
          </cell>
          <cell r="H695">
            <v>100</v>
          </cell>
        </row>
        <row r="696">
          <cell r="C696" t="str">
            <v>6760-40</v>
          </cell>
          <cell r="D696" t="str">
            <v>BROCHA PINTOR PROFESIONAL 4 PULG -BPP40-</v>
          </cell>
          <cell r="H696">
            <v>86.21</v>
          </cell>
        </row>
        <row r="697">
          <cell r="C697" t="str">
            <v>6760-30</v>
          </cell>
          <cell r="D697" t="str">
            <v>BROCHA PINTOR PROFESIONAL 3 PULG -BPP30-</v>
          </cell>
          <cell r="H697">
            <v>58.62</v>
          </cell>
        </row>
        <row r="698">
          <cell r="C698" t="str">
            <v>6700-30</v>
          </cell>
          <cell r="D698" t="str">
            <v>EXITO BROCHA CAMELLO 3 PG -BAJA-</v>
          </cell>
          <cell r="H698">
            <v>100</v>
          </cell>
        </row>
        <row r="699">
          <cell r="C699" t="str">
            <v>360-N</v>
          </cell>
          <cell r="D699" t="str">
            <v>COLADOR DE PAPEL -SIGLO-</v>
          </cell>
          <cell r="H699">
            <v>1.72</v>
          </cell>
        </row>
        <row r="700">
          <cell r="C700" t="str">
            <v>0688-02</v>
          </cell>
          <cell r="D700" t="str">
            <v>TARIMA METALICA CHICA</v>
          </cell>
          <cell r="H700">
            <v>808.62</v>
          </cell>
        </row>
        <row r="701">
          <cell r="C701" t="str">
            <v>0688-01</v>
          </cell>
          <cell r="D701" t="str">
            <v>TARIMA METALICA GRANDE</v>
          </cell>
          <cell r="H701">
            <v>1743.97</v>
          </cell>
        </row>
        <row r="702">
          <cell r="C702" t="str">
            <v>0687-00</v>
          </cell>
          <cell r="D702" t="str">
            <v>PERSIANA LATERAL PARA ANAQUEL</v>
          </cell>
          <cell r="H702">
            <v>512.07000000000005</v>
          </cell>
        </row>
        <row r="703">
          <cell r="C703" t="str">
            <v>0686-03</v>
          </cell>
          <cell r="D703" t="str">
            <v>PERSIANA 3 AUTOMOTRIZ 865X485 MM</v>
          </cell>
          <cell r="H703">
            <v>195.69</v>
          </cell>
        </row>
        <row r="704">
          <cell r="C704" t="str">
            <v>0686-02</v>
          </cell>
          <cell r="D704" t="str">
            <v>PERSIANA 2 AUTOMOTRIZ 865X485 MM</v>
          </cell>
          <cell r="H704">
            <v>195.69</v>
          </cell>
        </row>
        <row r="705">
          <cell r="C705" t="str">
            <v>0686-01</v>
          </cell>
          <cell r="D705" t="str">
            <v>PERSIANA 1 AUTOMOTRIZ 865X485 MM</v>
          </cell>
          <cell r="H705">
            <v>195.69</v>
          </cell>
        </row>
        <row r="706">
          <cell r="C706" t="str">
            <v>0685-08</v>
          </cell>
          <cell r="D706" t="str">
            <v>PERSIANA 8 PROMETAL 865X485 MM</v>
          </cell>
          <cell r="H706">
            <v>195.69</v>
          </cell>
        </row>
        <row r="707">
          <cell r="C707" t="str">
            <v>0685-07</v>
          </cell>
          <cell r="D707" t="str">
            <v>PERSIANA 7 PROMETAL 865X485 MM</v>
          </cell>
          <cell r="H707">
            <v>195.69</v>
          </cell>
        </row>
        <row r="708">
          <cell r="C708" t="str">
            <v>0685-02</v>
          </cell>
          <cell r="D708" t="str">
            <v>PERSIANA 2 PROMETAL 865X485 MM</v>
          </cell>
          <cell r="H708">
            <v>195.69</v>
          </cell>
        </row>
        <row r="709">
          <cell r="C709" t="str">
            <v>0685-01</v>
          </cell>
          <cell r="D709" t="str">
            <v>PERSIANA 1 PROMETAL 865X485 MM</v>
          </cell>
          <cell r="H709">
            <v>195.69</v>
          </cell>
        </row>
        <row r="710">
          <cell r="C710" t="str">
            <v>0684-08</v>
          </cell>
          <cell r="D710" t="str">
            <v>PERSIANA 8 MADERAS 865X485 MM</v>
          </cell>
          <cell r="H710">
            <v>195.69</v>
          </cell>
        </row>
        <row r="711">
          <cell r="C711" t="str">
            <v>0684-07</v>
          </cell>
          <cell r="D711" t="str">
            <v>PERSIANA 7 MADERAS 865X485 MM</v>
          </cell>
          <cell r="H711">
            <v>195.69</v>
          </cell>
        </row>
        <row r="712">
          <cell r="C712" t="str">
            <v>0684-06</v>
          </cell>
          <cell r="D712" t="str">
            <v>PERSIANA 6 MADERAS 865X485 MM</v>
          </cell>
          <cell r="H712">
            <v>195.69</v>
          </cell>
        </row>
        <row r="713">
          <cell r="C713" t="str">
            <v>0684-05</v>
          </cell>
          <cell r="D713" t="str">
            <v>PERSIANA 5 MADERAS 865X485 MM</v>
          </cell>
          <cell r="H713">
            <v>195.69</v>
          </cell>
        </row>
        <row r="714">
          <cell r="C714" t="str">
            <v>0684-02</v>
          </cell>
          <cell r="D714" t="str">
            <v>PERSIANA 2 MADERAS 865X485 MM</v>
          </cell>
          <cell r="H714">
            <v>195.69</v>
          </cell>
        </row>
        <row r="715">
          <cell r="C715" t="str">
            <v>0684-01</v>
          </cell>
          <cell r="D715" t="str">
            <v>PERSIANA 1 MADERAS 865X485 MM</v>
          </cell>
          <cell r="H715">
            <v>195.69</v>
          </cell>
        </row>
        <row r="716">
          <cell r="C716" t="str">
            <v>0683-08</v>
          </cell>
          <cell r="D716" t="str">
            <v>PERSIANA 8 ESMALTE 865X485 MM</v>
          </cell>
          <cell r="H716">
            <v>195.69</v>
          </cell>
        </row>
        <row r="717">
          <cell r="C717" t="str">
            <v>0683-07</v>
          </cell>
          <cell r="D717" t="str">
            <v>PERSIANA 7 ESMALTE 865X485 MM</v>
          </cell>
          <cell r="H717">
            <v>195.69</v>
          </cell>
        </row>
        <row r="718">
          <cell r="C718" t="str">
            <v>0683-04</v>
          </cell>
          <cell r="D718" t="str">
            <v>PERSIANA 4 ESMALTE 865X485 MM</v>
          </cell>
          <cell r="H718">
            <v>195.69</v>
          </cell>
        </row>
        <row r="719">
          <cell r="C719" t="str">
            <v>0683-03</v>
          </cell>
          <cell r="D719" t="str">
            <v>PERSIANA 3 ESMALTE 865X485 MM</v>
          </cell>
          <cell r="H719">
            <v>195.69</v>
          </cell>
        </row>
        <row r="720">
          <cell r="C720" t="str">
            <v>0683-02</v>
          </cell>
          <cell r="D720" t="str">
            <v>PERSIANA 2 ESMALTE 865X485 MM</v>
          </cell>
          <cell r="H720">
            <v>195.69</v>
          </cell>
        </row>
        <row r="721">
          <cell r="C721" t="str">
            <v>0683-01</v>
          </cell>
          <cell r="D721" t="str">
            <v>PERSIANA 1 ESMALTE 865X485 MM</v>
          </cell>
          <cell r="H721">
            <v>195.69</v>
          </cell>
        </row>
        <row r="722">
          <cell r="C722" t="str">
            <v>0682-04</v>
          </cell>
          <cell r="D722" t="str">
            <v>PERSIANA 4 PARAGUAS 865X485 MM</v>
          </cell>
          <cell r="H722">
            <v>195.69</v>
          </cell>
        </row>
        <row r="723">
          <cell r="C723" t="str">
            <v>0682-03</v>
          </cell>
          <cell r="D723" t="str">
            <v>PERSIANA 3 PARAGUAS 865X485 MM</v>
          </cell>
          <cell r="H723">
            <v>195.69</v>
          </cell>
        </row>
        <row r="724">
          <cell r="C724" t="str">
            <v>0682-02</v>
          </cell>
          <cell r="D724" t="str">
            <v>PERSIANA 2 PARAGUAS 865X485 MM</v>
          </cell>
          <cell r="H724">
            <v>195.69</v>
          </cell>
        </row>
        <row r="725">
          <cell r="C725" t="str">
            <v>0682-01</v>
          </cell>
          <cell r="D725" t="str">
            <v>PERSIANA 1 PARAGUAS 865X485 MM</v>
          </cell>
          <cell r="H725">
            <v>195.69</v>
          </cell>
        </row>
        <row r="726">
          <cell r="C726" t="str">
            <v>0680-06</v>
          </cell>
          <cell r="D726" t="str">
            <v>PERSIANA 6 VINILICAS 865X485 MM</v>
          </cell>
          <cell r="H726">
            <v>195.69</v>
          </cell>
        </row>
        <row r="727">
          <cell r="C727" t="str">
            <v>0680-05</v>
          </cell>
          <cell r="D727" t="str">
            <v>PERSIANA 5 VINILICAS 865X485 MM</v>
          </cell>
          <cell r="H727">
            <v>195.69</v>
          </cell>
        </row>
        <row r="728">
          <cell r="C728" t="str">
            <v>0620-21</v>
          </cell>
          <cell r="D728" t="str">
            <v>CABECERA 4 PROMETAL 3460X370 MM</v>
          </cell>
          <cell r="H728">
            <v>598.28</v>
          </cell>
        </row>
        <row r="729">
          <cell r="C729" t="str">
            <v>0620-20</v>
          </cell>
          <cell r="D729" t="str">
            <v>CABECERA 4 MADERAS 3460X370 MM</v>
          </cell>
          <cell r="H729">
            <v>598.28</v>
          </cell>
        </row>
        <row r="730">
          <cell r="C730" t="str">
            <v>0620-19</v>
          </cell>
          <cell r="D730" t="str">
            <v>CABECERA 4 ESMALTES 3460X370 MM</v>
          </cell>
          <cell r="H730">
            <v>598.28</v>
          </cell>
        </row>
        <row r="731">
          <cell r="C731" t="str">
            <v>0620-18</v>
          </cell>
          <cell r="D731" t="str">
            <v>CABECERA 3 VINILICA 2595X370 MM</v>
          </cell>
          <cell r="H731">
            <v>450</v>
          </cell>
        </row>
        <row r="732">
          <cell r="C732" t="str">
            <v>0620-17</v>
          </cell>
          <cell r="D732" t="str">
            <v>CABECERA 3 PROMETAL 2595X370 MM</v>
          </cell>
          <cell r="H732">
            <v>450</v>
          </cell>
        </row>
        <row r="733">
          <cell r="C733" t="str">
            <v>0620-16</v>
          </cell>
          <cell r="D733" t="str">
            <v>CABECERA 3 MADERAS 2595X370 MM</v>
          </cell>
          <cell r="H733">
            <v>450</v>
          </cell>
        </row>
        <row r="734">
          <cell r="C734" t="str">
            <v>0620-15</v>
          </cell>
          <cell r="D734" t="str">
            <v>CABECERA 3 ESMALTES 2595X370 MM</v>
          </cell>
          <cell r="H734">
            <v>450</v>
          </cell>
        </row>
        <row r="735">
          <cell r="C735" t="str">
            <v>0620-14</v>
          </cell>
          <cell r="D735" t="str">
            <v>CABECERA 3 AUTOMOTIVO 2595X370 MM</v>
          </cell>
          <cell r="H735">
            <v>450</v>
          </cell>
        </row>
        <row r="736">
          <cell r="C736" t="str">
            <v>0620-11</v>
          </cell>
          <cell r="D736" t="str">
            <v>CABECERA 2 PARAGUAS  1730X370 MM</v>
          </cell>
          <cell r="H736">
            <v>302.58999999999997</v>
          </cell>
        </row>
        <row r="737">
          <cell r="C737" t="str">
            <v>0620-09</v>
          </cell>
          <cell r="D737" t="str">
            <v>CABECERA 2 ESMALTES 1730X370 MM</v>
          </cell>
          <cell r="H737">
            <v>302.58999999999997</v>
          </cell>
        </row>
        <row r="738">
          <cell r="C738" t="str">
            <v>0620-08</v>
          </cell>
          <cell r="D738" t="str">
            <v>CABECERA 2 AUTOMOTIVO 1730X370 MM</v>
          </cell>
          <cell r="H738">
            <v>302.58999999999997</v>
          </cell>
        </row>
        <row r="739">
          <cell r="C739" t="str">
            <v>0620-05</v>
          </cell>
          <cell r="D739" t="str">
            <v>CABECERA 1 PROMETAL 865X370 MM</v>
          </cell>
          <cell r="H739">
            <v>150.86000000000001</v>
          </cell>
        </row>
        <row r="740">
          <cell r="C740" t="str">
            <v>0620-03</v>
          </cell>
          <cell r="D740" t="str">
            <v>CABECERA 1 MADERAS 865X370 MM</v>
          </cell>
          <cell r="H740">
            <v>150.86000000000001</v>
          </cell>
        </row>
        <row r="741">
          <cell r="C741" t="str">
            <v>0620-01</v>
          </cell>
          <cell r="D741" t="str">
            <v>CABECERA 1 AUTOMOTIVO 865X370 MM</v>
          </cell>
          <cell r="H741">
            <v>150.86000000000001</v>
          </cell>
        </row>
        <row r="742">
          <cell r="C742" t="str">
            <v>358919</v>
          </cell>
          <cell r="D742" t="str">
            <v>AEROSOL HIGH HEAT ALTA TEMP. NEGRO MATE</v>
          </cell>
          <cell r="H742">
            <v>203.45</v>
          </cell>
        </row>
        <row r="743">
          <cell r="C743" t="str">
            <v>89108</v>
          </cell>
          <cell r="D743" t="str">
            <v>BOTE NEVERO 1/2 LTO.</v>
          </cell>
          <cell r="H743">
            <v>7.76</v>
          </cell>
        </row>
        <row r="744">
          <cell r="C744" t="str">
            <v>79401</v>
          </cell>
          <cell r="D744" t="str">
            <v>PEGAPRISA PEGAMENTO BLANCO</v>
          </cell>
          <cell r="H744">
            <v>2156.0300000000002</v>
          </cell>
        </row>
        <row r="745">
          <cell r="C745" t="str">
            <v>79393</v>
          </cell>
          <cell r="D745" t="str">
            <v>CEMENTO ADHESIVO PEGA PRISA</v>
          </cell>
          <cell r="H745">
            <v>109.48</v>
          </cell>
        </row>
        <row r="746">
          <cell r="C746" t="str">
            <v>79383</v>
          </cell>
          <cell r="D746" t="str">
            <v>MICROESFERA 25 KG/SACO N-CMT-5-01-001/13</v>
          </cell>
          <cell r="H746">
            <v>818.1</v>
          </cell>
        </row>
        <row r="747">
          <cell r="C747" t="str">
            <v>79234</v>
          </cell>
          <cell r="D747" t="str">
            <v>SIAMIL ECONOMICO MI FL 20 KG</v>
          </cell>
          <cell r="H747">
            <v>123.28</v>
          </cell>
        </row>
        <row r="748">
          <cell r="C748" t="str">
            <v>79099</v>
          </cell>
          <cell r="D748" t="str">
            <v>ALUMINIO EN POLVO EXTRA BRILLANT -BAJA-</v>
          </cell>
          <cell r="H748">
            <v>56.9</v>
          </cell>
        </row>
        <row r="749">
          <cell r="C749" t="str">
            <v>76003</v>
          </cell>
          <cell r="D749" t="str">
            <v>ACEITE DE LINAZA PROTECTOR DE MADERA</v>
          </cell>
          <cell r="H749">
            <v>964.66</v>
          </cell>
        </row>
        <row r="750">
          <cell r="C750" t="str">
            <v>76000</v>
          </cell>
          <cell r="D750" t="str">
            <v>ACEITE DE LINAZA PROTECTOR DE MADERA</v>
          </cell>
          <cell r="H750">
            <v>29725.86</v>
          </cell>
        </row>
        <row r="751">
          <cell r="C751" t="str">
            <v>74993</v>
          </cell>
          <cell r="D751" t="str">
            <v>ESMALTE PU AUTOMOTIVO NEGRO</v>
          </cell>
          <cell r="H751">
            <v>1030.17</v>
          </cell>
        </row>
        <row r="752">
          <cell r="C752" t="str">
            <v>74754</v>
          </cell>
          <cell r="D752" t="str">
            <v>ESMALTE PU AUTOMOTIVO VERDE</v>
          </cell>
          <cell r="H752">
            <v>307.76</v>
          </cell>
        </row>
        <row r="753">
          <cell r="C753" t="str">
            <v>74753</v>
          </cell>
          <cell r="D753" t="str">
            <v>ESMALTE PU AUTOMOTIVO VERDE</v>
          </cell>
          <cell r="H753">
            <v>1125.8599999999999</v>
          </cell>
        </row>
        <row r="754">
          <cell r="C754" t="str">
            <v>74654</v>
          </cell>
          <cell r="D754" t="str">
            <v>ESMALTE PU AUTOMOTIVO AZUL ENTONADOR</v>
          </cell>
          <cell r="H754">
            <v>283.62</v>
          </cell>
        </row>
        <row r="755">
          <cell r="C755" t="str">
            <v>74653</v>
          </cell>
          <cell r="D755" t="str">
            <v>ESMALTE PU AUTOMOTIVO AZUL ENTONADOR</v>
          </cell>
          <cell r="H755">
            <v>1030.17</v>
          </cell>
        </row>
        <row r="756">
          <cell r="C756" t="str">
            <v>74484</v>
          </cell>
          <cell r="D756" t="str">
            <v>ESMALTE PU AUTOMOTIVO ROJO OSCURO</v>
          </cell>
          <cell r="H756">
            <v>318.97000000000003</v>
          </cell>
        </row>
        <row r="757">
          <cell r="C757" t="str">
            <v>74483</v>
          </cell>
          <cell r="D757" t="str">
            <v>ESMALTE PU AUTOMOTIVO ROJO OSCURO</v>
          </cell>
          <cell r="H757">
            <v>1169.83</v>
          </cell>
        </row>
        <row r="758">
          <cell r="C758" t="str">
            <v>74134</v>
          </cell>
          <cell r="D758" t="str">
            <v>ESMALTE PU AUTOMOTIVO AMARILLO LIMON</v>
          </cell>
          <cell r="H758">
            <v>339.66</v>
          </cell>
        </row>
        <row r="759">
          <cell r="C759" t="str">
            <v>74004</v>
          </cell>
          <cell r="D759" t="str">
            <v>ESMALTE PU AUTOMOTIVO BLANCO</v>
          </cell>
          <cell r="H759">
            <v>307.76</v>
          </cell>
        </row>
        <row r="760">
          <cell r="C760" t="str">
            <v>74003</v>
          </cell>
          <cell r="D760" t="str">
            <v>ESMALTE PU AUTOMOTIVO BLANCO</v>
          </cell>
          <cell r="H760">
            <v>1125.8599999999999</v>
          </cell>
        </row>
        <row r="761">
          <cell r="C761" t="str">
            <v>70993</v>
          </cell>
          <cell r="D761" t="str">
            <v>BASE COLOR NEGRO</v>
          </cell>
          <cell r="H761">
            <v>1311.21</v>
          </cell>
        </row>
        <row r="762">
          <cell r="C762" t="str">
            <v>70983</v>
          </cell>
          <cell r="D762" t="str">
            <v>BASE COLOR METALICA ARMADORA</v>
          </cell>
          <cell r="H762">
            <v>1850</v>
          </cell>
        </row>
        <row r="763">
          <cell r="C763" t="str">
            <v>70973</v>
          </cell>
          <cell r="D763" t="str">
            <v>BASE COLOR METALICA EXT. DELGADA</v>
          </cell>
          <cell r="H763">
            <v>1850</v>
          </cell>
        </row>
        <row r="764">
          <cell r="C764" t="str">
            <v>70963</v>
          </cell>
          <cell r="D764" t="str">
            <v>BASE COLOR METALICA MEDIANA</v>
          </cell>
          <cell r="H764">
            <v>1850</v>
          </cell>
        </row>
        <row r="765">
          <cell r="C765" t="str">
            <v>70944</v>
          </cell>
          <cell r="D765" t="str">
            <v>BASE COLOR METALICA EXT. BRILLANTE</v>
          </cell>
          <cell r="H765">
            <v>712.07</v>
          </cell>
        </row>
        <row r="766">
          <cell r="C766" t="str">
            <v>70933</v>
          </cell>
          <cell r="D766" t="str">
            <v>BASE COLOR METALICA DELGADA</v>
          </cell>
          <cell r="H766">
            <v>1311.21</v>
          </cell>
        </row>
        <row r="767">
          <cell r="C767" t="str">
            <v>70923</v>
          </cell>
          <cell r="D767" t="str">
            <v>BASE COLOR METALICA GRUESA</v>
          </cell>
          <cell r="H767">
            <v>1850</v>
          </cell>
        </row>
        <row r="768">
          <cell r="C768" t="str">
            <v>70913</v>
          </cell>
          <cell r="D768" t="str">
            <v>BASE COLOR METALICA FINA</v>
          </cell>
          <cell r="H768">
            <v>1850</v>
          </cell>
        </row>
        <row r="769">
          <cell r="C769" t="str">
            <v>70803</v>
          </cell>
          <cell r="D769" t="str">
            <v>BASE COLOR TRANSPARENTE</v>
          </cell>
          <cell r="H769">
            <v>1056.9000000000001</v>
          </cell>
        </row>
        <row r="770">
          <cell r="C770" t="str">
            <v>70753</v>
          </cell>
          <cell r="D770" t="str">
            <v>BASE COLOR VERDE ENTONADOR</v>
          </cell>
          <cell r="H770">
            <v>1311.21</v>
          </cell>
        </row>
        <row r="771">
          <cell r="C771" t="str">
            <v>70734</v>
          </cell>
          <cell r="D771" t="str">
            <v>BASE COLOR PERLA VERDE</v>
          </cell>
          <cell r="H771">
            <v>597.41</v>
          </cell>
        </row>
        <row r="772">
          <cell r="C772" t="str">
            <v>70693</v>
          </cell>
          <cell r="D772" t="str">
            <v>BASE COLOR VIOLETA</v>
          </cell>
          <cell r="H772">
            <v>1850</v>
          </cell>
        </row>
        <row r="773">
          <cell r="C773" t="str">
            <v>70683</v>
          </cell>
          <cell r="D773" t="str">
            <v>BASE COLOR AZUL MILORI</v>
          </cell>
          <cell r="H773">
            <v>1056.9000000000001</v>
          </cell>
        </row>
        <row r="774">
          <cell r="C774" t="str">
            <v>70673</v>
          </cell>
          <cell r="D774" t="str">
            <v>BASE COLOR AZUL PRUSIA</v>
          </cell>
          <cell r="H774">
            <v>1850</v>
          </cell>
        </row>
        <row r="775">
          <cell r="C775" t="str">
            <v>70653</v>
          </cell>
          <cell r="D775" t="str">
            <v>BASE COLOR AZUL ENTONADOR</v>
          </cell>
          <cell r="H775">
            <v>1850</v>
          </cell>
        </row>
        <row r="776">
          <cell r="C776" t="str">
            <v>70643</v>
          </cell>
          <cell r="D776" t="str">
            <v>BASE COLOR AZUL VERDOSO</v>
          </cell>
          <cell r="H776">
            <v>1878.45</v>
          </cell>
        </row>
        <row r="777">
          <cell r="C777" t="str">
            <v>70634</v>
          </cell>
          <cell r="D777" t="str">
            <v>BASE COLOR PERLA AZUL</v>
          </cell>
          <cell r="H777">
            <v>597.41</v>
          </cell>
        </row>
        <row r="778">
          <cell r="C778" t="str">
            <v>70534</v>
          </cell>
          <cell r="D778" t="str">
            <v>BASE COLOR PERLA ROJA</v>
          </cell>
          <cell r="H778">
            <v>1249.1400000000001</v>
          </cell>
        </row>
        <row r="779">
          <cell r="C779" t="str">
            <v>70514</v>
          </cell>
          <cell r="D779" t="str">
            <v>BASE COLOR MARRON PERRINDO /7033</v>
          </cell>
          <cell r="H779">
            <v>566.38</v>
          </cell>
        </row>
        <row r="780">
          <cell r="C780" t="str">
            <v>70483</v>
          </cell>
          <cell r="D780" t="str">
            <v>BASE COLOR ROJO OBSCURO</v>
          </cell>
          <cell r="H780">
            <v>1850</v>
          </cell>
        </row>
        <row r="781">
          <cell r="C781" t="str">
            <v>70453</v>
          </cell>
          <cell r="D781" t="str">
            <v>BASE COLOR ROJO GRANADA</v>
          </cell>
          <cell r="H781">
            <v>1850</v>
          </cell>
        </row>
        <row r="782">
          <cell r="C782" t="str">
            <v>70443</v>
          </cell>
          <cell r="D782" t="str">
            <v>BASE COLOR MARRON VIOLETA</v>
          </cell>
          <cell r="H782">
            <v>1850</v>
          </cell>
        </row>
        <row r="783">
          <cell r="C783" t="str">
            <v>70433</v>
          </cell>
          <cell r="D783" t="str">
            <v>BASE COLOR ROJO CLARO</v>
          </cell>
          <cell r="H783">
            <v>1850</v>
          </cell>
        </row>
        <row r="784">
          <cell r="C784" t="str">
            <v>70353</v>
          </cell>
          <cell r="D784" t="str">
            <v>BASE COLOR NARANJA</v>
          </cell>
          <cell r="H784">
            <v>1815.52</v>
          </cell>
        </row>
        <row r="785">
          <cell r="C785" t="str">
            <v>70204</v>
          </cell>
          <cell r="D785" t="str">
            <v>BASE COLOR PERLA DORADA</v>
          </cell>
          <cell r="H785">
            <v>726.72</v>
          </cell>
        </row>
        <row r="786">
          <cell r="C786" t="str">
            <v>70193</v>
          </cell>
          <cell r="D786" t="str">
            <v>BASE COLOR DORADO</v>
          </cell>
          <cell r="H786">
            <v>1850</v>
          </cell>
        </row>
        <row r="787">
          <cell r="C787" t="str">
            <v>70183</v>
          </cell>
          <cell r="D787" t="str">
            <v>BASE COLOR ORO VIEJO</v>
          </cell>
          <cell r="H787">
            <v>1311.21</v>
          </cell>
        </row>
        <row r="788">
          <cell r="C788" t="str">
            <v>70133</v>
          </cell>
          <cell r="D788" t="str">
            <v>BASE COLOR AMARILLO LIMON</v>
          </cell>
          <cell r="H788">
            <v>1311.21</v>
          </cell>
        </row>
        <row r="789">
          <cell r="C789" t="str">
            <v>70024</v>
          </cell>
          <cell r="D789" t="str">
            <v>BASE COLOR MICROTITANIO /7039</v>
          </cell>
          <cell r="H789">
            <v>438.79</v>
          </cell>
        </row>
        <row r="790">
          <cell r="C790" t="str">
            <v>70014</v>
          </cell>
          <cell r="D790" t="str">
            <v>BASE COLOR PERLA BLANCA</v>
          </cell>
          <cell r="H790">
            <v>597.41</v>
          </cell>
        </row>
        <row r="791">
          <cell r="C791" t="str">
            <v>70003</v>
          </cell>
          <cell r="D791" t="str">
            <v>BASE COLOR BLANCA</v>
          </cell>
          <cell r="H791">
            <v>1311.21</v>
          </cell>
        </row>
        <row r="792">
          <cell r="C792" t="str">
            <v>68754</v>
          </cell>
          <cell r="D792" t="str">
            <v>TINTA D-VERDE FTALO 475-045</v>
          </cell>
          <cell r="H792">
            <v>464.66</v>
          </cell>
        </row>
        <row r="793">
          <cell r="C793" t="str">
            <v>68654</v>
          </cell>
          <cell r="D793" t="str">
            <v>TINTA E-AZUL FTALO 400-050</v>
          </cell>
          <cell r="H793">
            <v>464.66</v>
          </cell>
        </row>
        <row r="794">
          <cell r="C794" t="str">
            <v>68474</v>
          </cell>
          <cell r="D794" t="str">
            <v>TINTA V-MAGENTA 400-120</v>
          </cell>
          <cell r="H794">
            <v>449.14</v>
          </cell>
        </row>
        <row r="795">
          <cell r="C795" t="str">
            <v>68454</v>
          </cell>
          <cell r="D795" t="str">
            <v>TINTA R-ROJO EXTERIOR 400-100</v>
          </cell>
          <cell r="H795">
            <v>464.66</v>
          </cell>
        </row>
        <row r="796">
          <cell r="C796" t="str">
            <v>68164</v>
          </cell>
          <cell r="D796" t="str">
            <v>TINTA T-AMARILLO MEDIO 400-110</v>
          </cell>
          <cell r="H796">
            <v>449.14</v>
          </cell>
        </row>
        <row r="797">
          <cell r="C797" t="str">
            <v>68154</v>
          </cell>
          <cell r="D797" t="str">
            <v>TINTA AXX-AMARILLO EXTERIOR 400-010</v>
          </cell>
          <cell r="H797">
            <v>467.24</v>
          </cell>
        </row>
        <row r="798">
          <cell r="C798" t="str">
            <v>68004</v>
          </cell>
          <cell r="D798" t="str">
            <v>TINTA KX-BLANCO TITANIO 400-080</v>
          </cell>
          <cell r="H798">
            <v>449.14</v>
          </cell>
        </row>
        <row r="799">
          <cell r="C799" t="str">
            <v>62585</v>
          </cell>
          <cell r="D799" t="str">
            <v>COLOR P/CEMENTO CAFE *** BAJA ***</v>
          </cell>
          <cell r="H799">
            <v>79.31</v>
          </cell>
        </row>
        <row r="800">
          <cell r="C800" t="str">
            <v>62155</v>
          </cell>
          <cell r="D800" t="str">
            <v>COLOR P/CEMENTO AMARILLO BRILLAN -BAJA-</v>
          </cell>
          <cell r="H800">
            <v>169.83</v>
          </cell>
        </row>
        <row r="801">
          <cell r="C801" t="str">
            <v>61751</v>
          </cell>
          <cell r="D801" t="str">
            <v>GEL ANTIBACTERIAL</v>
          </cell>
          <cell r="H801">
            <v>1265.52</v>
          </cell>
        </row>
        <row r="802">
          <cell r="C802" t="str">
            <v>61202</v>
          </cell>
          <cell r="D802" t="str">
            <v>MEMBRANA DE REFUERZO TRAMADA/POLIREF 60G</v>
          </cell>
          <cell r="H802">
            <v>1084.48</v>
          </cell>
        </row>
        <row r="803">
          <cell r="C803" t="str">
            <v>61200</v>
          </cell>
          <cell r="D803" t="str">
            <v>MEMBRANA DE REFUERZO P/IMPER 17/105 20 G</v>
          </cell>
          <cell r="H803">
            <v>339.66</v>
          </cell>
        </row>
        <row r="804">
          <cell r="C804" t="str">
            <v>61103</v>
          </cell>
          <cell r="D804" t="str">
            <v>PARAGUAS 5 AÑOS ASFALTICO</v>
          </cell>
          <cell r="H804">
            <v>257.76</v>
          </cell>
        </row>
        <row r="805">
          <cell r="C805" t="str">
            <v>61001</v>
          </cell>
          <cell r="D805" t="str">
            <v>PARAGUAS 3 AÑOS EMULSIONADO</v>
          </cell>
          <cell r="H805">
            <v>745.69</v>
          </cell>
        </row>
        <row r="806">
          <cell r="C806" t="str">
            <v>60603</v>
          </cell>
          <cell r="D806" t="str">
            <v>RETARDADOR 5100</v>
          </cell>
          <cell r="H806">
            <v>470.69</v>
          </cell>
        </row>
        <row r="807">
          <cell r="C807" t="str">
            <v>60601</v>
          </cell>
          <cell r="D807" t="str">
            <v>RETARDADOR 5100</v>
          </cell>
          <cell r="H807">
            <v>1914.66</v>
          </cell>
        </row>
        <row r="808">
          <cell r="C808" t="str">
            <v>60420</v>
          </cell>
          <cell r="D808" t="str">
            <v>SOLVENTE ECONOMICO</v>
          </cell>
          <cell r="H808">
            <v>9829.31</v>
          </cell>
        </row>
        <row r="809">
          <cell r="C809" t="str">
            <v>60400</v>
          </cell>
          <cell r="D809" t="str">
            <v>THINNER-LACA</v>
          </cell>
          <cell r="H809">
            <v>17139.66</v>
          </cell>
        </row>
        <row r="810">
          <cell r="C810" t="str">
            <v>60381</v>
          </cell>
          <cell r="D810" t="str">
            <v>THINNER STANDARD</v>
          </cell>
          <cell r="H810">
            <v>1368.1</v>
          </cell>
        </row>
        <row r="811">
          <cell r="C811" t="str">
            <v>60380</v>
          </cell>
          <cell r="D811" t="str">
            <v>THINNER STANDARD</v>
          </cell>
          <cell r="H811">
            <v>14035.34</v>
          </cell>
        </row>
        <row r="812">
          <cell r="C812" t="str">
            <v>60371</v>
          </cell>
          <cell r="D812" t="str">
            <v>SOLVENTE T-200 CUBETA</v>
          </cell>
          <cell r="H812">
            <v>1774.14</v>
          </cell>
        </row>
        <row r="813">
          <cell r="C813" t="str">
            <v>60370</v>
          </cell>
          <cell r="D813" t="str">
            <v>SOLVENTE T-200 TAMBOR</v>
          </cell>
          <cell r="H813">
            <v>17069.830000000002</v>
          </cell>
        </row>
        <row r="814">
          <cell r="C814" t="str">
            <v>60361</v>
          </cell>
          <cell r="D814" t="str">
            <v>THINNER ESTANDAR MULTIUSOS</v>
          </cell>
          <cell r="H814">
            <v>1118.97</v>
          </cell>
        </row>
        <row r="815">
          <cell r="C815" t="str">
            <v>60360</v>
          </cell>
          <cell r="D815" t="str">
            <v>THINNER ESTANDAR MULTIUSOS</v>
          </cell>
          <cell r="H815">
            <v>10991.38</v>
          </cell>
        </row>
        <row r="816">
          <cell r="C816" t="str">
            <v>60353</v>
          </cell>
          <cell r="D816" t="str">
            <v>SOLVENTE X-100</v>
          </cell>
          <cell r="H816">
            <v>393.1</v>
          </cell>
        </row>
        <row r="817">
          <cell r="C817" t="str">
            <v>60351</v>
          </cell>
          <cell r="D817" t="str">
            <v>SOLVENTE X-100</v>
          </cell>
          <cell r="H817">
            <v>1519.83</v>
          </cell>
        </row>
        <row r="818">
          <cell r="C818" t="str">
            <v>60350</v>
          </cell>
          <cell r="D818" t="str">
            <v>SOLVENTE X-100</v>
          </cell>
          <cell r="H818">
            <v>18231.900000000001</v>
          </cell>
        </row>
        <row r="819">
          <cell r="C819" t="str">
            <v>60321</v>
          </cell>
          <cell r="D819" t="str">
            <v>SOLVENTE INDUSTRIAL</v>
          </cell>
          <cell r="H819">
            <v>1466.38</v>
          </cell>
        </row>
        <row r="820">
          <cell r="C820" t="str">
            <v>60301</v>
          </cell>
          <cell r="D820" t="str">
            <v>SOLVENTE TURPISOL</v>
          </cell>
          <cell r="H820">
            <v>1564.66</v>
          </cell>
        </row>
        <row r="821">
          <cell r="C821" t="str">
            <v>60213</v>
          </cell>
          <cell r="D821" t="str">
            <v>SOLVENTE P.U. 1450</v>
          </cell>
          <cell r="H821">
            <v>543.97</v>
          </cell>
        </row>
        <row r="822">
          <cell r="C822" t="str">
            <v>60203</v>
          </cell>
          <cell r="D822" t="str">
            <v>SOLVENTE ACRILICO 300</v>
          </cell>
          <cell r="H822">
            <v>480.17</v>
          </cell>
        </row>
        <row r="823">
          <cell r="C823" t="str">
            <v>60201</v>
          </cell>
          <cell r="D823" t="str">
            <v>SOLVENTE ACRILICO 300</v>
          </cell>
          <cell r="H823">
            <v>2343.9699999999998</v>
          </cell>
        </row>
        <row r="824">
          <cell r="C824" t="str">
            <v>60200</v>
          </cell>
          <cell r="D824" t="str">
            <v>SOLVENTE ACRILICO 300</v>
          </cell>
          <cell r="H824">
            <v>22638.79</v>
          </cell>
        </row>
        <row r="825">
          <cell r="C825" t="str">
            <v>60193</v>
          </cell>
          <cell r="D825" t="str">
            <v>DELGASOL ACRILICO 529</v>
          </cell>
          <cell r="H825">
            <v>370.69</v>
          </cell>
        </row>
        <row r="826">
          <cell r="C826" t="str">
            <v>60191</v>
          </cell>
          <cell r="D826" t="str">
            <v>DELGASOL ACRILICO 529</v>
          </cell>
          <cell r="H826">
            <v>1911.21</v>
          </cell>
        </row>
        <row r="827">
          <cell r="C827" t="str">
            <v>60190</v>
          </cell>
          <cell r="D827" t="str">
            <v>DELGASOL ACRILICO 529</v>
          </cell>
          <cell r="H827">
            <v>18366.38</v>
          </cell>
        </row>
        <row r="828">
          <cell r="C828" t="str">
            <v>60171</v>
          </cell>
          <cell r="D828" t="str">
            <v>DELGASOL DOMESTICO 5217</v>
          </cell>
          <cell r="H828">
            <v>1888.79</v>
          </cell>
        </row>
        <row r="829">
          <cell r="C829" t="str">
            <v>60053</v>
          </cell>
          <cell r="D829" t="str">
            <v>THINNER NO.5</v>
          </cell>
          <cell r="H829">
            <v>362.07</v>
          </cell>
        </row>
        <row r="830">
          <cell r="C830" t="str">
            <v>60051</v>
          </cell>
          <cell r="D830" t="str">
            <v>THINNER NO.5</v>
          </cell>
          <cell r="H830">
            <v>1376.72</v>
          </cell>
        </row>
        <row r="831">
          <cell r="C831" t="str">
            <v>60050</v>
          </cell>
          <cell r="D831" t="str">
            <v>THINNER NO.5</v>
          </cell>
          <cell r="H831">
            <v>14464.66</v>
          </cell>
        </row>
        <row r="832">
          <cell r="C832" t="str">
            <v>60011</v>
          </cell>
          <cell r="D832" t="str">
            <v>THINNER 11</v>
          </cell>
          <cell r="H832">
            <v>1677.59</v>
          </cell>
        </row>
        <row r="833">
          <cell r="C833" t="str">
            <v>60010</v>
          </cell>
          <cell r="D833" t="str">
            <v>THINNER 11</v>
          </cell>
          <cell r="H833">
            <v>16225</v>
          </cell>
        </row>
        <row r="834">
          <cell r="C834" t="str">
            <v>59993</v>
          </cell>
          <cell r="D834" t="str">
            <v>PROMETAL E-26-B NEGRO 2</v>
          </cell>
          <cell r="H834">
            <v>2134.48</v>
          </cell>
        </row>
        <row r="835">
          <cell r="C835" t="str">
            <v>59991</v>
          </cell>
          <cell r="D835" t="str">
            <v>PROMETAL E-26-B NEGRO 2</v>
          </cell>
          <cell r="H835">
            <v>6508.62</v>
          </cell>
        </row>
        <row r="836">
          <cell r="C836" t="str">
            <v>59933</v>
          </cell>
          <cell r="D836" t="str">
            <v>PROMETAL E-26-B GRIS CLARO 25</v>
          </cell>
          <cell r="H836">
            <v>1939.66</v>
          </cell>
        </row>
        <row r="837">
          <cell r="C837" t="str">
            <v>59931</v>
          </cell>
          <cell r="D837" t="str">
            <v>PROMETAL E-26-B GRIS CLARO 25</v>
          </cell>
          <cell r="H837">
            <v>7010.34</v>
          </cell>
        </row>
        <row r="838">
          <cell r="C838" t="str">
            <v>59791</v>
          </cell>
          <cell r="D838" t="str">
            <v>PROMETAL E-26-B VERDE OBSCURO 12</v>
          </cell>
          <cell r="H838">
            <v>11287.93</v>
          </cell>
        </row>
        <row r="839">
          <cell r="C839" t="str">
            <v>59751</v>
          </cell>
          <cell r="D839" t="str">
            <v>PROMETAL E-26-B VERDE MEDIO H.</v>
          </cell>
          <cell r="H839">
            <v>8870.69</v>
          </cell>
        </row>
        <row r="840">
          <cell r="C840" t="str">
            <v>59683</v>
          </cell>
          <cell r="D840" t="str">
            <v>PROMETAL E-26-B AZUL OBSCURO 18</v>
          </cell>
          <cell r="H840">
            <v>2864.66</v>
          </cell>
        </row>
        <row r="841">
          <cell r="C841" t="str">
            <v>59681</v>
          </cell>
          <cell r="D841" t="str">
            <v>PROMETAL E-26-B AZUL OBSCURO 18</v>
          </cell>
          <cell r="H841">
            <v>10316.379999999999</v>
          </cell>
        </row>
        <row r="842">
          <cell r="C842" t="str">
            <v>59653</v>
          </cell>
          <cell r="D842" t="str">
            <v>PROMETAL E-26-B AZUL ELECTRICO 19</v>
          </cell>
          <cell r="H842">
            <v>2466.38</v>
          </cell>
        </row>
        <row r="843">
          <cell r="C843" t="str">
            <v>59651</v>
          </cell>
          <cell r="D843" t="str">
            <v>PROMETAL E-26-B AZUL ELECTRICO 19</v>
          </cell>
          <cell r="H843">
            <v>8870.69</v>
          </cell>
        </row>
        <row r="844">
          <cell r="C844" t="str">
            <v>59563</v>
          </cell>
          <cell r="D844" t="str">
            <v>PROMETAL E-26-B ROJO OXIDO 28</v>
          </cell>
          <cell r="H844">
            <v>2134.48</v>
          </cell>
        </row>
        <row r="845">
          <cell r="C845" t="str">
            <v>59561</v>
          </cell>
          <cell r="D845" t="str">
            <v>PROMETAL E-26-B ROJO OXIDO 28</v>
          </cell>
          <cell r="H845">
            <v>7692.24</v>
          </cell>
        </row>
        <row r="846">
          <cell r="C846" t="str">
            <v>59331</v>
          </cell>
          <cell r="D846" t="str">
            <v>PROMETAL E-26-B NARANJA 10</v>
          </cell>
          <cell r="H846">
            <v>10515.52</v>
          </cell>
        </row>
        <row r="847">
          <cell r="C847" t="str">
            <v>59153</v>
          </cell>
          <cell r="D847" t="str">
            <v>PROMETAL E-26-B AMARILLO CATER</v>
          </cell>
          <cell r="H847">
            <v>2553.4499999999998</v>
          </cell>
        </row>
        <row r="848">
          <cell r="C848" t="str">
            <v>59151</v>
          </cell>
          <cell r="D848" t="str">
            <v>PROMETAL E-26-B AMARILLO CATER</v>
          </cell>
          <cell r="H848">
            <v>9179.31</v>
          </cell>
        </row>
        <row r="849">
          <cell r="C849" t="str">
            <v>59143</v>
          </cell>
          <cell r="D849" t="str">
            <v>PROMETAL E-26-B AMARILLO LIMON 1</v>
          </cell>
          <cell r="H849">
            <v>3587.93</v>
          </cell>
        </row>
        <row r="850">
          <cell r="C850" t="str">
            <v>59141</v>
          </cell>
          <cell r="D850" t="str">
            <v>PROMETAL E-26-B AMARILLO LIMON 1</v>
          </cell>
          <cell r="H850">
            <v>12878.45</v>
          </cell>
        </row>
        <row r="851">
          <cell r="C851" t="str">
            <v>59031</v>
          </cell>
          <cell r="D851" t="str">
            <v>PROMETAL E-26-B BLANCO OSTION 26</v>
          </cell>
          <cell r="H851">
            <v>8631.0300000000007</v>
          </cell>
        </row>
        <row r="852">
          <cell r="C852" t="str">
            <v>59014</v>
          </cell>
          <cell r="D852" t="str">
            <v>CATALIZADOR PROMETAL E-26-B</v>
          </cell>
          <cell r="H852">
            <v>596.54999999999995</v>
          </cell>
        </row>
        <row r="853">
          <cell r="C853" t="str">
            <v>59013</v>
          </cell>
          <cell r="D853" t="str">
            <v>CATALIZADOR P/PROMETAL E-26-B</v>
          </cell>
          <cell r="H853">
            <v>1775</v>
          </cell>
        </row>
        <row r="854">
          <cell r="C854" t="str">
            <v>59011</v>
          </cell>
          <cell r="D854" t="str">
            <v>CATALIZADOR P/PROMETAL E-26-B</v>
          </cell>
          <cell r="H854">
            <v>8947.41</v>
          </cell>
        </row>
        <row r="855">
          <cell r="C855" t="str">
            <v>59003</v>
          </cell>
          <cell r="D855" t="str">
            <v>PROMETAL E-26-B BLANCO 1</v>
          </cell>
          <cell r="H855">
            <v>2398.2800000000002</v>
          </cell>
        </row>
        <row r="856">
          <cell r="C856" t="str">
            <v>59001</v>
          </cell>
          <cell r="D856" t="str">
            <v>PROMETAL E-26-B BLANCO 1</v>
          </cell>
          <cell r="H856">
            <v>7303.45</v>
          </cell>
        </row>
        <row r="857">
          <cell r="C857" t="str">
            <v>58833</v>
          </cell>
          <cell r="D857" t="str">
            <v>CATALIZADOR E-29-A</v>
          </cell>
          <cell r="H857">
            <v>1870.69</v>
          </cell>
        </row>
        <row r="858">
          <cell r="C858" t="str">
            <v>58231</v>
          </cell>
          <cell r="D858" t="str">
            <v>PROMETAL ADH BLANCO 5823</v>
          </cell>
          <cell r="H858">
            <v>11016.38</v>
          </cell>
        </row>
        <row r="859">
          <cell r="C859" t="str">
            <v>58221</v>
          </cell>
          <cell r="D859" t="str">
            <v>CATALIZADOR ADH AMARILLO 5822</v>
          </cell>
          <cell r="H859">
            <v>15827.59</v>
          </cell>
        </row>
        <row r="860">
          <cell r="C860" t="str">
            <v>57923</v>
          </cell>
          <cell r="D860" t="str">
            <v>AUTONIVELANTE EPX-100 GRIS L 7035</v>
          </cell>
          <cell r="H860">
            <v>1518.1</v>
          </cell>
        </row>
        <row r="861">
          <cell r="C861" t="str">
            <v>57052</v>
          </cell>
          <cell r="D861" t="str">
            <v>POLVO PARA AUTONIVELANTE EPX-100</v>
          </cell>
          <cell r="H861">
            <v>149.13999999999999</v>
          </cell>
        </row>
        <row r="862">
          <cell r="C862" t="str">
            <v>57014</v>
          </cell>
          <cell r="D862" t="str">
            <v>CATALIZADOR PARA AUTONIVELANTE EPX-100</v>
          </cell>
          <cell r="H862">
            <v>716.38</v>
          </cell>
        </row>
        <row r="863">
          <cell r="C863" t="str">
            <v>57003</v>
          </cell>
          <cell r="D863" t="str">
            <v>AUTONIVELANTE EPX-100 BLANCO</v>
          </cell>
          <cell r="H863">
            <v>1518.1</v>
          </cell>
        </row>
        <row r="864">
          <cell r="C864" t="str">
            <v>56923</v>
          </cell>
          <cell r="D864" t="str">
            <v>PROMETAL AT-500 ALUMINIO 3</v>
          </cell>
          <cell r="H864">
            <v>3533.62</v>
          </cell>
        </row>
        <row r="865">
          <cell r="C865" t="str">
            <v>56921</v>
          </cell>
          <cell r="D865" t="str">
            <v>PROMETAL AT-500 ALUMINIO 3</v>
          </cell>
          <cell r="H865">
            <v>15082.76</v>
          </cell>
        </row>
        <row r="866">
          <cell r="C866" t="str">
            <v>56913</v>
          </cell>
          <cell r="D866" t="str">
            <v>PROMETAL R-30-I ALUMINIO 3</v>
          </cell>
          <cell r="H866">
            <v>1861.21</v>
          </cell>
        </row>
        <row r="867">
          <cell r="C867" t="str">
            <v>56911</v>
          </cell>
          <cell r="D867" t="str">
            <v>PROMETAL R-30-I ALUMINIO 3</v>
          </cell>
          <cell r="H867">
            <v>7948.28</v>
          </cell>
        </row>
        <row r="868">
          <cell r="C868" t="str">
            <v>56903</v>
          </cell>
          <cell r="D868" t="str">
            <v>PROMETAL BT-150 ALUMINIO 3</v>
          </cell>
          <cell r="H868">
            <v>1045.69</v>
          </cell>
        </row>
        <row r="869">
          <cell r="C869" t="str">
            <v>56901</v>
          </cell>
          <cell r="D869" t="str">
            <v>PROMETAL BT-150 ALUMINIO 3</v>
          </cell>
          <cell r="H869">
            <v>4462.93</v>
          </cell>
        </row>
        <row r="870">
          <cell r="C870" t="str">
            <v>56841</v>
          </cell>
          <cell r="D870" t="str">
            <v>ACABADO EPX-80 GRIS POLVO 7037</v>
          </cell>
          <cell r="H870">
            <v>7681.03</v>
          </cell>
        </row>
        <row r="871">
          <cell r="C871" t="str">
            <v>56823</v>
          </cell>
          <cell r="D871" t="str">
            <v>ACABADO EPX-80 GRIS L 7035</v>
          </cell>
          <cell r="H871">
            <v>2008.62</v>
          </cell>
        </row>
        <row r="872">
          <cell r="C872" t="str">
            <v>56821</v>
          </cell>
          <cell r="D872" t="str">
            <v>ACABADO EPX-80 GRIS L 7035</v>
          </cell>
          <cell r="H872">
            <v>7681.03</v>
          </cell>
        </row>
        <row r="873">
          <cell r="C873" t="str">
            <v>56803</v>
          </cell>
          <cell r="D873" t="str">
            <v>ACABADO EPX-80 GRIS PLATA 7001</v>
          </cell>
          <cell r="H873">
            <v>2008.62</v>
          </cell>
        </row>
        <row r="874">
          <cell r="C874" t="str">
            <v>56801</v>
          </cell>
          <cell r="D874" t="str">
            <v>ACABADO EPX-80 GRIS PLATA 7001</v>
          </cell>
          <cell r="H874">
            <v>7681.03</v>
          </cell>
        </row>
        <row r="875">
          <cell r="C875" t="str">
            <v>56014</v>
          </cell>
          <cell r="D875" t="str">
            <v>CATALIZADOR PARA ACABADO EPX-80</v>
          </cell>
          <cell r="H875">
            <v>633.62</v>
          </cell>
        </row>
        <row r="876">
          <cell r="C876" t="str">
            <v>56013</v>
          </cell>
          <cell r="D876" t="str">
            <v>CATALIZADOR PARA ACABADO EPX-80</v>
          </cell>
          <cell r="H876">
            <v>2414.66</v>
          </cell>
        </row>
        <row r="877">
          <cell r="C877" t="str">
            <v>56003</v>
          </cell>
          <cell r="D877" t="str">
            <v>ACABADO EPX-80 BLANCO</v>
          </cell>
          <cell r="H877">
            <v>2008.62</v>
          </cell>
        </row>
        <row r="878">
          <cell r="C878" t="str">
            <v>56001</v>
          </cell>
          <cell r="D878" t="str">
            <v>ACABADO EPX-80 BLANCO</v>
          </cell>
          <cell r="H878">
            <v>7681.03</v>
          </cell>
        </row>
        <row r="879">
          <cell r="C879" t="str">
            <v>55993</v>
          </cell>
          <cell r="D879" t="str">
            <v>PROMETAL APU NEGRO 2</v>
          </cell>
          <cell r="H879">
            <v>2060.34</v>
          </cell>
        </row>
        <row r="880">
          <cell r="C880" t="str">
            <v>55991</v>
          </cell>
          <cell r="D880" t="str">
            <v>PROMETAL APU NEGRO 2</v>
          </cell>
          <cell r="H880">
            <v>7538.79</v>
          </cell>
        </row>
        <row r="881">
          <cell r="C881" t="str">
            <v>55933</v>
          </cell>
          <cell r="D881" t="str">
            <v>PROMETAL APU GRIS CLARO 25</v>
          </cell>
          <cell r="H881">
            <v>2502.59</v>
          </cell>
        </row>
        <row r="882">
          <cell r="C882" t="str">
            <v>55931</v>
          </cell>
          <cell r="D882" t="str">
            <v>PROMETAL APU GRIS CLARO 25</v>
          </cell>
          <cell r="H882">
            <v>9067.24</v>
          </cell>
        </row>
        <row r="883">
          <cell r="C883" t="str">
            <v>55844</v>
          </cell>
          <cell r="D883" t="str">
            <v>CATALIZADOR PARA PROMETAL B-PU</v>
          </cell>
          <cell r="H883">
            <v>1409.48</v>
          </cell>
        </row>
        <row r="884">
          <cell r="C884" t="str">
            <v>55843</v>
          </cell>
          <cell r="D884" t="str">
            <v>CATALIZADOR PARA PROMETAL B-PU</v>
          </cell>
          <cell r="H884">
            <v>3386.21</v>
          </cell>
        </row>
        <row r="885">
          <cell r="C885" t="str">
            <v>55803</v>
          </cell>
          <cell r="D885" t="str">
            <v>BARNIZ DE POLIURETANO BPU TRANSPARENTE</v>
          </cell>
          <cell r="H885">
            <v>2181.0300000000002</v>
          </cell>
        </row>
        <row r="886">
          <cell r="C886" t="str">
            <v>55801</v>
          </cell>
          <cell r="D886" t="str">
            <v>BARNIZ DE POLIURETANO BPU TRANSPARENTE</v>
          </cell>
          <cell r="H886">
            <v>6576.72</v>
          </cell>
        </row>
        <row r="887">
          <cell r="C887" t="str">
            <v>55783</v>
          </cell>
          <cell r="D887" t="str">
            <v>PROMETAL APU VERDE OBSCURO 12</v>
          </cell>
          <cell r="H887">
            <v>2737.93</v>
          </cell>
        </row>
        <row r="888">
          <cell r="C888" t="str">
            <v>55781</v>
          </cell>
          <cell r="D888" t="str">
            <v>PROMETAL APU VERDE OBSCURO 12</v>
          </cell>
          <cell r="H888">
            <v>9795.69</v>
          </cell>
        </row>
        <row r="889">
          <cell r="C889" t="str">
            <v>55683</v>
          </cell>
          <cell r="D889" t="str">
            <v>PROMETAL APU AZUL OBSCURO 18</v>
          </cell>
          <cell r="H889">
            <v>2949.14</v>
          </cell>
        </row>
        <row r="890">
          <cell r="C890" t="str">
            <v>55681</v>
          </cell>
          <cell r="D890" t="str">
            <v>PROMETAL APU AZUL OBSCURO 18</v>
          </cell>
          <cell r="H890">
            <v>10718.1</v>
          </cell>
        </row>
        <row r="891">
          <cell r="C891" t="str">
            <v>55653</v>
          </cell>
          <cell r="D891" t="str">
            <v>PROMETAL APU AZUL ELECTRICO 19</v>
          </cell>
          <cell r="H891">
            <v>2737.93</v>
          </cell>
        </row>
        <row r="892">
          <cell r="C892" t="str">
            <v>55651</v>
          </cell>
          <cell r="D892" t="str">
            <v>PROMETAL APU AZUL ELECTRICO 19</v>
          </cell>
          <cell r="H892">
            <v>9795.69</v>
          </cell>
        </row>
        <row r="893">
          <cell r="C893" t="str">
            <v>55483</v>
          </cell>
          <cell r="D893" t="str">
            <v>PROMETAL APU ROJO INTENSO 8</v>
          </cell>
          <cell r="H893">
            <v>3230.17</v>
          </cell>
        </row>
        <row r="894">
          <cell r="C894" t="str">
            <v>55481</v>
          </cell>
          <cell r="D894" t="str">
            <v>PROMETAL APU ROJO INTENSO 8</v>
          </cell>
          <cell r="H894">
            <v>11737.93</v>
          </cell>
        </row>
        <row r="895">
          <cell r="C895" t="str">
            <v>55361</v>
          </cell>
          <cell r="D895" t="str">
            <v>PROMETAL APU NARANJA 10</v>
          </cell>
          <cell r="H895">
            <v>11737.93</v>
          </cell>
        </row>
        <row r="896">
          <cell r="C896" t="str">
            <v>55153</v>
          </cell>
          <cell r="D896" t="str">
            <v>PROMETAL APU AMARILLO CATER. 16</v>
          </cell>
          <cell r="H896">
            <v>2949.14</v>
          </cell>
        </row>
        <row r="897">
          <cell r="C897" t="str">
            <v>55151</v>
          </cell>
          <cell r="D897" t="str">
            <v>PROMETAL APU AMARILLO CATER. 16</v>
          </cell>
          <cell r="H897">
            <v>10718.1</v>
          </cell>
        </row>
        <row r="898">
          <cell r="C898" t="str">
            <v>55143</v>
          </cell>
          <cell r="D898" t="str">
            <v>PROMETAL APU AMARILLO LIMON 17</v>
          </cell>
          <cell r="H898">
            <v>2949.14</v>
          </cell>
        </row>
        <row r="899">
          <cell r="C899" t="str">
            <v>55141</v>
          </cell>
          <cell r="D899" t="str">
            <v>PROMETAL APU AMARILLO LIMON 17</v>
          </cell>
          <cell r="H899">
            <v>10718.1</v>
          </cell>
        </row>
        <row r="900">
          <cell r="C900" t="str">
            <v>55014</v>
          </cell>
          <cell r="D900" t="str">
            <v>CATALIZADOR PARA PROMETAL APU</v>
          </cell>
          <cell r="H900">
            <v>1191.3800000000001</v>
          </cell>
        </row>
        <row r="901">
          <cell r="C901" t="str">
            <v>55013</v>
          </cell>
          <cell r="D901" t="str">
            <v>CATALIZADOR PARA PROMETAL APU</v>
          </cell>
          <cell r="H901">
            <v>3509.48</v>
          </cell>
        </row>
        <row r="902">
          <cell r="C902" t="str">
            <v>55003</v>
          </cell>
          <cell r="D902" t="str">
            <v>PROMETAL APU BLANCO 1</v>
          </cell>
          <cell r="H902">
            <v>2502.59</v>
          </cell>
        </row>
        <row r="903">
          <cell r="C903" t="str">
            <v>55001</v>
          </cell>
          <cell r="D903" t="str">
            <v>PROMETAL APU BLANCO 1</v>
          </cell>
          <cell r="H903">
            <v>9067.24</v>
          </cell>
        </row>
        <row r="904">
          <cell r="C904" t="str">
            <v>53933</v>
          </cell>
          <cell r="D904" t="str">
            <v>PROMETAL E-21-B GRIS CLARO HONDA</v>
          </cell>
          <cell r="H904">
            <v>2560.34</v>
          </cell>
        </row>
        <row r="905">
          <cell r="C905" t="str">
            <v>53931</v>
          </cell>
          <cell r="D905" t="str">
            <v>PROMETAL E-21-B GRIS CLARO HONDA</v>
          </cell>
          <cell r="H905">
            <v>11042.24</v>
          </cell>
        </row>
        <row r="906">
          <cell r="C906" t="str">
            <v>53860</v>
          </cell>
          <cell r="D906" t="str">
            <v>BARNIZ FENOLICO TRANSPARENTE SAL</v>
          </cell>
          <cell r="H906">
            <v>64564.66</v>
          </cell>
        </row>
        <row r="907">
          <cell r="C907" t="str">
            <v>53593</v>
          </cell>
          <cell r="D907" t="str">
            <v>PRO-FLOOR MEDIUM</v>
          </cell>
          <cell r="H907">
            <v>5131.03</v>
          </cell>
        </row>
        <row r="908">
          <cell r="C908" t="str">
            <v>53532</v>
          </cell>
          <cell r="D908" t="str">
            <v>POLVO PRO-FLOOR MEDIUM</v>
          </cell>
          <cell r="H908">
            <v>529.30999999999995</v>
          </cell>
        </row>
        <row r="909">
          <cell r="C909" t="str">
            <v>53524</v>
          </cell>
          <cell r="D909" t="str">
            <v>CATALIZADOR PRO-FLOOR MED.</v>
          </cell>
          <cell r="H909">
            <v>2043.97</v>
          </cell>
        </row>
        <row r="910">
          <cell r="C910" t="str">
            <v>53014</v>
          </cell>
          <cell r="D910" t="str">
            <v>CATALIZADOR P/PROMETAL E-21-B</v>
          </cell>
          <cell r="H910">
            <v>446.55</v>
          </cell>
        </row>
        <row r="911">
          <cell r="C911" t="str">
            <v>343-N</v>
          </cell>
          <cell r="D911" t="str">
            <v>PALA DE ALUMINIO P/CUBETA GRADUADA</v>
          </cell>
          <cell r="H911">
            <v>108.62</v>
          </cell>
        </row>
        <row r="912">
          <cell r="C912" t="str">
            <v>53013</v>
          </cell>
          <cell r="D912" t="str">
            <v>CATALIZADOR P/PROMETAL E-21-B</v>
          </cell>
          <cell r="H912">
            <v>1603.45</v>
          </cell>
        </row>
        <row r="913">
          <cell r="C913" t="str">
            <v>342-N</v>
          </cell>
          <cell r="D913" t="str">
            <v>PALA DE MADERA PARA LITRO</v>
          </cell>
          <cell r="H913">
            <v>3.45</v>
          </cell>
        </row>
        <row r="914">
          <cell r="C914" t="str">
            <v>341-N</v>
          </cell>
          <cell r="D914" t="str">
            <v>PALA DE MADERA PARA GALON</v>
          </cell>
          <cell r="H914">
            <v>4.3099999999999996</v>
          </cell>
        </row>
        <row r="915">
          <cell r="C915" t="str">
            <v>340-N</v>
          </cell>
          <cell r="D915" t="str">
            <v>PALA DE MADERA PARA CUBETA</v>
          </cell>
          <cell r="H915">
            <v>6.03</v>
          </cell>
        </row>
        <row r="916">
          <cell r="C916" t="str">
            <v>305-N</v>
          </cell>
          <cell r="D916" t="str">
            <v>DESTAPADOR METALICO PRISA</v>
          </cell>
          <cell r="H916">
            <v>9.48</v>
          </cell>
        </row>
        <row r="917">
          <cell r="C917" t="str">
            <v>74001</v>
          </cell>
          <cell r="D917" t="str">
            <v>ESMALTE PU AUTOMOTIVO BLANCO</v>
          </cell>
          <cell r="H917">
            <v>5851.72</v>
          </cell>
        </row>
        <row r="918">
          <cell r="C918" t="str">
            <v>89109</v>
          </cell>
          <cell r="D918" t="str">
            <v>BOTE NEVERO 1/4 LTO.</v>
          </cell>
          <cell r="H918">
            <v>5.17</v>
          </cell>
        </row>
        <row r="919">
          <cell r="C919" t="str">
            <v>89107</v>
          </cell>
          <cell r="D919" t="str">
            <v>BOTE NEVERO 1 LTO.</v>
          </cell>
          <cell r="H919">
            <v>11.21</v>
          </cell>
        </row>
        <row r="920">
          <cell r="C920" t="str">
            <v>76021</v>
          </cell>
          <cell r="D920" t="str">
            <v>ACEITE LINAZA COCIDO L-551</v>
          </cell>
          <cell r="H920">
            <v>3575.86</v>
          </cell>
        </row>
        <row r="921">
          <cell r="C921" t="str">
            <v>76004</v>
          </cell>
          <cell r="D921" t="str">
            <v>ACEITE DE LINAZA PROTECTOR DE MADERA</v>
          </cell>
          <cell r="H921">
            <v>268.97000000000003</v>
          </cell>
        </row>
        <row r="922">
          <cell r="C922" t="str">
            <v>76001</v>
          </cell>
          <cell r="D922" t="str">
            <v>ACEITE DE LINAZA PROTECTOR DE MADERA</v>
          </cell>
          <cell r="H922">
            <v>3961.21</v>
          </cell>
        </row>
        <row r="923">
          <cell r="C923" t="str">
            <v>61104</v>
          </cell>
          <cell r="D923" t="str">
            <v>PARAGUAS 5 AÑOS ASFALTICO</v>
          </cell>
          <cell r="H923">
            <v>71.55</v>
          </cell>
        </row>
        <row r="924">
          <cell r="C924" t="str">
            <v>61101</v>
          </cell>
          <cell r="D924" t="str">
            <v>PARAGUAS 5 AÑOS ASFALTICO</v>
          </cell>
          <cell r="H924">
            <v>973.28</v>
          </cell>
        </row>
        <row r="925">
          <cell r="C925" t="str">
            <v>61003</v>
          </cell>
          <cell r="D925" t="str">
            <v>PARAGUAS 3 AÑOS EMULSIONADO</v>
          </cell>
          <cell r="H925">
            <v>195.69</v>
          </cell>
        </row>
        <row r="926">
          <cell r="C926" t="str">
            <v>53011</v>
          </cell>
          <cell r="D926" t="str">
            <v>CATALIZADOR P/PROMETAL E-21-B</v>
          </cell>
          <cell r="H926">
            <v>6835.34</v>
          </cell>
        </row>
        <row r="927">
          <cell r="C927" t="str">
            <v>53003</v>
          </cell>
          <cell r="D927" t="str">
            <v>PROMETAL E-21-B BLANCO 1</v>
          </cell>
          <cell r="H927">
            <v>2341.38</v>
          </cell>
        </row>
        <row r="928">
          <cell r="C928" t="str">
            <v>53001</v>
          </cell>
          <cell r="D928" t="str">
            <v>PROMETAL E-21-B BLANCO 1</v>
          </cell>
          <cell r="H928">
            <v>10325.86</v>
          </cell>
        </row>
        <row r="929">
          <cell r="C929" t="str">
            <v>50943</v>
          </cell>
          <cell r="D929" t="str">
            <v>ACABADO PU-50 GRIS POLVO 7037</v>
          </cell>
          <cell r="H929">
            <v>1665.52</v>
          </cell>
        </row>
        <row r="930">
          <cell r="C930" t="str">
            <v>50941</v>
          </cell>
          <cell r="D930" t="str">
            <v>ACABADO PU-50 GRIS POLVO 7037</v>
          </cell>
          <cell r="H930">
            <v>6531.03</v>
          </cell>
        </row>
        <row r="931">
          <cell r="C931" t="str">
            <v>50923</v>
          </cell>
          <cell r="D931" t="str">
            <v>ACABADO PU-50 GRIS L 7035</v>
          </cell>
          <cell r="H931">
            <v>1512.07</v>
          </cell>
        </row>
        <row r="932">
          <cell r="C932" t="str">
            <v>50921</v>
          </cell>
          <cell r="D932" t="str">
            <v>ACABADO PU-50 GRIS L 7035</v>
          </cell>
          <cell r="H932">
            <v>5937.93</v>
          </cell>
        </row>
        <row r="933">
          <cell r="C933" t="str">
            <v>50903</v>
          </cell>
          <cell r="D933" t="str">
            <v>ACABADO PU-50 GRIS PLATA 7001</v>
          </cell>
          <cell r="H933">
            <v>1512.07</v>
          </cell>
        </row>
        <row r="934">
          <cell r="C934" t="str">
            <v>50901</v>
          </cell>
          <cell r="D934" t="str">
            <v>ACABADO PU-50 GRIS PLATA 7001</v>
          </cell>
          <cell r="H934">
            <v>5937.93</v>
          </cell>
        </row>
        <row r="935">
          <cell r="C935" t="str">
            <v>50753</v>
          </cell>
          <cell r="D935" t="str">
            <v>ACABADO PU-50 VERDE SEGURIDAD 6024</v>
          </cell>
          <cell r="H935">
            <v>1407.76</v>
          </cell>
        </row>
        <row r="936">
          <cell r="C936" t="str">
            <v>50751</v>
          </cell>
          <cell r="D936" t="str">
            <v>ACABADO PU-50 VERDE SEGURIDAD 6024</v>
          </cell>
          <cell r="H936">
            <v>5937.93</v>
          </cell>
        </row>
        <row r="937">
          <cell r="C937" t="str">
            <v>50653</v>
          </cell>
          <cell r="D937" t="str">
            <v>ACABADO PU-50 AZUL SEÑALES 5005</v>
          </cell>
          <cell r="H937">
            <v>1407.76</v>
          </cell>
        </row>
        <row r="938">
          <cell r="C938" t="str">
            <v>50651</v>
          </cell>
          <cell r="D938" t="str">
            <v>ACABADO PU-50 AZUL SEÑALES 5005</v>
          </cell>
          <cell r="H938">
            <v>5937.93</v>
          </cell>
        </row>
        <row r="939">
          <cell r="C939" t="str">
            <v>50483</v>
          </cell>
          <cell r="D939" t="str">
            <v>ACABADO PU-50 ROJO SEGURIDAD</v>
          </cell>
          <cell r="H939">
            <v>1687.93</v>
          </cell>
        </row>
        <row r="940">
          <cell r="C940" t="str">
            <v>50481</v>
          </cell>
          <cell r="D940" t="str">
            <v>ACABADO PU-50 ROJO SEGURIDAD</v>
          </cell>
          <cell r="H940">
            <v>7125</v>
          </cell>
        </row>
        <row r="941">
          <cell r="C941" t="str">
            <v>50143</v>
          </cell>
          <cell r="D941" t="str">
            <v>ACABADO PU-50 AMARILLO SEÑALES 1003</v>
          </cell>
          <cell r="H941">
            <v>1812.93</v>
          </cell>
        </row>
        <row r="942">
          <cell r="C942" t="str">
            <v>50141</v>
          </cell>
          <cell r="D942" t="str">
            <v>ACABADO PU-50 AMARILLO SEÑALES 1003</v>
          </cell>
          <cell r="H942">
            <v>7125</v>
          </cell>
        </row>
        <row r="943">
          <cell r="C943" t="str">
            <v>50073</v>
          </cell>
          <cell r="D943" t="str">
            <v>ACABADO PU-50 BLANCO HUESO 9010</v>
          </cell>
          <cell r="H943">
            <v>1512.07</v>
          </cell>
        </row>
        <row r="944">
          <cell r="C944" t="str">
            <v>50071</v>
          </cell>
          <cell r="D944" t="str">
            <v>ACABADO PU-50 BLANCO HUESO 9010</v>
          </cell>
          <cell r="H944">
            <v>5937.93</v>
          </cell>
        </row>
        <row r="945">
          <cell r="C945" t="str">
            <v>50063</v>
          </cell>
          <cell r="D945" t="str">
            <v>ACABADO PU-50 GRISACEO 9002</v>
          </cell>
          <cell r="H945">
            <v>1512.07</v>
          </cell>
        </row>
        <row r="946">
          <cell r="C946" t="str">
            <v>50061</v>
          </cell>
          <cell r="D946" t="str">
            <v>ACABADO PU-50 GRISACEO 9002</v>
          </cell>
          <cell r="H946">
            <v>5937.93</v>
          </cell>
        </row>
        <row r="947">
          <cell r="C947" t="str">
            <v>50014</v>
          </cell>
          <cell r="D947" t="str">
            <v>CATALIZADOR ACABADO PU-50</v>
          </cell>
          <cell r="H947">
            <v>910.34</v>
          </cell>
        </row>
        <row r="948">
          <cell r="C948" t="str">
            <v>50013</v>
          </cell>
          <cell r="D948" t="str">
            <v>CATALIZADOR ACABADO PU-50</v>
          </cell>
          <cell r="H948">
            <v>3529.31</v>
          </cell>
        </row>
        <row r="949">
          <cell r="C949" t="str">
            <v>50003</v>
          </cell>
          <cell r="D949" t="str">
            <v>ACABADO PU-50 BLANCO</v>
          </cell>
          <cell r="H949">
            <v>1512.07</v>
          </cell>
        </row>
        <row r="950">
          <cell r="C950" t="str">
            <v>50001</v>
          </cell>
          <cell r="D950" t="str">
            <v>ACABADO PU-50 BLANCO</v>
          </cell>
          <cell r="H950">
            <v>5937.93</v>
          </cell>
        </row>
        <row r="951">
          <cell r="C951" t="str">
            <v>49963</v>
          </cell>
          <cell r="D951" t="str">
            <v>POLVO DE ZINC PARA PRIMETAL IZ-4</v>
          </cell>
          <cell r="H951">
            <v>2975</v>
          </cell>
        </row>
        <row r="952">
          <cell r="C952" t="str">
            <v>49953</v>
          </cell>
          <cell r="D952" t="str">
            <v>PRIMETAL IZ-4 GRIS METALICO</v>
          </cell>
          <cell r="H952">
            <v>1047.4100000000001</v>
          </cell>
        </row>
        <row r="953">
          <cell r="C953" t="str">
            <v>49753</v>
          </cell>
          <cell r="D953" t="str">
            <v>PROTOX</v>
          </cell>
          <cell r="H953">
            <v>631.9</v>
          </cell>
        </row>
        <row r="954">
          <cell r="C954" t="str">
            <v>49751</v>
          </cell>
          <cell r="D954" t="str">
            <v>PROTOX</v>
          </cell>
          <cell r="H954">
            <v>2528.4499999999998</v>
          </cell>
        </row>
        <row r="955">
          <cell r="C955" t="str">
            <v>48843</v>
          </cell>
          <cell r="D955" t="str">
            <v>SOLVENTE APU</v>
          </cell>
          <cell r="H955">
            <v>587.07000000000005</v>
          </cell>
        </row>
        <row r="956">
          <cell r="C956" t="str">
            <v>48841</v>
          </cell>
          <cell r="D956" t="str">
            <v>SOLVENTE APU</v>
          </cell>
          <cell r="H956">
            <v>2840.52</v>
          </cell>
        </row>
        <row r="957">
          <cell r="C957" t="str">
            <v>48834</v>
          </cell>
          <cell r="D957" t="str">
            <v>SOLVENTE EXY-B</v>
          </cell>
          <cell r="H957">
            <v>136.21</v>
          </cell>
        </row>
        <row r="958">
          <cell r="C958" t="str">
            <v>48833</v>
          </cell>
          <cell r="D958" t="str">
            <v>SOLVENTE EXY-B</v>
          </cell>
          <cell r="H958">
            <v>477.59</v>
          </cell>
        </row>
        <row r="959">
          <cell r="C959" t="str">
            <v>48831</v>
          </cell>
          <cell r="D959" t="str">
            <v>SOLVENTE EXY-B</v>
          </cell>
          <cell r="H959">
            <v>2295.69</v>
          </cell>
        </row>
        <row r="960">
          <cell r="C960" t="str">
            <v>43991</v>
          </cell>
          <cell r="D960" t="str">
            <v>CATALIZADOR PRIMETAL EH-B CFE</v>
          </cell>
          <cell r="H960">
            <v>9578.4500000000007</v>
          </cell>
        </row>
        <row r="961">
          <cell r="C961" t="str">
            <v>43981</v>
          </cell>
          <cell r="D961" t="str">
            <v>PRIMETAL EH-B CFE NEGRO</v>
          </cell>
          <cell r="H961">
            <v>6773.28</v>
          </cell>
        </row>
        <row r="962">
          <cell r="C962" t="str">
            <v>43974</v>
          </cell>
          <cell r="D962" t="str">
            <v>CATALIZADOR PRIMETAL EH-B PEMEX</v>
          </cell>
          <cell r="H962">
            <v>1173.28</v>
          </cell>
        </row>
        <row r="963">
          <cell r="C963" t="str">
            <v>43973</v>
          </cell>
          <cell r="D963" t="str">
            <v>CATALIZADOR PRIMETAL EH-B "PEMEX"</v>
          </cell>
          <cell r="H963">
            <v>2918.97</v>
          </cell>
        </row>
        <row r="964">
          <cell r="C964" t="str">
            <v>43963</v>
          </cell>
          <cell r="D964" t="str">
            <v>PRIMETAL EH-B PEMEX NEGRO</v>
          </cell>
          <cell r="H964">
            <v>1308.6199999999999</v>
          </cell>
        </row>
        <row r="965">
          <cell r="C965" t="str">
            <v>43961</v>
          </cell>
          <cell r="D965" t="str">
            <v>PRIMETAL EH-B PEMEX NEGRO</v>
          </cell>
          <cell r="H965">
            <v>3975.86</v>
          </cell>
        </row>
        <row r="966">
          <cell r="C966" t="str">
            <v>43903</v>
          </cell>
          <cell r="D966" t="str">
            <v>PRIMETAL ERZ-B GRIS METALICO</v>
          </cell>
          <cell r="H966">
            <v>847.41</v>
          </cell>
        </row>
        <row r="967">
          <cell r="C967" t="str">
            <v>43593</v>
          </cell>
          <cell r="D967" t="str">
            <v>CATALIZADOR P/EF-65</v>
          </cell>
          <cell r="H967">
            <v>2065.52</v>
          </cell>
        </row>
        <row r="968">
          <cell r="C968" t="str">
            <v>43581</v>
          </cell>
          <cell r="D968" t="str">
            <v>PRIMETAL E F - 65</v>
          </cell>
          <cell r="H968">
            <v>9003.4500000000007</v>
          </cell>
        </row>
        <row r="969">
          <cell r="C969" t="str">
            <v>43574</v>
          </cell>
          <cell r="D969" t="str">
            <v>CATALIZADOR PRIMETAL EB</v>
          </cell>
          <cell r="H969">
            <v>512.07000000000005</v>
          </cell>
        </row>
        <row r="970">
          <cell r="C970" t="str">
            <v>43573</v>
          </cell>
          <cell r="D970" t="str">
            <v>CATALIZADOR PARA PRIMETAL EB</v>
          </cell>
          <cell r="H970">
            <v>1543.97</v>
          </cell>
        </row>
        <row r="971">
          <cell r="C971" t="str">
            <v>43563</v>
          </cell>
          <cell r="D971" t="str">
            <v>PRIMETAL EB ROJO OXIDO</v>
          </cell>
          <cell r="H971">
            <v>1771.55</v>
          </cell>
        </row>
        <row r="972">
          <cell r="C972" t="str">
            <v>43561</v>
          </cell>
          <cell r="D972" t="str">
            <v>PRIMETAL EB ROJO OXIDO</v>
          </cell>
          <cell r="H972">
            <v>6331.9</v>
          </cell>
        </row>
        <row r="973">
          <cell r="C973" t="str">
            <v>43024</v>
          </cell>
          <cell r="D973" t="str">
            <v>CATALIZADOR PRIMETAL EA</v>
          </cell>
          <cell r="H973">
            <v>525</v>
          </cell>
        </row>
        <row r="974">
          <cell r="C974" t="str">
            <v>43023</v>
          </cell>
          <cell r="D974" t="str">
            <v>CATALIZADOR PRIMETAL EA</v>
          </cell>
          <cell r="H974">
            <v>1566.38</v>
          </cell>
        </row>
        <row r="975">
          <cell r="C975" t="str">
            <v>43013</v>
          </cell>
          <cell r="D975" t="str">
            <v>PRIMETAL EB BLANCO</v>
          </cell>
          <cell r="H975">
            <v>2101.7199999999998</v>
          </cell>
        </row>
        <row r="976">
          <cell r="C976" t="str">
            <v>43011</v>
          </cell>
          <cell r="D976" t="str">
            <v>PRIMETAL EB BLANCO</v>
          </cell>
          <cell r="H976">
            <v>7531.9</v>
          </cell>
        </row>
        <row r="977">
          <cell r="C977" t="str">
            <v>43003</v>
          </cell>
          <cell r="D977" t="str">
            <v>PRIMETAL EA BLANCO</v>
          </cell>
          <cell r="H977">
            <v>2017.24</v>
          </cell>
        </row>
        <row r="978">
          <cell r="C978" t="str">
            <v>43001</v>
          </cell>
          <cell r="D978" t="str">
            <v>PRIMETAL EA BLANCO</v>
          </cell>
          <cell r="H978">
            <v>7278.45</v>
          </cell>
        </row>
        <row r="979">
          <cell r="C979" t="str">
            <v>42803</v>
          </cell>
          <cell r="D979" t="str">
            <v>CATZ. P/PRIMETAL W.P. 4280</v>
          </cell>
          <cell r="H979">
            <v>1135.3399999999999</v>
          </cell>
        </row>
        <row r="980">
          <cell r="C980" t="str">
            <v>42801</v>
          </cell>
          <cell r="D980" t="str">
            <v>CATZ. P/PRIMETAL W.P. 4280</v>
          </cell>
          <cell r="H980">
            <v>3682.76</v>
          </cell>
        </row>
        <row r="981">
          <cell r="C981" t="str">
            <v>42753</v>
          </cell>
          <cell r="D981" t="str">
            <v>PRIMETAL WASH PRIMER STD VERDE</v>
          </cell>
          <cell r="H981">
            <v>913.79</v>
          </cell>
        </row>
        <row r="982">
          <cell r="C982" t="str">
            <v>42751</v>
          </cell>
          <cell r="D982" t="str">
            <v>PRIMETAL WASH PRIMER STD VERDE</v>
          </cell>
          <cell r="H982">
            <v>6606.9</v>
          </cell>
        </row>
        <row r="983">
          <cell r="C983" t="str">
            <v>41941</v>
          </cell>
          <cell r="D983" t="str">
            <v>PRIMETAL ALF-U GRIS CLARO</v>
          </cell>
          <cell r="H983">
            <v>4522.41</v>
          </cell>
        </row>
        <row r="984">
          <cell r="C984" t="str">
            <v>41302</v>
          </cell>
          <cell r="D984" t="str">
            <v>POLVO P/MORTERO EPX-100 30 KG</v>
          </cell>
          <cell r="H984">
            <v>374.14</v>
          </cell>
        </row>
        <row r="985">
          <cell r="C985" t="str">
            <v>41202</v>
          </cell>
          <cell r="D985" t="str">
            <v>POLVO P/MORTERO EPX-100 20 KG</v>
          </cell>
          <cell r="H985">
            <v>256.02999999999997</v>
          </cell>
        </row>
        <row r="986">
          <cell r="C986" t="str">
            <v>41103</v>
          </cell>
          <cell r="D986" t="str">
            <v>MORTERO EPX-100 GRIS</v>
          </cell>
          <cell r="H986">
            <v>1684.48</v>
          </cell>
        </row>
        <row r="987">
          <cell r="C987" t="str">
            <v>41054</v>
          </cell>
          <cell r="D987" t="str">
            <v>CATALIZADOR MORTERO EPX-100</v>
          </cell>
          <cell r="H987">
            <v>859.48</v>
          </cell>
        </row>
        <row r="988">
          <cell r="C988" t="str">
            <v>41004</v>
          </cell>
          <cell r="D988" t="str">
            <v>MORTERO EPX-100 ARENA</v>
          </cell>
          <cell r="H988">
            <v>449.14</v>
          </cell>
        </row>
        <row r="989">
          <cell r="C989" t="str">
            <v>41003</v>
          </cell>
          <cell r="D989" t="str">
            <v>MORTERO EPX-100 ARENA</v>
          </cell>
          <cell r="H989">
            <v>1684.48</v>
          </cell>
        </row>
        <row r="990">
          <cell r="C990" t="str">
            <v>40944</v>
          </cell>
          <cell r="D990" t="str">
            <v>AUTOIMPRIMANTE EPX-65 GRIS POLVO 7037</v>
          </cell>
          <cell r="H990">
            <v>492.24</v>
          </cell>
        </row>
        <row r="991">
          <cell r="C991" t="str">
            <v>40943</v>
          </cell>
          <cell r="D991" t="str">
            <v>AUTOIMPRIMANTE EPX-65 GRIS POLVO 7037</v>
          </cell>
          <cell r="H991">
            <v>1844.83</v>
          </cell>
        </row>
        <row r="992">
          <cell r="C992" t="str">
            <v>40941</v>
          </cell>
          <cell r="D992" t="str">
            <v>AUTOIMPRIMANTE EPX-65 GRIS POLVO 7037</v>
          </cell>
          <cell r="H992">
            <v>8552.59</v>
          </cell>
        </row>
        <row r="993">
          <cell r="C993" t="str">
            <v>40924</v>
          </cell>
          <cell r="D993" t="str">
            <v>AUTOIMPRIMANTE EPX-65 GRIS L 7035</v>
          </cell>
          <cell r="H993">
            <v>444.83</v>
          </cell>
        </row>
        <row r="994">
          <cell r="C994" t="str">
            <v>40923</v>
          </cell>
          <cell r="D994" t="str">
            <v>AUTOIMPRIMANTE EPX-65 GRIS L 7035</v>
          </cell>
          <cell r="H994">
            <v>1675.86</v>
          </cell>
        </row>
        <row r="995">
          <cell r="C995" t="str">
            <v>40921</v>
          </cell>
          <cell r="D995" t="str">
            <v>AUTOIMPRIMANTE EPX-65 GRIS L 7035</v>
          </cell>
          <cell r="H995">
            <v>7774.14</v>
          </cell>
        </row>
        <row r="996">
          <cell r="C996" t="str">
            <v>40904</v>
          </cell>
          <cell r="D996" t="str">
            <v>AUTOIMPRIMANTE EPX-65 GRIS PLATA 7001</v>
          </cell>
          <cell r="H996">
            <v>444.83</v>
          </cell>
        </row>
        <row r="997">
          <cell r="C997" t="str">
            <v>40903</v>
          </cell>
          <cell r="D997" t="str">
            <v>AUTOIMPRIMANTE EPX-65 GRIS PLATA 7001</v>
          </cell>
          <cell r="H997">
            <v>1675.86</v>
          </cell>
        </row>
        <row r="998">
          <cell r="C998" t="str">
            <v>40901</v>
          </cell>
          <cell r="D998" t="str">
            <v>AUTOIMPRIMANTE EPX-65 GRIS PLATA 7001</v>
          </cell>
          <cell r="H998">
            <v>7774.14</v>
          </cell>
        </row>
        <row r="999">
          <cell r="C999" t="str">
            <v>40504</v>
          </cell>
          <cell r="D999" t="str">
            <v>CATALIZADOR AUTOIMPRIMANTE EPX-65</v>
          </cell>
          <cell r="H999">
            <v>350.86</v>
          </cell>
        </row>
        <row r="1000">
          <cell r="C1000" t="str">
            <v>40503</v>
          </cell>
          <cell r="D1000" t="str">
            <v>CATALIZADOR AUTOIMPRIMANTE EPX-65</v>
          </cell>
          <cell r="H1000">
            <v>1297.4100000000001</v>
          </cell>
        </row>
        <row r="1001">
          <cell r="C1001" t="str">
            <v>40501</v>
          </cell>
          <cell r="D1001" t="str">
            <v>CATALIZADOR AUTOIMPRIMANTE EPX-65</v>
          </cell>
          <cell r="H1001">
            <v>5976.72</v>
          </cell>
        </row>
        <row r="1002">
          <cell r="C1002" t="str">
            <v>40315</v>
          </cell>
          <cell r="D1002" t="str">
            <v>CATALIZADOR PARA RESANADOR EPX</v>
          </cell>
          <cell r="H1002">
            <v>266.38</v>
          </cell>
        </row>
        <row r="1003">
          <cell r="C1003" t="str">
            <v>40314</v>
          </cell>
          <cell r="D1003" t="str">
            <v>CATALIZADOR PARA RESANADOR EPX</v>
          </cell>
          <cell r="H1003">
            <v>457.76</v>
          </cell>
        </row>
        <row r="1004">
          <cell r="C1004" t="str">
            <v>40313</v>
          </cell>
          <cell r="D1004" t="str">
            <v>CATALIZADOR PARA RESANADOR EPX</v>
          </cell>
          <cell r="H1004">
            <v>1859.48</v>
          </cell>
        </row>
        <row r="1005">
          <cell r="C1005" t="str">
            <v>40305</v>
          </cell>
          <cell r="D1005" t="str">
            <v>RESANADOR EPX PARA CONCRETO</v>
          </cell>
          <cell r="H1005">
            <v>231.9</v>
          </cell>
        </row>
        <row r="1006">
          <cell r="C1006" t="str">
            <v>40304</v>
          </cell>
          <cell r="D1006" t="str">
            <v>RESANADOR EPX PARA CONCRETO</v>
          </cell>
          <cell r="H1006">
            <v>394.83</v>
          </cell>
        </row>
        <row r="1007">
          <cell r="C1007" t="str">
            <v>40303</v>
          </cell>
          <cell r="D1007" t="str">
            <v>RESANADOR EPX PARA CONCRETO</v>
          </cell>
          <cell r="H1007">
            <v>1594.83</v>
          </cell>
        </row>
        <row r="1008">
          <cell r="C1008" t="str">
            <v>40124</v>
          </cell>
          <cell r="D1008" t="str">
            <v>AUTOIMPRIMANTE EPX-65 GRISACEO 9002</v>
          </cell>
          <cell r="H1008">
            <v>444.83</v>
          </cell>
        </row>
        <row r="1009">
          <cell r="C1009" t="str">
            <v>40123</v>
          </cell>
          <cell r="D1009" t="str">
            <v>AUTOIMPRIMANTE EPX-65 GRISACEO 9002</v>
          </cell>
          <cell r="H1009">
            <v>1675.86</v>
          </cell>
        </row>
        <row r="1010">
          <cell r="C1010" t="str">
            <v>40121</v>
          </cell>
          <cell r="D1010" t="str">
            <v>AUTOIMPRIMANTE EPX-65 GRISACEO 9002</v>
          </cell>
          <cell r="H1010">
            <v>7774.14</v>
          </cell>
        </row>
        <row r="1011">
          <cell r="C1011" t="str">
            <v>40104</v>
          </cell>
          <cell r="D1011" t="str">
            <v>AUTOIMPRIMANTE EPX-65 BLANCO</v>
          </cell>
          <cell r="H1011">
            <v>444.83</v>
          </cell>
        </row>
        <row r="1012">
          <cell r="C1012" t="str">
            <v>40103</v>
          </cell>
          <cell r="D1012" t="str">
            <v>AUTOIMPRIMANTE EPX-65 BLANCO</v>
          </cell>
          <cell r="H1012">
            <v>1675.86</v>
          </cell>
        </row>
        <row r="1013">
          <cell r="C1013" t="str">
            <v>40101</v>
          </cell>
          <cell r="D1013" t="str">
            <v>AUTOIMPRIMANTE EPX-65 BLANCO</v>
          </cell>
          <cell r="H1013">
            <v>7774.14</v>
          </cell>
        </row>
        <row r="1014">
          <cell r="C1014" t="str">
            <v>40054</v>
          </cell>
          <cell r="D1014" t="str">
            <v>CATALIZADOR SELLADOR EPX-100</v>
          </cell>
          <cell r="H1014">
            <v>858.62</v>
          </cell>
        </row>
        <row r="1015">
          <cell r="C1015" t="str">
            <v>40053</v>
          </cell>
          <cell r="D1015" t="str">
            <v>CATALIZADOR SELLADOR EPX-100</v>
          </cell>
          <cell r="H1015">
            <v>3325.86</v>
          </cell>
        </row>
        <row r="1016">
          <cell r="C1016" t="str">
            <v>40003</v>
          </cell>
          <cell r="D1016" t="str">
            <v>SELLADOR EPX-100 TRANSPARENTE</v>
          </cell>
          <cell r="H1016">
            <v>1679.31</v>
          </cell>
        </row>
        <row r="1017">
          <cell r="C1017" t="str">
            <v>40001</v>
          </cell>
          <cell r="D1017" t="str">
            <v>SELLADOR EPX-100 TRANSPARENTE</v>
          </cell>
          <cell r="H1017">
            <v>6613.79</v>
          </cell>
        </row>
        <row r="1018">
          <cell r="C1018" t="str">
            <v>38601</v>
          </cell>
          <cell r="D1018" t="str">
            <v>PARAGUAS 4 A EXTRA FIBRABCO.FOTOSENSIBLE</v>
          </cell>
          <cell r="H1018">
            <v>1349.14</v>
          </cell>
        </row>
        <row r="1019">
          <cell r="C1019" t="str">
            <v>37474</v>
          </cell>
          <cell r="D1019" t="str">
            <v>TINTA V-MAGENTA 888-0422</v>
          </cell>
          <cell r="H1019">
            <v>644.83000000000004</v>
          </cell>
        </row>
        <row r="1020">
          <cell r="C1020" t="str">
            <v>36094</v>
          </cell>
          <cell r="D1020" t="str">
            <v>PEGAMENTO / SELLADOR</v>
          </cell>
          <cell r="H1020">
            <v>73.28</v>
          </cell>
        </row>
        <row r="1021">
          <cell r="C1021" t="str">
            <v>36093</v>
          </cell>
          <cell r="D1021" t="str">
            <v>PEGAMENTO / SELLADOR</v>
          </cell>
          <cell r="H1021">
            <v>197.41</v>
          </cell>
        </row>
        <row r="1022">
          <cell r="C1022" t="str">
            <v>36091</v>
          </cell>
          <cell r="D1022" t="str">
            <v>PEGAMENTO / SELLADOR</v>
          </cell>
          <cell r="H1022">
            <v>746.55</v>
          </cell>
        </row>
        <row r="1023">
          <cell r="C1023" t="str">
            <v>36064</v>
          </cell>
          <cell r="D1023" t="str">
            <v>SELLADOR VINILICO GLOSI</v>
          </cell>
          <cell r="H1023">
            <v>57.76</v>
          </cell>
        </row>
        <row r="1024">
          <cell r="C1024" t="str">
            <v>36063</v>
          </cell>
          <cell r="D1024" t="str">
            <v>SELLADOR VINILICO GLOSI</v>
          </cell>
          <cell r="H1024">
            <v>217.24</v>
          </cell>
        </row>
        <row r="1025">
          <cell r="C1025" t="str">
            <v>36061</v>
          </cell>
          <cell r="D1025" t="str">
            <v>SELLADOR VINILICO GLOSI</v>
          </cell>
          <cell r="H1025">
            <v>968.97</v>
          </cell>
        </row>
        <row r="1026">
          <cell r="C1026" t="str">
            <v>29746</v>
          </cell>
          <cell r="D1026" t="str">
            <v>CATALIZADOR PARA BICAPA PLUS</v>
          </cell>
          <cell r="H1026">
            <v>166.38</v>
          </cell>
        </row>
        <row r="1027">
          <cell r="C1027" t="str">
            <v>29744</v>
          </cell>
          <cell r="D1027" t="str">
            <v>CATALIZADOR PARA BICAPA PLUS</v>
          </cell>
          <cell r="H1027">
            <v>597.41</v>
          </cell>
        </row>
        <row r="1028">
          <cell r="C1028" t="str">
            <v>29734</v>
          </cell>
          <cell r="D1028" t="str">
            <v>BICAPA PLUS TRANSPARENTE</v>
          </cell>
          <cell r="H1028">
            <v>187.93</v>
          </cell>
        </row>
        <row r="1029">
          <cell r="C1029" t="str">
            <v>29733</v>
          </cell>
          <cell r="D1029" t="str">
            <v>BICAPA PLUS TRANSPARENTE</v>
          </cell>
          <cell r="H1029">
            <v>676.72</v>
          </cell>
        </row>
        <row r="1030">
          <cell r="C1030" t="str">
            <v>29714</v>
          </cell>
          <cell r="D1030" t="str">
            <v>PROMOTOR DE ADHERENCIA PARA PLASTICOS</v>
          </cell>
          <cell r="H1030">
            <v>243.97</v>
          </cell>
        </row>
        <row r="1031">
          <cell r="C1031" t="str">
            <v>29677</v>
          </cell>
          <cell r="D1031" t="str">
            <v>ENDURECEDOR 597</v>
          </cell>
          <cell r="H1031">
            <v>171.55</v>
          </cell>
        </row>
        <row r="1032">
          <cell r="C1032" t="str">
            <v>29675</v>
          </cell>
          <cell r="D1032" t="str">
            <v>ENDURECEDOR 597</v>
          </cell>
          <cell r="H1032">
            <v>485.34</v>
          </cell>
        </row>
        <row r="1033">
          <cell r="C1033" t="str">
            <v>29665</v>
          </cell>
          <cell r="D1033" t="str">
            <v>ENDURECEDOR PARA ESMALTE 596</v>
          </cell>
          <cell r="H1033">
            <v>233.62</v>
          </cell>
        </row>
        <row r="1034">
          <cell r="C1034" t="str">
            <v>29657</v>
          </cell>
          <cell r="D1034" t="str">
            <v>ENDURECEDOR B. PRODUCTIVA</v>
          </cell>
          <cell r="H1034">
            <v>70.69</v>
          </cell>
        </row>
        <row r="1035">
          <cell r="C1035" t="str">
            <v>29655</v>
          </cell>
          <cell r="D1035" t="str">
            <v>ENDURECEDOR B. PRODUCTIVA</v>
          </cell>
          <cell r="H1035">
            <v>227.59</v>
          </cell>
        </row>
        <row r="1036">
          <cell r="C1036" t="str">
            <v>29646</v>
          </cell>
          <cell r="D1036" t="str">
            <v>CATALIZADOR P.U. PARA FONDO DE RELLENO</v>
          </cell>
          <cell r="H1036">
            <v>105.17</v>
          </cell>
        </row>
        <row r="1037">
          <cell r="C1037" t="str">
            <v>29645</v>
          </cell>
          <cell r="D1037" t="str">
            <v>CATALIZADOR P.U. PARA FONDO DE RELLENO</v>
          </cell>
          <cell r="H1037">
            <v>185.34</v>
          </cell>
        </row>
        <row r="1038">
          <cell r="C1038" t="str">
            <v>29644</v>
          </cell>
          <cell r="D1038" t="str">
            <v>CATALIZADOR P.U. PARA FONDO DE RELLENO</v>
          </cell>
          <cell r="H1038">
            <v>458.62</v>
          </cell>
        </row>
        <row r="1039">
          <cell r="C1039" t="str">
            <v>29636</v>
          </cell>
          <cell r="D1039" t="str">
            <v>CATALIZADOR UNIVERSAL AUTOMOTIVO</v>
          </cell>
          <cell r="H1039">
            <v>163.79</v>
          </cell>
        </row>
        <row r="1040">
          <cell r="C1040" t="str">
            <v>29635</v>
          </cell>
          <cell r="D1040" t="str">
            <v>CATALIZADOR UNIVERSAL AUTOMOTIVO</v>
          </cell>
          <cell r="H1040">
            <v>293.97000000000003</v>
          </cell>
        </row>
        <row r="1041">
          <cell r="C1041" t="str">
            <v>29634</v>
          </cell>
          <cell r="D1041" t="str">
            <v>CATALIZADOR UNIVERSAL AUTOMOTIVO</v>
          </cell>
          <cell r="H1041">
            <v>517.24</v>
          </cell>
        </row>
        <row r="1042">
          <cell r="C1042" t="str">
            <v>29614</v>
          </cell>
          <cell r="D1042" t="str">
            <v>BICAPA PRODUCTIVA TPTE</v>
          </cell>
          <cell r="H1042">
            <v>159.47999999999999</v>
          </cell>
        </row>
        <row r="1043">
          <cell r="C1043" t="str">
            <v>29613</v>
          </cell>
          <cell r="D1043" t="str">
            <v>BICAPA PRODUCTIVA TPTE</v>
          </cell>
          <cell r="H1043">
            <v>565.52</v>
          </cell>
        </row>
        <row r="1044">
          <cell r="C1044" t="str">
            <v>29604</v>
          </cell>
          <cell r="D1044" t="str">
            <v>BICAPA TRANSPARENTE 600</v>
          </cell>
          <cell r="H1044">
            <v>302.58999999999997</v>
          </cell>
        </row>
        <row r="1045">
          <cell r="C1045" t="str">
            <v>29603</v>
          </cell>
          <cell r="D1045" t="str">
            <v>BICAPA TRANSPARENTE 600</v>
          </cell>
          <cell r="H1045">
            <v>1100.8599999999999</v>
          </cell>
        </row>
        <row r="1046">
          <cell r="C1046" t="str">
            <v>29596</v>
          </cell>
          <cell r="D1046" t="str">
            <v>PULIMENTO ROJO MEDIANO TRIPOLI</v>
          </cell>
          <cell r="H1046">
            <v>43.97</v>
          </cell>
        </row>
        <row r="1047">
          <cell r="C1047" t="str">
            <v>29595</v>
          </cell>
          <cell r="D1047" t="str">
            <v>PULIMENTO ROJO MEDIANO TRIPOLI</v>
          </cell>
          <cell r="H1047">
            <v>79.31</v>
          </cell>
        </row>
        <row r="1048">
          <cell r="C1048" t="str">
            <v>29594</v>
          </cell>
          <cell r="D1048" t="str">
            <v>PULIMENTO ROJO MEDIANO TRIPOLI</v>
          </cell>
          <cell r="H1048">
            <v>150</v>
          </cell>
        </row>
        <row r="1049">
          <cell r="C1049" t="str">
            <v>29593</v>
          </cell>
          <cell r="D1049" t="str">
            <v>PULIMENTO ROJO MEDIANO TRIPOLI</v>
          </cell>
          <cell r="H1049">
            <v>533.62</v>
          </cell>
        </row>
        <row r="1050">
          <cell r="C1050" t="str">
            <v>29591</v>
          </cell>
          <cell r="D1050" t="str">
            <v>PULIMENTO ROJO MEDIANO TRIPOLI</v>
          </cell>
          <cell r="H1050">
            <v>2368.1</v>
          </cell>
        </row>
        <row r="1051">
          <cell r="C1051" t="str">
            <v>29585</v>
          </cell>
          <cell r="D1051" t="str">
            <v>CERA AUTOMOTIVA LIQUIDA CARNAUBA</v>
          </cell>
          <cell r="H1051">
            <v>111.21</v>
          </cell>
        </row>
        <row r="1052">
          <cell r="C1052" t="str">
            <v>29565</v>
          </cell>
          <cell r="D1052" t="str">
            <v>GEL ABRILLANTADOR PARA LLANTAS 0401-222</v>
          </cell>
          <cell r="H1052">
            <v>51.72</v>
          </cell>
        </row>
        <row r="1053">
          <cell r="C1053" t="str">
            <v>29555</v>
          </cell>
          <cell r="D1053" t="str">
            <v>REMOVEDOR DE MARCAS 500 ML</v>
          </cell>
          <cell r="H1053">
            <v>156.9</v>
          </cell>
        </row>
        <row r="1054">
          <cell r="C1054" t="str">
            <v>29546</v>
          </cell>
          <cell r="D1054" t="str">
            <v>SILICREM CREMA AUTOMOTIVA 300ML</v>
          </cell>
          <cell r="H1054">
            <v>74.14</v>
          </cell>
        </row>
        <row r="1055">
          <cell r="C1055" t="str">
            <v>29525</v>
          </cell>
          <cell r="D1055" t="str">
            <v>ABRILLANTADOR AUTOMOTIVO CARROCERIA500ML</v>
          </cell>
          <cell r="H1055">
            <v>136.21</v>
          </cell>
        </row>
        <row r="1056">
          <cell r="C1056" t="str">
            <v>29513</v>
          </cell>
          <cell r="D1056" t="str">
            <v>PULIMENTO CORTE DIAMANTE 3.9 LT</v>
          </cell>
          <cell r="H1056">
            <v>1684.48</v>
          </cell>
        </row>
        <row r="1057">
          <cell r="C1057" t="str">
            <v>29508</v>
          </cell>
          <cell r="D1057" t="str">
            <v>PULIMENTO BLANCO 1968</v>
          </cell>
          <cell r="H1057">
            <v>18.100000000000001</v>
          </cell>
        </row>
        <row r="1058">
          <cell r="C1058" t="str">
            <v>29507</v>
          </cell>
          <cell r="D1058" t="str">
            <v>PULIMENTO BLANCO 1968</v>
          </cell>
          <cell r="H1058">
            <v>70.69</v>
          </cell>
        </row>
        <row r="1059">
          <cell r="C1059" t="str">
            <v>29506</v>
          </cell>
          <cell r="D1059" t="str">
            <v>PULIMENTO BLANCO 1968</v>
          </cell>
          <cell r="H1059">
            <v>43.97</v>
          </cell>
        </row>
        <row r="1060">
          <cell r="C1060" t="str">
            <v>29505</v>
          </cell>
          <cell r="D1060" t="str">
            <v>PULIMENTO BLANCO 1968</v>
          </cell>
          <cell r="H1060">
            <v>79.31</v>
          </cell>
        </row>
        <row r="1061">
          <cell r="C1061" t="str">
            <v>29504</v>
          </cell>
          <cell r="D1061" t="str">
            <v>PULIMENTO BLANCO 1968</v>
          </cell>
          <cell r="H1061">
            <v>150</v>
          </cell>
        </row>
        <row r="1062">
          <cell r="C1062" t="str">
            <v>29503</v>
          </cell>
          <cell r="D1062" t="str">
            <v>PULIMENTO BLANCO 1968</v>
          </cell>
          <cell r="H1062">
            <v>533.62</v>
          </cell>
        </row>
        <row r="1063">
          <cell r="C1063" t="str">
            <v>29501</v>
          </cell>
          <cell r="D1063" t="str">
            <v>PULIMENTO BLANCO 1968</v>
          </cell>
          <cell r="H1063">
            <v>2368.1</v>
          </cell>
        </row>
        <row r="1064">
          <cell r="C1064" t="str">
            <v>29495</v>
          </cell>
          <cell r="D1064" t="str">
            <v>PLASTE GRIS OBSCURO 2350</v>
          </cell>
          <cell r="H1064">
            <v>97.41</v>
          </cell>
        </row>
        <row r="1065">
          <cell r="C1065" t="str">
            <v>29494</v>
          </cell>
          <cell r="D1065" t="str">
            <v>PLASTE GRIS OBSCURO 2350</v>
          </cell>
          <cell r="H1065">
            <v>190.52</v>
          </cell>
        </row>
        <row r="1066">
          <cell r="C1066" t="str">
            <v>29493</v>
          </cell>
          <cell r="D1066" t="str">
            <v>PLASTE GRIS OBSCURO 2350</v>
          </cell>
          <cell r="H1066">
            <v>649.14</v>
          </cell>
        </row>
        <row r="1067">
          <cell r="C1067" t="str">
            <v>29485</v>
          </cell>
          <cell r="D1067" t="str">
            <v>PLASTE GRIS CLARO</v>
          </cell>
          <cell r="H1067">
            <v>100.86</v>
          </cell>
        </row>
        <row r="1068">
          <cell r="C1068" t="str">
            <v>29484</v>
          </cell>
          <cell r="D1068" t="str">
            <v>PLASTE GRIS CLARO</v>
          </cell>
          <cell r="H1068">
            <v>200</v>
          </cell>
        </row>
        <row r="1069">
          <cell r="C1069" t="str">
            <v>29483</v>
          </cell>
          <cell r="D1069" t="str">
            <v>PLASTE GRIS CLARO</v>
          </cell>
          <cell r="H1069">
            <v>707.76</v>
          </cell>
        </row>
        <row r="1070">
          <cell r="C1070" t="str">
            <v>29475</v>
          </cell>
          <cell r="D1070" t="str">
            <v>PLASTE VERDE 2352</v>
          </cell>
          <cell r="H1070">
            <v>100.86</v>
          </cell>
        </row>
        <row r="1071">
          <cell r="C1071" t="str">
            <v>29474</v>
          </cell>
          <cell r="D1071" t="str">
            <v>PLASTE VERDE 2352</v>
          </cell>
          <cell r="H1071">
            <v>200</v>
          </cell>
        </row>
        <row r="1072">
          <cell r="C1072" t="str">
            <v>29473</v>
          </cell>
          <cell r="D1072" t="str">
            <v>PLASTE VERDE 2352</v>
          </cell>
          <cell r="H1072">
            <v>707.76</v>
          </cell>
        </row>
        <row r="1073">
          <cell r="C1073" t="str">
            <v>29471</v>
          </cell>
          <cell r="D1073" t="str">
            <v>PLASTE VERDE 2352</v>
          </cell>
          <cell r="H1073">
            <v>3156.9</v>
          </cell>
        </row>
        <row r="1074">
          <cell r="C1074" t="str">
            <v>29416</v>
          </cell>
          <cell r="D1074" t="str">
            <v>CERA EN PASTA 385 GRAMOS</v>
          </cell>
          <cell r="H1074">
            <v>313.79000000000002</v>
          </cell>
        </row>
        <row r="1075">
          <cell r="C1075" t="str">
            <v>29405</v>
          </cell>
          <cell r="D1075" t="str">
            <v>PLASTE BLANCO 2351</v>
          </cell>
          <cell r="H1075">
            <v>97.41</v>
          </cell>
        </row>
        <row r="1076">
          <cell r="C1076" t="str">
            <v>29404</v>
          </cell>
          <cell r="D1076" t="str">
            <v>PLASTE BLANCO 2351</v>
          </cell>
          <cell r="H1076">
            <v>190.52</v>
          </cell>
        </row>
        <row r="1077">
          <cell r="C1077" t="str">
            <v>29403</v>
          </cell>
          <cell r="D1077" t="str">
            <v>PLASTE BLANCO 2351</v>
          </cell>
          <cell r="H1077">
            <v>678.45</v>
          </cell>
        </row>
        <row r="1078">
          <cell r="C1078" t="str">
            <v>29395</v>
          </cell>
          <cell r="D1078" t="str">
            <v>FONDO GRIS OBSCURO 9194</v>
          </cell>
          <cell r="H1078">
            <v>91.38</v>
          </cell>
        </row>
        <row r="1079">
          <cell r="C1079" t="str">
            <v>29394</v>
          </cell>
          <cell r="D1079" t="str">
            <v>FONDO GRIS OBSCURO 9194</v>
          </cell>
          <cell r="H1079">
            <v>171.55</v>
          </cell>
        </row>
        <row r="1080">
          <cell r="C1080" t="str">
            <v>29393</v>
          </cell>
          <cell r="D1080" t="str">
            <v>FONDO GRIS OBSCURO 9194</v>
          </cell>
          <cell r="H1080">
            <v>612.07000000000005</v>
          </cell>
        </row>
        <row r="1081">
          <cell r="C1081" t="str">
            <v>29391</v>
          </cell>
          <cell r="D1081" t="str">
            <v>FONDO GRIS OBSCURO 9194</v>
          </cell>
          <cell r="H1081">
            <v>3232.76</v>
          </cell>
        </row>
        <row r="1082">
          <cell r="C1082" t="str">
            <v>29385</v>
          </cell>
          <cell r="D1082" t="str">
            <v>FONDO GRIS CLARO 3211</v>
          </cell>
          <cell r="H1082">
            <v>91.38</v>
          </cell>
        </row>
        <row r="1083">
          <cell r="C1083" t="str">
            <v>29384</v>
          </cell>
          <cell r="D1083" t="str">
            <v>FONDO GRIS CLARO 3211</v>
          </cell>
          <cell r="H1083">
            <v>171.55</v>
          </cell>
        </row>
        <row r="1084">
          <cell r="C1084" t="str">
            <v>29383</v>
          </cell>
          <cell r="D1084" t="str">
            <v>FONDO GRIS CLARO 3211</v>
          </cell>
          <cell r="H1084">
            <v>612.07000000000005</v>
          </cell>
        </row>
        <row r="1085">
          <cell r="C1085" t="str">
            <v>29381</v>
          </cell>
          <cell r="D1085" t="str">
            <v>FONDO GRIS CLARO 3211</v>
          </cell>
          <cell r="H1085">
            <v>2737.93</v>
          </cell>
        </row>
        <row r="1086">
          <cell r="C1086" t="str">
            <v>29355</v>
          </cell>
          <cell r="D1086" t="str">
            <v>FONDO ROJO OXIDO 3200</v>
          </cell>
          <cell r="H1086">
            <v>108.62</v>
          </cell>
        </row>
        <row r="1087">
          <cell r="C1087" t="str">
            <v>29354</v>
          </cell>
          <cell r="D1087" t="str">
            <v>FONDO ROJO OXIDO 3200</v>
          </cell>
          <cell r="H1087">
            <v>171.55</v>
          </cell>
        </row>
        <row r="1088">
          <cell r="C1088" t="str">
            <v>29353</v>
          </cell>
          <cell r="D1088" t="str">
            <v>FONDO ROJO OXIDO 3200</v>
          </cell>
          <cell r="H1088">
            <v>612.07000000000005</v>
          </cell>
        </row>
        <row r="1089">
          <cell r="C1089" t="str">
            <v>29351</v>
          </cell>
          <cell r="D1089" t="str">
            <v>FONDO ROJO OXIDO 3200</v>
          </cell>
          <cell r="H1089">
            <v>3232.76</v>
          </cell>
        </row>
        <row r="1090">
          <cell r="C1090" t="str">
            <v>29334</v>
          </cell>
          <cell r="D1090" t="str">
            <v>FONDO P.U. DE RELLENO</v>
          </cell>
          <cell r="H1090">
            <v>235.34</v>
          </cell>
        </row>
        <row r="1091">
          <cell r="C1091" t="str">
            <v>29333</v>
          </cell>
          <cell r="D1091" t="str">
            <v>FONDO P.U. DE RELLENO</v>
          </cell>
          <cell r="H1091">
            <v>786.21</v>
          </cell>
        </row>
        <row r="1092">
          <cell r="C1092" t="str">
            <v>29331</v>
          </cell>
          <cell r="D1092" t="str">
            <v>FONDO P.U. DE RELLENO</v>
          </cell>
          <cell r="H1092">
            <v>2839.66</v>
          </cell>
        </row>
        <row r="1093">
          <cell r="C1093" t="str">
            <v>29324</v>
          </cell>
          <cell r="D1093" t="str">
            <v>FONDO ACRILICO UNIVERSAL</v>
          </cell>
          <cell r="H1093">
            <v>214.66</v>
          </cell>
        </row>
        <row r="1094">
          <cell r="C1094" t="str">
            <v>29323</v>
          </cell>
          <cell r="D1094" t="str">
            <v>FONDO ACRILICO UNIVERSAL</v>
          </cell>
          <cell r="H1094">
            <v>897.41</v>
          </cell>
        </row>
        <row r="1095">
          <cell r="C1095" t="str">
            <v>29321</v>
          </cell>
          <cell r="D1095" t="str">
            <v>FONDO ACRILICO UNIVERSAL</v>
          </cell>
          <cell r="H1095">
            <v>3513.79</v>
          </cell>
        </row>
        <row r="1096">
          <cell r="C1096" t="str">
            <v>29314</v>
          </cell>
          <cell r="D1096" t="str">
            <v>FONDO CROMATO DE ZINC 3215</v>
          </cell>
          <cell r="H1096">
            <v>171.55</v>
          </cell>
        </row>
        <row r="1097">
          <cell r="C1097" t="str">
            <v>29313</v>
          </cell>
          <cell r="D1097" t="str">
            <v>FONDO CROMATO DE ZINC 3215</v>
          </cell>
          <cell r="H1097">
            <v>612.07000000000005</v>
          </cell>
        </row>
        <row r="1098">
          <cell r="C1098" t="str">
            <v>29311</v>
          </cell>
          <cell r="D1098" t="str">
            <v>FONDO CROMATO DE ZINC 3215</v>
          </cell>
          <cell r="H1098">
            <v>2737.93</v>
          </cell>
        </row>
        <row r="1099">
          <cell r="C1099" t="str">
            <v>29305</v>
          </cell>
          <cell r="D1099" t="str">
            <v>FONDO BLANCO 3261</v>
          </cell>
          <cell r="H1099">
            <v>91.38</v>
          </cell>
        </row>
        <row r="1100">
          <cell r="C1100" t="str">
            <v>29304</v>
          </cell>
          <cell r="D1100" t="str">
            <v>FONDO BLANCO 3261</v>
          </cell>
          <cell r="H1100">
            <v>171.55</v>
          </cell>
        </row>
        <row r="1101">
          <cell r="C1101" t="str">
            <v>29303</v>
          </cell>
          <cell r="D1101" t="str">
            <v>FONDO BLANCO 3261</v>
          </cell>
          <cell r="H1101">
            <v>612.07000000000005</v>
          </cell>
        </row>
        <row r="1102">
          <cell r="C1102" t="str">
            <v>29301</v>
          </cell>
          <cell r="D1102" t="str">
            <v>FONDO BLANCO 3261</v>
          </cell>
          <cell r="H1102">
            <v>2640.52</v>
          </cell>
        </row>
        <row r="1103">
          <cell r="C1103" t="str">
            <v>29273</v>
          </cell>
          <cell r="D1103" t="str">
            <v>CATALIZADOR P/RELL AZUL "95GRS"</v>
          </cell>
          <cell r="H1103">
            <v>78.45</v>
          </cell>
        </row>
        <row r="1104">
          <cell r="C1104" t="str">
            <v>29233</v>
          </cell>
          <cell r="D1104" t="str">
            <v>CATATALIZADOR AZUL P/RELLENADOR P/3.700K</v>
          </cell>
          <cell r="H1104">
            <v>47.41</v>
          </cell>
        </row>
        <row r="1105">
          <cell r="C1105" t="str">
            <v>29225</v>
          </cell>
          <cell r="D1105" t="str">
            <v>CATALIZADOR ROJO P/RELLENADOR P/0.450K</v>
          </cell>
          <cell r="H1105">
            <v>7.76</v>
          </cell>
        </row>
        <row r="1106">
          <cell r="C1106" t="str">
            <v>29205</v>
          </cell>
          <cell r="D1106" t="str">
            <v>RELLENADOR AUTOMOTRIZ SI-GLO 0.450 KG</v>
          </cell>
          <cell r="H1106">
            <v>90.52</v>
          </cell>
        </row>
        <row r="1107">
          <cell r="C1107" t="str">
            <v>29203</v>
          </cell>
          <cell r="D1107" t="str">
            <v>RELLENADOR AUTOMOTRIZ SI-GLO 3.7 KG</v>
          </cell>
          <cell r="H1107">
            <v>556.03</v>
          </cell>
        </row>
        <row r="1108">
          <cell r="C1108" t="str">
            <v>29104</v>
          </cell>
          <cell r="D1108" t="str">
            <v>REMOVEDOR DE PINTURA</v>
          </cell>
          <cell r="H1108">
            <v>155.16999999999999</v>
          </cell>
        </row>
        <row r="1109">
          <cell r="C1109" t="str">
            <v>29103</v>
          </cell>
          <cell r="D1109" t="str">
            <v>REMOVEDOR DE PINTURA</v>
          </cell>
          <cell r="H1109">
            <v>585.34</v>
          </cell>
        </row>
        <row r="1110">
          <cell r="C1110" t="str">
            <v>29101</v>
          </cell>
          <cell r="D1110" t="str">
            <v>REMOVEDOR DE PINTURA</v>
          </cell>
          <cell r="H1110">
            <v>2454.31</v>
          </cell>
        </row>
        <row r="1111">
          <cell r="C1111" t="str">
            <v>29024</v>
          </cell>
          <cell r="D1111" t="str">
            <v>PELO DE GATO</v>
          </cell>
          <cell r="H1111">
            <v>237.93</v>
          </cell>
        </row>
        <row r="1112">
          <cell r="C1112" t="str">
            <v>29014</v>
          </cell>
          <cell r="D1112" t="str">
            <v>RELLENADOR AUTOMOTRIZ C/CATAL. ROJO</v>
          </cell>
          <cell r="H1112">
            <v>103.45</v>
          </cell>
        </row>
        <row r="1113">
          <cell r="C1113" t="str">
            <v>29012</v>
          </cell>
          <cell r="D1113" t="str">
            <v>RELLENADOR AUTOMOTRIZ C/CATAL. ROJO</v>
          </cell>
          <cell r="H1113">
            <v>305.17</v>
          </cell>
        </row>
        <row r="1114">
          <cell r="C1114" t="str">
            <v>29004</v>
          </cell>
          <cell r="D1114" t="str">
            <v>RELLENADOR AUTOMOTRIZ</v>
          </cell>
          <cell r="H1114">
            <v>103.45</v>
          </cell>
        </row>
        <row r="1115">
          <cell r="C1115" t="str">
            <v>29002</v>
          </cell>
          <cell r="D1115" t="str">
            <v>RELLENADOR AUTOMOTRIZ</v>
          </cell>
          <cell r="H1115">
            <v>305.17</v>
          </cell>
        </row>
        <row r="1116">
          <cell r="C1116" t="str">
            <v>28983</v>
          </cell>
          <cell r="D1116" t="str">
            <v>BRILLON NEGRO</v>
          </cell>
          <cell r="H1116">
            <v>401.72</v>
          </cell>
        </row>
        <row r="1117">
          <cell r="C1117" t="str">
            <v>28963</v>
          </cell>
          <cell r="D1117" t="str">
            <v>BRILLON NEGRO MATE</v>
          </cell>
          <cell r="H1117">
            <v>401.72</v>
          </cell>
        </row>
        <row r="1118">
          <cell r="C1118" t="str">
            <v>28946</v>
          </cell>
          <cell r="D1118" t="str">
            <v>BARNIZ ALQUIDALICO MAPLE</v>
          </cell>
          <cell r="H1118">
            <v>56.03</v>
          </cell>
        </row>
        <row r="1119">
          <cell r="C1119" t="str">
            <v>28933</v>
          </cell>
          <cell r="D1119" t="str">
            <v>BRILLON GRIS</v>
          </cell>
          <cell r="H1119">
            <v>401.72</v>
          </cell>
        </row>
        <row r="1120">
          <cell r="C1120" t="str">
            <v>28906</v>
          </cell>
          <cell r="D1120" t="str">
            <v>BARNIZ ALQUIDALICO BURDEOS</v>
          </cell>
          <cell r="H1120">
            <v>68.97</v>
          </cell>
        </row>
        <row r="1121">
          <cell r="C1121" t="str">
            <v>28896</v>
          </cell>
          <cell r="D1121" t="str">
            <v>BARNIZ ALQUIDALICO NOGAL</v>
          </cell>
          <cell r="H1121">
            <v>56.03</v>
          </cell>
        </row>
        <row r="1122">
          <cell r="C1122" t="str">
            <v>28884</v>
          </cell>
          <cell r="D1122" t="str">
            <v>BARNIZ ALQUIDALICO CAOBA</v>
          </cell>
          <cell r="H1122">
            <v>207.76</v>
          </cell>
        </row>
        <row r="1123">
          <cell r="C1123" t="str">
            <v>28866</v>
          </cell>
          <cell r="D1123" t="str">
            <v>BARNIZ ALQ. ROBLE AMERICANO</v>
          </cell>
          <cell r="H1123">
            <v>68.97</v>
          </cell>
        </row>
        <row r="1124">
          <cell r="C1124" t="str">
            <v>28864</v>
          </cell>
          <cell r="D1124" t="str">
            <v>BARNIZ ALQ. ROBLE AMERICANO</v>
          </cell>
          <cell r="H1124">
            <v>205.17</v>
          </cell>
        </row>
        <row r="1125">
          <cell r="C1125" t="str">
            <v>28854</v>
          </cell>
          <cell r="D1125" t="str">
            <v>BARNIZ ALQUIDALICO ROBLE</v>
          </cell>
          <cell r="H1125">
            <v>207.76</v>
          </cell>
        </row>
        <row r="1126">
          <cell r="C1126" t="str">
            <v>28844</v>
          </cell>
          <cell r="D1126" t="str">
            <v>BARNIZ ALQUIDALICO CEDRO</v>
          </cell>
          <cell r="H1126">
            <v>207.76</v>
          </cell>
        </row>
        <row r="1127">
          <cell r="C1127" t="str">
            <v>28826</v>
          </cell>
          <cell r="D1127" t="str">
            <v>BARNIZ ALQUIDALICO PRIMAVERA</v>
          </cell>
          <cell r="H1127">
            <v>56.03</v>
          </cell>
        </row>
        <row r="1128">
          <cell r="C1128" t="str">
            <v>28773</v>
          </cell>
          <cell r="D1128" t="str">
            <v>BRILLON VERDE SELVA</v>
          </cell>
          <cell r="H1128">
            <v>401.72</v>
          </cell>
        </row>
        <row r="1129">
          <cell r="C1129" t="str">
            <v>28663</v>
          </cell>
          <cell r="D1129" t="str">
            <v>BRILLON AZUL HOLANDES</v>
          </cell>
          <cell r="H1129">
            <v>401.72</v>
          </cell>
        </row>
        <row r="1130">
          <cell r="C1130" t="str">
            <v>28653</v>
          </cell>
          <cell r="D1130" t="str">
            <v>BRILLON AZUL IRIS</v>
          </cell>
          <cell r="H1130">
            <v>401.72</v>
          </cell>
        </row>
        <row r="1131">
          <cell r="C1131" t="str">
            <v>28643</v>
          </cell>
          <cell r="D1131" t="str">
            <v>BRILLON AZUL AGUA</v>
          </cell>
          <cell r="H1131">
            <v>401.72</v>
          </cell>
        </row>
        <row r="1132">
          <cell r="C1132" t="str">
            <v>28583</v>
          </cell>
          <cell r="D1132" t="str">
            <v>BRILLON CACAO</v>
          </cell>
          <cell r="H1132">
            <v>401.72</v>
          </cell>
        </row>
        <row r="1133">
          <cell r="C1133" t="str">
            <v>28573</v>
          </cell>
          <cell r="D1133" t="str">
            <v>BRILLON CANELA</v>
          </cell>
          <cell r="H1133">
            <v>401.72</v>
          </cell>
        </row>
        <row r="1134">
          <cell r="C1134" t="str">
            <v>28563</v>
          </cell>
          <cell r="D1134" t="str">
            <v>BRILLON TAMARINDO</v>
          </cell>
          <cell r="H1134">
            <v>401.72</v>
          </cell>
        </row>
        <row r="1135">
          <cell r="C1135" t="str">
            <v>28453</v>
          </cell>
          <cell r="D1135" t="str">
            <v>BRILLON SANDIA</v>
          </cell>
          <cell r="H1135">
            <v>401.72</v>
          </cell>
        </row>
        <row r="1136">
          <cell r="C1136" t="str">
            <v>28353</v>
          </cell>
          <cell r="D1136" t="str">
            <v>BRILLON MANDARINA</v>
          </cell>
          <cell r="H1136">
            <v>401.72</v>
          </cell>
        </row>
        <row r="1137">
          <cell r="C1137" t="str">
            <v>28303</v>
          </cell>
          <cell r="D1137" t="str">
            <v>BRILLON DURAZNO</v>
          </cell>
          <cell r="H1137">
            <v>401.72</v>
          </cell>
        </row>
        <row r="1138">
          <cell r="C1138" t="str">
            <v>28263</v>
          </cell>
          <cell r="D1138" t="str">
            <v>BRILLON CALABAZA</v>
          </cell>
          <cell r="H1138">
            <v>401.72</v>
          </cell>
        </row>
        <row r="1139">
          <cell r="C1139" t="str">
            <v>28213</v>
          </cell>
          <cell r="D1139" t="str">
            <v>BRILLON GUAYABA</v>
          </cell>
          <cell r="H1139">
            <v>401.72</v>
          </cell>
        </row>
        <row r="1140">
          <cell r="C1140" t="str">
            <v>28153</v>
          </cell>
          <cell r="D1140" t="str">
            <v>BRILLON AMARILLO MANGO</v>
          </cell>
          <cell r="H1140">
            <v>401.72</v>
          </cell>
        </row>
        <row r="1141">
          <cell r="C1141" t="str">
            <v>28133</v>
          </cell>
          <cell r="D1141" t="str">
            <v>BRILLON AMARILLO LIMON</v>
          </cell>
          <cell r="H1141">
            <v>401.72</v>
          </cell>
        </row>
        <row r="1142">
          <cell r="C1142" t="str">
            <v>28103</v>
          </cell>
          <cell r="D1142" t="str">
            <v>BRILLON ALUMINIO</v>
          </cell>
          <cell r="H1142">
            <v>401.72</v>
          </cell>
        </row>
        <row r="1143">
          <cell r="C1143" t="str">
            <v>28033</v>
          </cell>
          <cell r="D1143" t="str">
            <v>BRILLON BLANCO COCO</v>
          </cell>
          <cell r="H1143">
            <v>401.72</v>
          </cell>
        </row>
        <row r="1144">
          <cell r="C1144" t="str">
            <v>28013</v>
          </cell>
          <cell r="D1144" t="str">
            <v>BRILLON BLANCO MATE</v>
          </cell>
          <cell r="H1144">
            <v>401.72</v>
          </cell>
        </row>
        <row r="1145">
          <cell r="C1145" t="str">
            <v>28003</v>
          </cell>
          <cell r="D1145" t="str">
            <v>ESMALTE BRILLON BLANCO.</v>
          </cell>
          <cell r="H1145">
            <v>401.72</v>
          </cell>
        </row>
        <row r="1146">
          <cell r="C1146" t="str">
            <v>27814</v>
          </cell>
          <cell r="D1146" t="str">
            <v>CEMENTO INTELIGENTE PEGADURO</v>
          </cell>
          <cell r="H1146">
            <v>70.69</v>
          </cell>
        </row>
        <row r="1147">
          <cell r="C1147" t="str">
            <v>25993</v>
          </cell>
          <cell r="D1147" t="str">
            <v>ESM. ACRILICO NEGRO 590</v>
          </cell>
          <cell r="H1147">
            <v>821.55</v>
          </cell>
        </row>
        <row r="1148">
          <cell r="C1148" t="str">
            <v>25991</v>
          </cell>
          <cell r="D1148" t="str">
            <v>ESM. ACRILICO NEGRO 590</v>
          </cell>
          <cell r="H1148">
            <v>3670.69</v>
          </cell>
        </row>
        <row r="1149">
          <cell r="C1149" t="str">
            <v>25983</v>
          </cell>
          <cell r="D1149" t="str">
            <v>ESM. ACRILICO BASE MET. ARMADORA</v>
          </cell>
          <cell r="H1149">
            <v>999.14</v>
          </cell>
        </row>
        <row r="1150">
          <cell r="C1150" t="str">
            <v>25963</v>
          </cell>
          <cell r="D1150" t="str">
            <v>ESM. ACRILICO BASE MET. MED. 582</v>
          </cell>
          <cell r="H1150">
            <v>999.14</v>
          </cell>
        </row>
        <row r="1151">
          <cell r="C1151" t="str">
            <v>25943</v>
          </cell>
          <cell r="D1151" t="str">
            <v>ESM. ACRILICO BASE MED. EXT. BTE</v>
          </cell>
          <cell r="H1151">
            <v>1031.03</v>
          </cell>
        </row>
        <row r="1152">
          <cell r="C1152" t="str">
            <v>25933</v>
          </cell>
          <cell r="D1152" t="str">
            <v>ESM. ACRILICO BASE MET. DELG. 57</v>
          </cell>
          <cell r="H1152">
            <v>1031.03</v>
          </cell>
        </row>
        <row r="1153">
          <cell r="C1153" t="str">
            <v>25931</v>
          </cell>
          <cell r="D1153" t="str">
            <v>ESM. ACRILICO BASE MET. DELG. 57</v>
          </cell>
          <cell r="H1153">
            <v>3801.72</v>
          </cell>
        </row>
        <row r="1154">
          <cell r="C1154" t="str">
            <v>25923</v>
          </cell>
          <cell r="D1154" t="str">
            <v>ESM. ACRILICO BASE MET. GRUESA 5</v>
          </cell>
          <cell r="H1154">
            <v>821.55</v>
          </cell>
        </row>
        <row r="1155">
          <cell r="C1155" t="str">
            <v>25913</v>
          </cell>
          <cell r="D1155" t="str">
            <v>ESM. ACRILICO BASE MET. FINA 575</v>
          </cell>
          <cell r="H1155">
            <v>999.14</v>
          </cell>
        </row>
        <row r="1156">
          <cell r="C1156" t="str">
            <v>25803</v>
          </cell>
          <cell r="D1156" t="str">
            <v>ESM. ACRILICO TRANSPARENTE 500</v>
          </cell>
          <cell r="H1156">
            <v>821.55</v>
          </cell>
        </row>
        <row r="1157">
          <cell r="C1157" t="str">
            <v>25801</v>
          </cell>
          <cell r="D1157" t="str">
            <v>ESM. ACRILICO TRANSPARENTE 500</v>
          </cell>
          <cell r="H1157">
            <v>2908.62</v>
          </cell>
        </row>
        <row r="1158">
          <cell r="C1158" t="str">
            <v>25753</v>
          </cell>
          <cell r="D1158" t="str">
            <v>ESM. ACRILICO VERDE ENTON. 510</v>
          </cell>
          <cell r="H1158">
            <v>821.55</v>
          </cell>
        </row>
        <row r="1159">
          <cell r="C1159" t="str">
            <v>25734</v>
          </cell>
          <cell r="D1159" t="str">
            <v>ESM. ACRILICO VERDE PERLA CONC.</v>
          </cell>
          <cell r="H1159">
            <v>1788.79</v>
          </cell>
        </row>
        <row r="1160">
          <cell r="C1160" t="str">
            <v>25693</v>
          </cell>
          <cell r="D1160" t="str">
            <v>ESM. ACRILICO VIOLETA 570</v>
          </cell>
          <cell r="H1160">
            <v>1031.03</v>
          </cell>
        </row>
        <row r="1161">
          <cell r="C1161" t="str">
            <v>25683</v>
          </cell>
          <cell r="D1161" t="str">
            <v>ESM. ACRILICO AZUL MILORI 549</v>
          </cell>
          <cell r="H1161">
            <v>821.55</v>
          </cell>
        </row>
        <row r="1162">
          <cell r="C1162" t="str">
            <v>25673</v>
          </cell>
          <cell r="D1162" t="str">
            <v>ESM. ACRILICO AZUL PRUSIA 544</v>
          </cell>
          <cell r="H1162">
            <v>1420.69</v>
          </cell>
        </row>
        <row r="1163">
          <cell r="C1163" t="str">
            <v>25653</v>
          </cell>
          <cell r="D1163" t="str">
            <v>ESM. ACRILICO AZUL ENTON. 540</v>
          </cell>
          <cell r="H1163">
            <v>821.55</v>
          </cell>
        </row>
        <row r="1164">
          <cell r="C1164" t="str">
            <v>25643</v>
          </cell>
          <cell r="D1164" t="str">
            <v>ESMALTE ACRILICO AZUL VERDOSO</v>
          </cell>
          <cell r="H1164">
            <v>1031.03</v>
          </cell>
        </row>
        <row r="1165">
          <cell r="C1165" t="str">
            <v>25634</v>
          </cell>
          <cell r="D1165" t="str">
            <v>ESM. ACRILICO AZUL PERLA CONC.57</v>
          </cell>
          <cell r="H1165">
            <v>1563.79</v>
          </cell>
        </row>
        <row r="1166">
          <cell r="C1166" t="str">
            <v>25563</v>
          </cell>
          <cell r="D1166" t="str">
            <v>ESM. ACRILICO ROJO OXIDO 521</v>
          </cell>
          <cell r="H1166">
            <v>821.55</v>
          </cell>
        </row>
        <row r="1167">
          <cell r="C1167" t="str">
            <v>25483</v>
          </cell>
          <cell r="D1167" t="str">
            <v>ESM. ACRILICO ROJO OBSCURO 526</v>
          </cell>
          <cell r="H1167">
            <v>999.14</v>
          </cell>
        </row>
        <row r="1168">
          <cell r="C1168" t="str">
            <v>25473</v>
          </cell>
          <cell r="D1168" t="str">
            <v>ESM. ACRILICO MARRON SANGRE 551</v>
          </cell>
          <cell r="H1168">
            <v>1467.24</v>
          </cell>
        </row>
        <row r="1169">
          <cell r="C1169" t="str">
            <v>25453</v>
          </cell>
          <cell r="D1169" t="str">
            <v>ESM. ACRILICO ROJO GRANADA 525</v>
          </cell>
          <cell r="H1169">
            <v>1467.24</v>
          </cell>
        </row>
        <row r="1170">
          <cell r="C1170" t="str">
            <v>25443</v>
          </cell>
          <cell r="D1170" t="str">
            <v>ESM. ACRILICO MARRON VIOLETA 571</v>
          </cell>
          <cell r="H1170">
            <v>1031.03</v>
          </cell>
        </row>
        <row r="1171">
          <cell r="C1171" t="str">
            <v>25433</v>
          </cell>
          <cell r="D1171" t="str">
            <v>ESM. ACRILICO ROJO CLARO 524</v>
          </cell>
          <cell r="H1171">
            <v>1420.69</v>
          </cell>
        </row>
        <row r="1172">
          <cell r="C1172" t="str">
            <v>25353</v>
          </cell>
          <cell r="D1172" t="str">
            <v>ESM. ACRILICO NARANJA 560</v>
          </cell>
          <cell r="H1172">
            <v>1031.03</v>
          </cell>
        </row>
        <row r="1173">
          <cell r="C1173" t="str">
            <v>25263</v>
          </cell>
          <cell r="D1173" t="str">
            <v>ESM. ACRILICO AMARILLO FERRICO 5</v>
          </cell>
          <cell r="H1173">
            <v>821.55</v>
          </cell>
        </row>
        <row r="1174">
          <cell r="C1174" t="str">
            <v>25193</v>
          </cell>
          <cell r="D1174" t="str">
            <v>ESM. ACRILICO DORADO 539</v>
          </cell>
          <cell r="H1174">
            <v>1467.24</v>
          </cell>
        </row>
        <row r="1175">
          <cell r="C1175" t="str">
            <v>25183</v>
          </cell>
          <cell r="D1175" t="str">
            <v>ESM. ACRILICO ORO VIEJO 535</v>
          </cell>
          <cell r="H1175">
            <v>821.55</v>
          </cell>
        </row>
        <row r="1176">
          <cell r="C1176" t="str">
            <v>25153</v>
          </cell>
          <cell r="D1176" t="str">
            <v>ESM. ACRILICO AMARILLO CROMO 537</v>
          </cell>
          <cell r="H1176">
            <v>850.86</v>
          </cell>
        </row>
        <row r="1177">
          <cell r="C1177" t="str">
            <v>25151</v>
          </cell>
          <cell r="D1177" t="str">
            <v>ESM. ACRILICO AMARILLO CROMO 537</v>
          </cell>
          <cell r="H1177">
            <v>3925.86</v>
          </cell>
        </row>
        <row r="1178">
          <cell r="C1178" t="str">
            <v>25133</v>
          </cell>
          <cell r="D1178" t="str">
            <v>ESM. ACRILICO AMARILLO LIMON 532</v>
          </cell>
          <cell r="H1178">
            <v>999.14</v>
          </cell>
        </row>
        <row r="1179">
          <cell r="C1179" t="str">
            <v>25003</v>
          </cell>
          <cell r="D1179" t="str">
            <v>ESM. ACRILICO BLANCO 501</v>
          </cell>
          <cell r="H1179">
            <v>821.55</v>
          </cell>
        </row>
        <row r="1180">
          <cell r="C1180" t="str">
            <v>25001</v>
          </cell>
          <cell r="D1180" t="str">
            <v>ESM. ACRILICO BLANCO 501</v>
          </cell>
          <cell r="H1180">
            <v>3670.69</v>
          </cell>
        </row>
        <row r="1181">
          <cell r="C1181" t="str">
            <v>24007</v>
          </cell>
          <cell r="D1181" t="str">
            <v>WPRISA LUBRICANTE MULTIUSOS "150 ML"</v>
          </cell>
          <cell r="H1181">
            <v>41.38</v>
          </cell>
        </row>
        <row r="1182">
          <cell r="C1182" t="str">
            <v>24006</v>
          </cell>
          <cell r="D1182" t="str">
            <v>WPRISA LUBRICANTE MULTIUSOS "240 ML"BAJA</v>
          </cell>
          <cell r="H1182">
            <v>56.03</v>
          </cell>
        </row>
        <row r="1183">
          <cell r="C1183" t="str">
            <v>24005</v>
          </cell>
          <cell r="D1183" t="str">
            <v>WPRISA LUBRICANTE MULTIUSOS "400ML" BAJA</v>
          </cell>
          <cell r="H1183">
            <v>77.59</v>
          </cell>
        </row>
        <row r="1184">
          <cell r="C1184" t="str">
            <v>19934</v>
          </cell>
          <cell r="D1184" t="str">
            <v>MARTILLADO SR GRIS</v>
          </cell>
          <cell r="H1184">
            <v>220.69</v>
          </cell>
        </row>
        <row r="1185">
          <cell r="C1185" t="str">
            <v>19933</v>
          </cell>
          <cell r="D1185" t="str">
            <v>MARTILLADO SR GRIS</v>
          </cell>
          <cell r="H1185">
            <v>680.17</v>
          </cell>
        </row>
        <row r="1186">
          <cell r="C1186" t="str">
            <v>19931</v>
          </cell>
          <cell r="D1186" t="str">
            <v>MARTILLADO SR GRIS</v>
          </cell>
          <cell r="H1186">
            <v>2951.72</v>
          </cell>
        </row>
        <row r="1187">
          <cell r="C1187" t="str">
            <v>19930</v>
          </cell>
          <cell r="D1187" t="str">
            <v>MARTILLADO SR GRIS</v>
          </cell>
          <cell r="H1187">
            <v>34838.79</v>
          </cell>
        </row>
        <row r="1188">
          <cell r="C1188" t="str">
            <v>19754</v>
          </cell>
          <cell r="D1188" t="str">
            <v>MARTILLADO S.R. VERDE CLARO TONO</v>
          </cell>
          <cell r="H1188">
            <v>264.66000000000003</v>
          </cell>
        </row>
        <row r="1189">
          <cell r="C1189" t="str">
            <v>19753</v>
          </cell>
          <cell r="D1189" t="str">
            <v>MARTILLADO S.R. VERDE CLARO TONO</v>
          </cell>
          <cell r="H1189">
            <v>800.86</v>
          </cell>
        </row>
        <row r="1190">
          <cell r="C1190" t="str">
            <v>19751</v>
          </cell>
          <cell r="D1190" t="str">
            <v>MARTILLADO S.R. VERDE CLARO TONO</v>
          </cell>
          <cell r="H1190">
            <v>3485.34</v>
          </cell>
        </row>
        <row r="1191">
          <cell r="C1191" t="str">
            <v>19734</v>
          </cell>
          <cell r="D1191" t="str">
            <v>MARTILLADO SR VERDE CLARO</v>
          </cell>
          <cell r="H1191">
            <v>264.66000000000003</v>
          </cell>
        </row>
        <row r="1192">
          <cell r="C1192" t="str">
            <v>19733</v>
          </cell>
          <cell r="D1192" t="str">
            <v>MARTILLADO SR VERDE CLARO</v>
          </cell>
          <cell r="H1192">
            <v>680.17</v>
          </cell>
        </row>
        <row r="1193">
          <cell r="C1193" t="str">
            <v>19731</v>
          </cell>
          <cell r="D1193" t="str">
            <v>MARTILLADO SR VERDE CLARO</v>
          </cell>
          <cell r="H1193">
            <v>3485.34</v>
          </cell>
        </row>
        <row r="1194">
          <cell r="C1194" t="str">
            <v>19730</v>
          </cell>
          <cell r="D1194" t="str">
            <v>MARTILLADO S.R. VERDE CLARO</v>
          </cell>
          <cell r="H1194">
            <v>36711.21</v>
          </cell>
        </row>
        <row r="1195">
          <cell r="C1195" t="str">
            <v>19674</v>
          </cell>
          <cell r="D1195" t="str">
            <v>MARTILLADO SR AZUL OBSCURO</v>
          </cell>
          <cell r="H1195">
            <v>220.69</v>
          </cell>
        </row>
        <row r="1196">
          <cell r="C1196" t="str">
            <v>19673</v>
          </cell>
          <cell r="D1196" t="str">
            <v>MARTILLADO SR AZUL OBSCURO</v>
          </cell>
          <cell r="H1196">
            <v>680.17</v>
          </cell>
        </row>
        <row r="1197">
          <cell r="C1197" t="str">
            <v>19671</v>
          </cell>
          <cell r="D1197" t="str">
            <v>MARTILLADO SR AZUL OBSCURO</v>
          </cell>
          <cell r="H1197">
            <v>2951.72</v>
          </cell>
        </row>
        <row r="1198">
          <cell r="C1198" t="str">
            <v>19670</v>
          </cell>
          <cell r="D1198" t="str">
            <v>MARTILLADO SR AZUL OBSCURO</v>
          </cell>
          <cell r="H1198">
            <v>34839.660000000003</v>
          </cell>
        </row>
        <row r="1199">
          <cell r="C1199" t="str">
            <v>17994</v>
          </cell>
          <cell r="D1199" t="str">
            <v>SR NEGRO BRILLANTE</v>
          </cell>
          <cell r="H1199">
            <v>230.17</v>
          </cell>
        </row>
        <row r="1200">
          <cell r="C1200" t="str">
            <v>17993</v>
          </cell>
          <cell r="D1200" t="str">
            <v>SR NEGRO BRILLANTE</v>
          </cell>
          <cell r="H1200">
            <v>794.83</v>
          </cell>
        </row>
        <row r="1201">
          <cell r="C1201" t="str">
            <v>17991</v>
          </cell>
          <cell r="D1201" t="str">
            <v>SR NEGRO BRILLANTE</v>
          </cell>
          <cell r="H1201">
            <v>3798.28</v>
          </cell>
        </row>
        <row r="1202">
          <cell r="C1202" t="str">
            <v>17990</v>
          </cell>
          <cell r="D1202" t="str">
            <v>SR NEGRO BRILLANTE</v>
          </cell>
          <cell r="H1202">
            <v>32351.72</v>
          </cell>
        </row>
        <row r="1203">
          <cell r="C1203" t="str">
            <v>17983</v>
          </cell>
          <cell r="D1203" t="str">
            <v>SR NEGRO MATE</v>
          </cell>
          <cell r="H1203">
            <v>794.83</v>
          </cell>
        </row>
        <row r="1204">
          <cell r="C1204" t="str">
            <v>17981</v>
          </cell>
          <cell r="D1204" t="str">
            <v>SR NEGRO MATE</v>
          </cell>
          <cell r="H1204">
            <v>3237.07</v>
          </cell>
        </row>
        <row r="1205">
          <cell r="C1205" t="str">
            <v>17980</v>
          </cell>
          <cell r="D1205" t="str">
            <v>SR NEGRO MATE</v>
          </cell>
          <cell r="H1205">
            <v>32351.72</v>
          </cell>
        </row>
        <row r="1206">
          <cell r="C1206" t="str">
            <v>17971</v>
          </cell>
          <cell r="D1206" t="str">
            <v>TRAFICO NEGRO SCT</v>
          </cell>
          <cell r="H1206">
            <v>3705.17</v>
          </cell>
        </row>
        <row r="1207">
          <cell r="C1207" t="str">
            <v>17933</v>
          </cell>
          <cell r="D1207" t="str">
            <v>SR GRIS CLARO</v>
          </cell>
          <cell r="H1207">
            <v>1026.72</v>
          </cell>
        </row>
        <row r="1208">
          <cell r="C1208" t="str">
            <v>17931</v>
          </cell>
          <cell r="D1208" t="str">
            <v>SR GRIS CLARO</v>
          </cell>
          <cell r="H1208">
            <v>4216.38</v>
          </cell>
        </row>
        <row r="1209">
          <cell r="C1209" t="str">
            <v>17923</v>
          </cell>
          <cell r="D1209" t="str">
            <v>SR GRIS OBSCURO</v>
          </cell>
          <cell r="H1209">
            <v>1026.72</v>
          </cell>
        </row>
        <row r="1210">
          <cell r="C1210" t="str">
            <v>17921</v>
          </cell>
          <cell r="D1210" t="str">
            <v>SR GRIS OBSCURO</v>
          </cell>
          <cell r="H1210">
            <v>4216.38</v>
          </cell>
        </row>
        <row r="1211">
          <cell r="C1211" t="str">
            <v>17823</v>
          </cell>
          <cell r="D1211" t="str">
            <v>SR GRIS METALICO</v>
          </cell>
          <cell r="H1211">
            <v>794.83</v>
          </cell>
        </row>
        <row r="1212">
          <cell r="C1212" t="str">
            <v>17821</v>
          </cell>
          <cell r="D1212" t="str">
            <v>SR GRIS METALICO</v>
          </cell>
          <cell r="H1212">
            <v>3798.28</v>
          </cell>
        </row>
        <row r="1213">
          <cell r="C1213" t="str">
            <v>17820</v>
          </cell>
          <cell r="D1213" t="str">
            <v>SR GRIS METALICO</v>
          </cell>
          <cell r="H1213">
            <v>37724.14</v>
          </cell>
        </row>
        <row r="1214">
          <cell r="C1214" t="str">
            <v>17804</v>
          </cell>
          <cell r="D1214" t="str">
            <v>BARNIZ DE SECADO RAPIDO TRASPARENTE</v>
          </cell>
          <cell r="H1214">
            <v>209.48</v>
          </cell>
        </row>
        <row r="1215">
          <cell r="C1215" t="str">
            <v>17803</v>
          </cell>
          <cell r="D1215" t="str">
            <v>BARNIZ DE SECADO RAPIDO TRASPARENTE</v>
          </cell>
          <cell r="H1215">
            <v>757.76</v>
          </cell>
        </row>
        <row r="1216">
          <cell r="C1216" t="str">
            <v>17801</v>
          </cell>
          <cell r="D1216" t="str">
            <v>BARNIZ DE SECADO RAPIDO TRASPARENTE</v>
          </cell>
          <cell r="H1216">
            <v>3617.24</v>
          </cell>
        </row>
        <row r="1217">
          <cell r="C1217" t="str">
            <v>17800</v>
          </cell>
          <cell r="D1217" t="str">
            <v>BARNIZ DE SECADO RAPIDO TRASPARENTE</v>
          </cell>
          <cell r="H1217">
            <v>31336.21</v>
          </cell>
        </row>
        <row r="1218">
          <cell r="C1218" t="str">
            <v>17794</v>
          </cell>
          <cell r="D1218" t="str">
            <v>SR VERDE OBSCURO</v>
          </cell>
          <cell r="H1218">
            <v>315.52</v>
          </cell>
        </row>
        <row r="1219">
          <cell r="C1219" t="str">
            <v>17791</v>
          </cell>
          <cell r="D1219" t="str">
            <v>SR VERDE OBSCURO</v>
          </cell>
          <cell r="H1219">
            <v>4661.21</v>
          </cell>
        </row>
        <row r="1220">
          <cell r="C1220" t="str">
            <v>17741</v>
          </cell>
          <cell r="D1220" t="str">
            <v>S.R. VERDE BOSQUE E-1884</v>
          </cell>
          <cell r="H1220">
            <v>3798.28</v>
          </cell>
        </row>
        <row r="1221">
          <cell r="C1221" t="str">
            <v>17723</v>
          </cell>
          <cell r="D1221" t="str">
            <v>S.R. VERDE ENTINTADO E-1852</v>
          </cell>
          <cell r="H1221">
            <v>1148.28</v>
          </cell>
        </row>
        <row r="1222">
          <cell r="C1222" t="str">
            <v>17721</v>
          </cell>
          <cell r="D1222" t="str">
            <v>S.R. VERDE ENTINTADO E-1852</v>
          </cell>
          <cell r="H1222">
            <v>4705.17</v>
          </cell>
        </row>
        <row r="1223">
          <cell r="C1223" t="str">
            <v>17693</v>
          </cell>
          <cell r="D1223" t="str">
            <v>SR AZUL OBSCURO</v>
          </cell>
          <cell r="H1223">
            <v>927.59</v>
          </cell>
        </row>
        <row r="1224">
          <cell r="C1224" t="str">
            <v>17691</v>
          </cell>
          <cell r="D1224" t="str">
            <v>SR AZUL OBSCURO</v>
          </cell>
          <cell r="H1224">
            <v>3798.28</v>
          </cell>
        </row>
        <row r="1225">
          <cell r="C1225" t="str">
            <v>17690</v>
          </cell>
          <cell r="D1225" t="str">
            <v>SR AZUL OBSCURO</v>
          </cell>
          <cell r="H1225">
            <v>37724.14</v>
          </cell>
        </row>
        <row r="1226">
          <cell r="C1226" t="str">
            <v>17653</v>
          </cell>
          <cell r="D1226" t="str">
            <v>S.R. AZUL BASICO B.M. E-1681</v>
          </cell>
          <cell r="H1226">
            <v>1137.07</v>
          </cell>
        </row>
        <row r="1227">
          <cell r="C1227" t="str">
            <v>17651</v>
          </cell>
          <cell r="D1227" t="str">
            <v>S.R. AZUL BASICO B.M. E-1681</v>
          </cell>
          <cell r="H1227">
            <v>4705.17</v>
          </cell>
        </row>
        <row r="1228">
          <cell r="C1228" t="str">
            <v>17650</v>
          </cell>
          <cell r="D1228" t="str">
            <v>S.R. AZUL BASICO B.M. E-1681</v>
          </cell>
          <cell r="H1228">
            <v>46285.34</v>
          </cell>
        </row>
        <row r="1229">
          <cell r="C1229" t="str">
            <v>17644</v>
          </cell>
          <cell r="D1229" t="str">
            <v>SR AZUL BRILLANTE</v>
          </cell>
          <cell r="H1229">
            <v>283.62</v>
          </cell>
        </row>
        <row r="1230">
          <cell r="C1230" t="str">
            <v>17643</v>
          </cell>
          <cell r="D1230" t="str">
            <v>SR AZUL BRILLANTE</v>
          </cell>
          <cell r="H1230">
            <v>877.59</v>
          </cell>
        </row>
        <row r="1231">
          <cell r="C1231" t="str">
            <v>17641</v>
          </cell>
          <cell r="D1231" t="str">
            <v>SR AZUL BRILLANTE</v>
          </cell>
          <cell r="H1231">
            <v>3591.38</v>
          </cell>
        </row>
        <row r="1232">
          <cell r="C1232" t="str">
            <v>17640</v>
          </cell>
          <cell r="D1232" t="str">
            <v>SR AZUL BRILLANTE</v>
          </cell>
          <cell r="H1232">
            <v>41498.28</v>
          </cell>
        </row>
        <row r="1233">
          <cell r="C1233" t="str">
            <v>17583</v>
          </cell>
          <cell r="D1233" t="str">
            <v>S.R. CAFE G.J. E-1821</v>
          </cell>
          <cell r="H1233">
            <v>927.59</v>
          </cell>
        </row>
        <row r="1234">
          <cell r="C1234" t="str">
            <v>17581</v>
          </cell>
          <cell r="D1234" t="str">
            <v>S.R. CAFE G.J. E-1821</v>
          </cell>
          <cell r="H1234">
            <v>3798.28</v>
          </cell>
        </row>
        <row r="1235">
          <cell r="C1235" t="str">
            <v>17563</v>
          </cell>
          <cell r="D1235" t="str">
            <v>SR ROJO OXIDO</v>
          </cell>
          <cell r="H1235">
            <v>794.83</v>
          </cell>
        </row>
        <row r="1236">
          <cell r="C1236" t="str">
            <v>17561</v>
          </cell>
          <cell r="D1236" t="str">
            <v>SR ROJO OXIDO</v>
          </cell>
          <cell r="H1236">
            <v>3798.28</v>
          </cell>
        </row>
        <row r="1237">
          <cell r="C1237" t="str">
            <v>29515</v>
          </cell>
          <cell r="D1237" t="str">
            <v>PULIMENTO CORTE DIAMANTE 500 ML</v>
          </cell>
          <cell r="H1237">
            <v>225</v>
          </cell>
        </row>
        <row r="1238">
          <cell r="C1238" t="str">
            <v>29284</v>
          </cell>
          <cell r="D1238" t="str">
            <v>CATALIZADOR P/RELL ROJO "25GRS"</v>
          </cell>
          <cell r="H1238">
            <v>29.31</v>
          </cell>
        </row>
        <row r="1239">
          <cell r="C1239" t="str">
            <v>29283</v>
          </cell>
          <cell r="D1239" t="str">
            <v>CATALIZADOR P/RELL ROJO "95GRS"</v>
          </cell>
          <cell r="H1239">
            <v>78.45</v>
          </cell>
        </row>
        <row r="1240">
          <cell r="C1240" t="str">
            <v>28984</v>
          </cell>
          <cell r="D1240" t="str">
            <v>BRILLON NEGRO</v>
          </cell>
          <cell r="H1240">
            <v>112.93</v>
          </cell>
        </row>
        <row r="1241">
          <cell r="C1241" t="str">
            <v>28775</v>
          </cell>
          <cell r="D1241" t="str">
            <v>BRILLON VERDE SELVA</v>
          </cell>
          <cell r="H1241">
            <v>67.239999999999995</v>
          </cell>
        </row>
        <row r="1242">
          <cell r="C1242" t="str">
            <v>28585</v>
          </cell>
          <cell r="D1242" t="str">
            <v>BRILLON CACAO</v>
          </cell>
          <cell r="H1242">
            <v>67.239999999999995</v>
          </cell>
        </row>
        <row r="1243">
          <cell r="C1243" t="str">
            <v>28005</v>
          </cell>
          <cell r="D1243" t="str">
            <v>BRILLON BLANCO</v>
          </cell>
          <cell r="H1243">
            <v>67.239999999999995</v>
          </cell>
        </row>
        <row r="1244">
          <cell r="C1244" t="str">
            <v>29264</v>
          </cell>
          <cell r="D1244" t="str">
            <v>CATALIZADOR P/RELL ROJO (25GRS)</v>
          </cell>
          <cell r="H1244">
            <v>16.38</v>
          </cell>
        </row>
        <row r="1245">
          <cell r="C1245" t="str">
            <v>28895</v>
          </cell>
          <cell r="D1245" t="str">
            <v>BARNIZ ALQUIDALICO NOGAL</v>
          </cell>
          <cell r="H1245">
            <v>110.34</v>
          </cell>
        </row>
        <row r="1246">
          <cell r="C1246" t="str">
            <v>28885</v>
          </cell>
          <cell r="D1246" t="str">
            <v>BARNIZ ALQUIDALICO CAOBA</v>
          </cell>
          <cell r="H1246">
            <v>110.34</v>
          </cell>
        </row>
        <row r="1247">
          <cell r="C1247" t="str">
            <v>28845</v>
          </cell>
          <cell r="D1247" t="str">
            <v>BARNIZ ALQUIDALICO CEDRO</v>
          </cell>
          <cell r="H1247">
            <v>137.07</v>
          </cell>
        </row>
        <row r="1248">
          <cell r="C1248" t="str">
            <v>28986</v>
          </cell>
          <cell r="D1248" t="str">
            <v>BRILLON NEGRO</v>
          </cell>
          <cell r="H1248">
            <v>43.97</v>
          </cell>
        </row>
        <row r="1249">
          <cell r="C1249" t="str">
            <v>28985</v>
          </cell>
          <cell r="D1249" t="str">
            <v>BRILLON NEGRO</v>
          </cell>
          <cell r="H1249">
            <v>67.239999999999995</v>
          </cell>
        </row>
        <row r="1250">
          <cell r="C1250" t="str">
            <v>28981</v>
          </cell>
          <cell r="D1250" t="str">
            <v>BRILLON NEGRO</v>
          </cell>
          <cell r="H1250">
            <v>1733.62</v>
          </cell>
        </row>
        <row r="1251">
          <cell r="C1251" t="str">
            <v>28966</v>
          </cell>
          <cell r="D1251" t="str">
            <v>BRILLON NEGRO MATE</v>
          </cell>
          <cell r="H1251">
            <v>43.97</v>
          </cell>
        </row>
        <row r="1252">
          <cell r="C1252" t="str">
            <v>28965</v>
          </cell>
          <cell r="D1252" t="str">
            <v>BRILLON NEGRO MATE</v>
          </cell>
          <cell r="H1252">
            <v>67.239999999999995</v>
          </cell>
        </row>
        <row r="1253">
          <cell r="C1253" t="str">
            <v>28964</v>
          </cell>
          <cell r="D1253" t="str">
            <v>BRILLON NEGRO MATE</v>
          </cell>
          <cell r="H1253">
            <v>112.93</v>
          </cell>
        </row>
        <row r="1254">
          <cell r="C1254" t="str">
            <v>28961</v>
          </cell>
          <cell r="D1254" t="str">
            <v>BRILLON NEGRO MATE</v>
          </cell>
          <cell r="H1254">
            <v>1733.62</v>
          </cell>
        </row>
        <row r="1255">
          <cell r="C1255" t="str">
            <v>28944</v>
          </cell>
          <cell r="D1255" t="str">
            <v>BARNIZ ALQUIDALICO MAPLE</v>
          </cell>
          <cell r="H1255">
            <v>207.76</v>
          </cell>
        </row>
        <row r="1256">
          <cell r="C1256" t="str">
            <v>28943</v>
          </cell>
          <cell r="D1256" t="str">
            <v>BARNIZ ALQUIDALICO MAPLE</v>
          </cell>
          <cell r="H1256">
            <v>725.86</v>
          </cell>
        </row>
        <row r="1257">
          <cell r="C1257" t="str">
            <v>28936</v>
          </cell>
          <cell r="D1257" t="str">
            <v>BRILLON GRIS</v>
          </cell>
          <cell r="H1257">
            <v>43.97</v>
          </cell>
        </row>
        <row r="1258">
          <cell r="C1258" t="str">
            <v>28935</v>
          </cell>
          <cell r="D1258" t="str">
            <v>BRILLON GRIS</v>
          </cell>
          <cell r="H1258">
            <v>67.239999999999995</v>
          </cell>
        </row>
        <row r="1259">
          <cell r="C1259" t="str">
            <v>28931</v>
          </cell>
          <cell r="D1259" t="str">
            <v>BRILLON GRIS</v>
          </cell>
          <cell r="H1259">
            <v>1733.62</v>
          </cell>
        </row>
        <row r="1260">
          <cell r="C1260" t="str">
            <v>28924</v>
          </cell>
          <cell r="D1260" t="str">
            <v>BASE MATIZANTE</v>
          </cell>
          <cell r="H1260">
            <v>252.59</v>
          </cell>
        </row>
        <row r="1261">
          <cell r="C1261" t="str">
            <v>28923</v>
          </cell>
          <cell r="D1261" t="str">
            <v>BASE MATIZANTE</v>
          </cell>
          <cell r="H1261">
            <v>861.21</v>
          </cell>
        </row>
        <row r="1262">
          <cell r="C1262" t="str">
            <v>28916</v>
          </cell>
          <cell r="D1262" t="str">
            <v>BRILLON DORADO</v>
          </cell>
          <cell r="H1262">
            <v>43.97</v>
          </cell>
        </row>
        <row r="1263">
          <cell r="C1263" t="str">
            <v>28915</v>
          </cell>
          <cell r="D1263" t="str">
            <v>BRILLON DORADO</v>
          </cell>
          <cell r="H1263">
            <v>43.97</v>
          </cell>
        </row>
        <row r="1264">
          <cell r="C1264" t="str">
            <v>28913</v>
          </cell>
          <cell r="D1264" t="str">
            <v>BRILLON DORADO</v>
          </cell>
          <cell r="H1264">
            <v>401.72</v>
          </cell>
        </row>
        <row r="1265">
          <cell r="C1265" t="str">
            <v>28904</v>
          </cell>
          <cell r="D1265" t="str">
            <v>BARNIZ ALQUIDALICO BURDEOS</v>
          </cell>
          <cell r="H1265">
            <v>205.17</v>
          </cell>
        </row>
        <row r="1266">
          <cell r="C1266" t="str">
            <v>28903</v>
          </cell>
          <cell r="D1266" t="str">
            <v>BARNIZ ALQUIDALICO BURDEOS</v>
          </cell>
          <cell r="H1266">
            <v>725.86</v>
          </cell>
        </row>
        <row r="1267">
          <cell r="C1267" t="str">
            <v>28894</v>
          </cell>
          <cell r="D1267" t="str">
            <v>BARNIZ ALQUIDALICO NOGAL</v>
          </cell>
          <cell r="H1267">
            <v>207.76</v>
          </cell>
        </row>
        <row r="1268">
          <cell r="C1268" t="str">
            <v>28893</v>
          </cell>
          <cell r="D1268" t="str">
            <v>BARNIZ ALQUIDALICO NOGAL</v>
          </cell>
          <cell r="H1268">
            <v>812.93</v>
          </cell>
        </row>
        <row r="1269">
          <cell r="C1269" t="str">
            <v>28886</v>
          </cell>
          <cell r="D1269" t="str">
            <v>BARNIZ ALQUIDALICO CAOBA</v>
          </cell>
          <cell r="H1269">
            <v>56.03</v>
          </cell>
        </row>
        <row r="1270">
          <cell r="C1270" t="str">
            <v>28883</v>
          </cell>
          <cell r="D1270" t="str">
            <v>BARNIZ ALQUIDALICO CAOBA</v>
          </cell>
          <cell r="H1270">
            <v>812.93</v>
          </cell>
        </row>
        <row r="1271">
          <cell r="C1271" t="str">
            <v>28863</v>
          </cell>
          <cell r="D1271" t="str">
            <v>BARNIZ ALQ. ROBLE AMERICANO</v>
          </cell>
          <cell r="H1271">
            <v>725.86</v>
          </cell>
        </row>
        <row r="1272">
          <cell r="C1272" t="str">
            <v>28856</v>
          </cell>
          <cell r="D1272" t="str">
            <v>BARNIZ ALQUIDALICO ROBLE</v>
          </cell>
          <cell r="H1272">
            <v>56.03</v>
          </cell>
        </row>
        <row r="1273">
          <cell r="C1273" t="str">
            <v>28853</v>
          </cell>
          <cell r="D1273" t="str">
            <v>BARNIZ ALQUIDALICO ROBLE</v>
          </cell>
          <cell r="H1273">
            <v>812.93</v>
          </cell>
        </row>
        <row r="1274">
          <cell r="C1274" t="str">
            <v>28846</v>
          </cell>
          <cell r="D1274" t="str">
            <v>BARNIZ ALQUIDALICO CEDRO</v>
          </cell>
          <cell r="H1274">
            <v>56.03</v>
          </cell>
        </row>
        <row r="1275">
          <cell r="C1275" t="str">
            <v>28843</v>
          </cell>
          <cell r="D1275" t="str">
            <v>BARNIZ ALQUIDALICO CEDRO</v>
          </cell>
          <cell r="H1275">
            <v>812.93</v>
          </cell>
        </row>
        <row r="1276">
          <cell r="C1276" t="str">
            <v>28824</v>
          </cell>
          <cell r="D1276" t="str">
            <v>BARNIZ ALQUIDALICO PRIMAVERA</v>
          </cell>
          <cell r="H1276">
            <v>207.76</v>
          </cell>
        </row>
        <row r="1277">
          <cell r="C1277" t="str">
            <v>28823</v>
          </cell>
          <cell r="D1277" t="str">
            <v>BARNIZ ALQUIDALICO PRIMAVERA</v>
          </cell>
          <cell r="H1277">
            <v>812.93</v>
          </cell>
        </row>
        <row r="1278">
          <cell r="C1278" t="str">
            <v>28806</v>
          </cell>
          <cell r="D1278" t="str">
            <v>BARNIZ ALQ. TRANSP. NATURAL</v>
          </cell>
          <cell r="H1278">
            <v>56.03</v>
          </cell>
        </row>
        <row r="1279">
          <cell r="C1279" t="str">
            <v>28803</v>
          </cell>
          <cell r="D1279" t="str">
            <v>BARNIZ ALQ. TRANSP. NATURAL</v>
          </cell>
          <cell r="H1279">
            <v>497.41</v>
          </cell>
        </row>
        <row r="1280">
          <cell r="C1280" t="str">
            <v>28801</v>
          </cell>
          <cell r="D1280" t="str">
            <v>BARNIZ ALQ. TRANSP. NATURAL</v>
          </cell>
          <cell r="H1280">
            <v>2958.62</v>
          </cell>
        </row>
        <row r="1281">
          <cell r="C1281" t="str">
            <v>28776</v>
          </cell>
          <cell r="D1281" t="str">
            <v>BRILLON VERDE SELVA</v>
          </cell>
          <cell r="H1281">
            <v>43.97</v>
          </cell>
        </row>
        <row r="1282">
          <cell r="C1282" t="str">
            <v>28771</v>
          </cell>
          <cell r="D1282" t="str">
            <v>BRILLON VERDE SELVA</v>
          </cell>
          <cell r="H1282">
            <v>1733.62</v>
          </cell>
        </row>
        <row r="1283">
          <cell r="C1283" t="str">
            <v>28756</v>
          </cell>
          <cell r="D1283" t="str">
            <v>BRILLON VERDE KIWI</v>
          </cell>
          <cell r="H1283">
            <v>43.97</v>
          </cell>
        </row>
        <row r="1284">
          <cell r="C1284" t="str">
            <v>28755</v>
          </cell>
          <cell r="D1284" t="str">
            <v>BRILLON VERDE KIWI</v>
          </cell>
          <cell r="H1284">
            <v>43.97</v>
          </cell>
        </row>
        <row r="1285">
          <cell r="C1285" t="str">
            <v>28754</v>
          </cell>
          <cell r="D1285" t="str">
            <v>BRILLON VERDE KIWI</v>
          </cell>
          <cell r="H1285">
            <v>112.93</v>
          </cell>
        </row>
        <row r="1286">
          <cell r="C1286" t="str">
            <v>28753</v>
          </cell>
          <cell r="D1286" t="str">
            <v>BRILLON VERDE KIWI</v>
          </cell>
          <cell r="H1286">
            <v>401.72</v>
          </cell>
        </row>
        <row r="1287">
          <cell r="C1287" t="str">
            <v>28716</v>
          </cell>
          <cell r="D1287" t="str">
            <v>BRILLON VERDE LIMA</v>
          </cell>
          <cell r="H1287">
            <v>43.97</v>
          </cell>
        </row>
        <row r="1288">
          <cell r="C1288" t="str">
            <v>28715</v>
          </cell>
          <cell r="D1288" t="str">
            <v>BRILLON VERDE LIMA</v>
          </cell>
          <cell r="H1288">
            <v>67.239999999999995</v>
          </cell>
        </row>
        <row r="1289">
          <cell r="C1289" t="str">
            <v>28714</v>
          </cell>
          <cell r="D1289" t="str">
            <v>BRILLON VERDE LIMA</v>
          </cell>
          <cell r="H1289">
            <v>112.93</v>
          </cell>
        </row>
        <row r="1290">
          <cell r="C1290" t="str">
            <v>28713</v>
          </cell>
          <cell r="D1290" t="str">
            <v>BRILLON VERDE LIMA</v>
          </cell>
          <cell r="H1290">
            <v>401.72</v>
          </cell>
        </row>
        <row r="1291">
          <cell r="C1291" t="str">
            <v>28666</v>
          </cell>
          <cell r="D1291" t="str">
            <v>BRILLON AZUL HOLANDES</v>
          </cell>
          <cell r="H1291">
            <v>43.97</v>
          </cell>
        </row>
        <row r="1292">
          <cell r="C1292" t="str">
            <v>28665</v>
          </cell>
          <cell r="D1292" t="str">
            <v>BRILLON AZUL HOLANDES</v>
          </cell>
          <cell r="H1292">
            <v>67.239999999999995</v>
          </cell>
        </row>
        <row r="1293">
          <cell r="C1293" t="str">
            <v>28664</v>
          </cell>
          <cell r="D1293" t="str">
            <v>BRILLON AZUL HOLANDES</v>
          </cell>
          <cell r="H1293">
            <v>112.93</v>
          </cell>
        </row>
        <row r="1294">
          <cell r="C1294" t="str">
            <v>28656</v>
          </cell>
          <cell r="D1294" t="str">
            <v>BRILLON AZUL IRIS</v>
          </cell>
          <cell r="H1294">
            <v>43.97</v>
          </cell>
        </row>
        <row r="1295">
          <cell r="C1295" t="str">
            <v>28655</v>
          </cell>
          <cell r="D1295" t="str">
            <v>BRILLON AZUL IRIS</v>
          </cell>
          <cell r="H1295">
            <v>67.239999999999995</v>
          </cell>
        </row>
        <row r="1296">
          <cell r="C1296" t="str">
            <v>28654</v>
          </cell>
          <cell r="D1296" t="str">
            <v>BRILLON AZUL IRIS</v>
          </cell>
          <cell r="H1296">
            <v>112.93</v>
          </cell>
        </row>
        <row r="1297">
          <cell r="C1297" t="str">
            <v>28651</v>
          </cell>
          <cell r="D1297" t="str">
            <v>BRILLON AZUL IRIS</v>
          </cell>
          <cell r="H1297">
            <v>1733.62</v>
          </cell>
        </row>
        <row r="1298">
          <cell r="C1298" t="str">
            <v>28646</v>
          </cell>
          <cell r="D1298" t="str">
            <v>BRILLON AZUL AGUA</v>
          </cell>
          <cell r="H1298">
            <v>43.97</v>
          </cell>
        </row>
        <row r="1299">
          <cell r="C1299" t="str">
            <v>28645</v>
          </cell>
          <cell r="D1299" t="str">
            <v>BRILLON AZUL AGUA</v>
          </cell>
          <cell r="H1299">
            <v>67.239999999999995</v>
          </cell>
        </row>
        <row r="1300">
          <cell r="C1300" t="str">
            <v>28644</v>
          </cell>
          <cell r="D1300" t="str">
            <v>BRILLON AZUL AGUA</v>
          </cell>
          <cell r="H1300">
            <v>112.93</v>
          </cell>
        </row>
        <row r="1301">
          <cell r="C1301" t="str">
            <v>28641</v>
          </cell>
          <cell r="D1301" t="str">
            <v>BRILLON AZUL AGUA</v>
          </cell>
          <cell r="H1301">
            <v>1733.62</v>
          </cell>
        </row>
        <row r="1302">
          <cell r="C1302" t="str">
            <v>28636</v>
          </cell>
          <cell r="D1302" t="str">
            <v>BRILLON MENTA</v>
          </cell>
          <cell r="H1302">
            <v>43.97</v>
          </cell>
        </row>
        <row r="1303">
          <cell r="C1303" t="str">
            <v>28635</v>
          </cell>
          <cell r="D1303" t="str">
            <v>BRILLON MENTA</v>
          </cell>
          <cell r="H1303">
            <v>67.239999999999995</v>
          </cell>
        </row>
        <row r="1304">
          <cell r="C1304" t="str">
            <v>28634</v>
          </cell>
          <cell r="D1304" t="str">
            <v>BRILLON MENTA</v>
          </cell>
          <cell r="H1304">
            <v>112.93</v>
          </cell>
        </row>
        <row r="1305">
          <cell r="C1305" t="str">
            <v>28633</v>
          </cell>
          <cell r="D1305" t="str">
            <v>BRILLON MENTA</v>
          </cell>
          <cell r="H1305">
            <v>401.72</v>
          </cell>
        </row>
        <row r="1306">
          <cell r="C1306" t="str">
            <v>28586</v>
          </cell>
          <cell r="D1306" t="str">
            <v>BRILLON CACAO</v>
          </cell>
          <cell r="H1306">
            <v>43.97</v>
          </cell>
        </row>
        <row r="1307">
          <cell r="C1307" t="str">
            <v>28584</v>
          </cell>
          <cell r="D1307" t="str">
            <v>BRILLON CACAO</v>
          </cell>
          <cell r="H1307">
            <v>112.93</v>
          </cell>
        </row>
        <row r="1308">
          <cell r="C1308" t="str">
            <v>28576</v>
          </cell>
          <cell r="D1308" t="str">
            <v>BRILLON CANELA</v>
          </cell>
          <cell r="H1308">
            <v>43.97</v>
          </cell>
        </row>
        <row r="1309">
          <cell r="C1309" t="str">
            <v>28575</v>
          </cell>
          <cell r="D1309" t="str">
            <v>BRILLON CANELA</v>
          </cell>
          <cell r="H1309">
            <v>67.239999999999995</v>
          </cell>
        </row>
        <row r="1310">
          <cell r="C1310" t="str">
            <v>28574</v>
          </cell>
          <cell r="D1310" t="str">
            <v>BRILLON CANELA</v>
          </cell>
          <cell r="H1310">
            <v>112.93</v>
          </cell>
        </row>
        <row r="1311">
          <cell r="C1311" t="str">
            <v>28566</v>
          </cell>
          <cell r="D1311" t="str">
            <v>BRILLON TAMARINDO</v>
          </cell>
          <cell r="H1311">
            <v>43.97</v>
          </cell>
        </row>
        <row r="1312">
          <cell r="C1312" t="str">
            <v>28565</v>
          </cell>
          <cell r="D1312" t="str">
            <v>BRILLON TAMARINDO</v>
          </cell>
          <cell r="H1312">
            <v>67.239999999999995</v>
          </cell>
        </row>
        <row r="1313">
          <cell r="C1313" t="str">
            <v>28564</v>
          </cell>
          <cell r="D1313" t="str">
            <v>BRILLON TAMARINDO</v>
          </cell>
          <cell r="H1313">
            <v>112.93</v>
          </cell>
        </row>
        <row r="1314">
          <cell r="C1314" t="str">
            <v>28496</v>
          </cell>
          <cell r="D1314" t="str">
            <v>BRILLON MORA</v>
          </cell>
          <cell r="H1314">
            <v>43.97</v>
          </cell>
        </row>
        <row r="1315">
          <cell r="C1315" t="str">
            <v>28495</v>
          </cell>
          <cell r="D1315" t="str">
            <v>BRILLON MORA</v>
          </cell>
          <cell r="H1315">
            <v>67.239999999999995</v>
          </cell>
        </row>
        <row r="1316">
          <cell r="C1316" t="str">
            <v>28494</v>
          </cell>
          <cell r="D1316" t="str">
            <v>BRILLON MORA</v>
          </cell>
          <cell r="H1316">
            <v>112.93</v>
          </cell>
        </row>
        <row r="1317">
          <cell r="C1317" t="str">
            <v>28493</v>
          </cell>
          <cell r="D1317" t="str">
            <v>BRILLON MORA</v>
          </cell>
          <cell r="H1317">
            <v>401.72</v>
          </cell>
        </row>
        <row r="1318">
          <cell r="C1318" t="str">
            <v>28456</v>
          </cell>
          <cell r="D1318" t="str">
            <v>BRILLON SANDIA</v>
          </cell>
          <cell r="H1318">
            <v>43.97</v>
          </cell>
        </row>
        <row r="1319">
          <cell r="C1319" t="str">
            <v>28455</v>
          </cell>
          <cell r="D1319" t="str">
            <v>BRILLON SANDIA</v>
          </cell>
          <cell r="H1319">
            <v>67.239999999999995</v>
          </cell>
        </row>
        <row r="1320">
          <cell r="C1320" t="str">
            <v>28454</v>
          </cell>
          <cell r="D1320" t="str">
            <v>BRILLON SANDIA</v>
          </cell>
          <cell r="H1320">
            <v>112.93</v>
          </cell>
        </row>
        <row r="1321">
          <cell r="C1321" t="str">
            <v>28451</v>
          </cell>
          <cell r="D1321" t="str">
            <v>BRILLON SANDIA</v>
          </cell>
          <cell r="H1321">
            <v>1733.62</v>
          </cell>
        </row>
        <row r="1322">
          <cell r="C1322" t="str">
            <v>28446</v>
          </cell>
          <cell r="D1322" t="str">
            <v>BRILLON PITAYA</v>
          </cell>
          <cell r="H1322">
            <v>43.97</v>
          </cell>
        </row>
        <row r="1323">
          <cell r="C1323" t="str">
            <v>28445</v>
          </cell>
          <cell r="D1323" t="str">
            <v>BRILLON PITAYA</v>
          </cell>
          <cell r="H1323">
            <v>67.239999999999995</v>
          </cell>
        </row>
        <row r="1324">
          <cell r="C1324" t="str">
            <v>28444</v>
          </cell>
          <cell r="D1324" t="str">
            <v>BRILLON PITAYA</v>
          </cell>
          <cell r="H1324">
            <v>112.93</v>
          </cell>
        </row>
        <row r="1325">
          <cell r="C1325" t="str">
            <v>28443</v>
          </cell>
          <cell r="D1325" t="str">
            <v>BRILLON PITAYA</v>
          </cell>
          <cell r="H1325">
            <v>401.72</v>
          </cell>
        </row>
        <row r="1326">
          <cell r="C1326" t="str">
            <v>28356</v>
          </cell>
          <cell r="D1326" t="str">
            <v>BRILLON MANDARINA</v>
          </cell>
          <cell r="H1326">
            <v>43.97</v>
          </cell>
        </row>
        <row r="1327">
          <cell r="C1327" t="str">
            <v>28355</v>
          </cell>
          <cell r="D1327" t="str">
            <v>BRILLON MANDARINA</v>
          </cell>
          <cell r="H1327">
            <v>67.239999999999995</v>
          </cell>
        </row>
        <row r="1328">
          <cell r="C1328" t="str">
            <v>28354</v>
          </cell>
          <cell r="D1328" t="str">
            <v>BRILLON MANDARINA</v>
          </cell>
          <cell r="H1328">
            <v>112.93</v>
          </cell>
        </row>
        <row r="1329">
          <cell r="C1329" t="str">
            <v>28351</v>
          </cell>
          <cell r="D1329" t="str">
            <v>BRILLON MANDARINA</v>
          </cell>
          <cell r="H1329">
            <v>1733.62</v>
          </cell>
        </row>
        <row r="1330">
          <cell r="C1330" t="str">
            <v>28306</v>
          </cell>
          <cell r="D1330" t="str">
            <v>BRILLON DURAZNO</v>
          </cell>
          <cell r="H1330">
            <v>43.97</v>
          </cell>
        </row>
        <row r="1331">
          <cell r="C1331" t="str">
            <v>28305</v>
          </cell>
          <cell r="D1331" t="str">
            <v>BRILLON DURAZNO</v>
          </cell>
          <cell r="H1331">
            <v>67.239999999999995</v>
          </cell>
        </row>
        <row r="1332">
          <cell r="C1332" t="str">
            <v>28266</v>
          </cell>
          <cell r="D1332" t="str">
            <v>BRILLON CALABAZA</v>
          </cell>
          <cell r="H1332">
            <v>43.97</v>
          </cell>
        </row>
        <row r="1333">
          <cell r="C1333" t="str">
            <v>28265</v>
          </cell>
          <cell r="D1333" t="str">
            <v>BRILLON CALABAZA</v>
          </cell>
          <cell r="H1333">
            <v>67.239999999999995</v>
          </cell>
        </row>
        <row r="1334">
          <cell r="C1334" t="str">
            <v>28264</v>
          </cell>
          <cell r="D1334" t="str">
            <v>BRILLON CALABAZA</v>
          </cell>
          <cell r="H1334">
            <v>112.93</v>
          </cell>
        </row>
        <row r="1335">
          <cell r="C1335" t="str">
            <v>28216</v>
          </cell>
          <cell r="D1335" t="str">
            <v>BRILLON GUAYABA</v>
          </cell>
          <cell r="H1335">
            <v>43.97</v>
          </cell>
        </row>
        <row r="1336">
          <cell r="C1336" t="str">
            <v>28215</v>
          </cell>
          <cell r="D1336" t="str">
            <v>BRILLON GUAYABA</v>
          </cell>
          <cell r="H1336">
            <v>67.239999999999995</v>
          </cell>
        </row>
        <row r="1337">
          <cell r="C1337" t="str">
            <v>28214</v>
          </cell>
          <cell r="D1337" t="str">
            <v>BRILLON GUAYABA</v>
          </cell>
          <cell r="H1337">
            <v>112.93</v>
          </cell>
        </row>
        <row r="1338">
          <cell r="C1338" t="str">
            <v>28156</v>
          </cell>
          <cell r="D1338" t="str">
            <v>BRILLON AMARILLO MANGO</v>
          </cell>
          <cell r="H1338">
            <v>43.97</v>
          </cell>
        </row>
        <row r="1339">
          <cell r="C1339" t="str">
            <v>28155</v>
          </cell>
          <cell r="D1339" t="str">
            <v>BRILLON AMARILLO MANGO</v>
          </cell>
          <cell r="H1339">
            <v>67.239999999999995</v>
          </cell>
        </row>
        <row r="1340">
          <cell r="C1340" t="str">
            <v>28154</v>
          </cell>
          <cell r="D1340" t="str">
            <v>BRILLON AMARILLO MANGO</v>
          </cell>
          <cell r="H1340">
            <v>112.93</v>
          </cell>
        </row>
        <row r="1341">
          <cell r="C1341" t="str">
            <v>28151</v>
          </cell>
          <cell r="D1341" t="str">
            <v>BRILLON AMARILLO MANGO</v>
          </cell>
          <cell r="H1341">
            <v>1733.62</v>
          </cell>
        </row>
        <row r="1342">
          <cell r="C1342" t="str">
            <v>28136</v>
          </cell>
          <cell r="D1342" t="str">
            <v>BRILLON AMARILLO LIMON</v>
          </cell>
          <cell r="H1342">
            <v>43.97</v>
          </cell>
        </row>
        <row r="1343">
          <cell r="C1343" t="str">
            <v>28135</v>
          </cell>
          <cell r="D1343" t="str">
            <v>BRILLON AMARILLO LIMON</v>
          </cell>
          <cell r="H1343">
            <v>67.239999999999995</v>
          </cell>
        </row>
        <row r="1344">
          <cell r="C1344" t="str">
            <v>28106</v>
          </cell>
          <cell r="D1344" t="str">
            <v>BRILLON ALUMINIO</v>
          </cell>
          <cell r="H1344">
            <v>43.97</v>
          </cell>
        </row>
        <row r="1345">
          <cell r="C1345" t="str">
            <v>28105</v>
          </cell>
          <cell r="D1345" t="str">
            <v>BRILLON ALUMINIO</v>
          </cell>
          <cell r="H1345">
            <v>67.239999999999995</v>
          </cell>
        </row>
        <row r="1346">
          <cell r="C1346" t="str">
            <v>28104</v>
          </cell>
          <cell r="D1346" t="str">
            <v>BRILLON ALUMINIO</v>
          </cell>
          <cell r="H1346">
            <v>112.93</v>
          </cell>
        </row>
        <row r="1347">
          <cell r="C1347" t="str">
            <v>28101</v>
          </cell>
          <cell r="D1347" t="str">
            <v>BRILLON ALUMINIO</v>
          </cell>
          <cell r="H1347">
            <v>1733.62</v>
          </cell>
        </row>
        <row r="1348">
          <cell r="C1348" t="str">
            <v>28036</v>
          </cell>
          <cell r="D1348" t="str">
            <v>BRILLON BLANCO COCO</v>
          </cell>
          <cell r="H1348">
            <v>43.97</v>
          </cell>
        </row>
        <row r="1349">
          <cell r="C1349" t="str">
            <v>28035</v>
          </cell>
          <cell r="D1349" t="str">
            <v>BRILLON BLANCO COCO</v>
          </cell>
          <cell r="H1349">
            <v>67.239999999999995</v>
          </cell>
        </row>
        <row r="1350">
          <cell r="C1350" t="str">
            <v>28034</v>
          </cell>
          <cell r="D1350" t="str">
            <v>BRILLON BLANCO COCO</v>
          </cell>
          <cell r="H1350">
            <v>112.93</v>
          </cell>
        </row>
        <row r="1351">
          <cell r="C1351" t="str">
            <v>28016</v>
          </cell>
          <cell r="D1351" t="str">
            <v>BRILLON BLANCO MATE</v>
          </cell>
          <cell r="H1351">
            <v>43.97</v>
          </cell>
        </row>
        <row r="1352">
          <cell r="C1352" t="str">
            <v>28015</v>
          </cell>
          <cell r="D1352" t="str">
            <v>BRILLON BLANCO MATE</v>
          </cell>
          <cell r="H1352">
            <v>67.239999999999995</v>
          </cell>
        </row>
        <row r="1353">
          <cell r="C1353" t="str">
            <v>28014</v>
          </cell>
          <cell r="D1353" t="str">
            <v>BRILLON BLANCO MATE</v>
          </cell>
          <cell r="H1353">
            <v>112.93</v>
          </cell>
        </row>
        <row r="1354">
          <cell r="C1354" t="str">
            <v>28011</v>
          </cell>
          <cell r="D1354" t="str">
            <v>BRILLON BLANCO MATE</v>
          </cell>
          <cell r="H1354">
            <v>1733.62</v>
          </cell>
        </row>
        <row r="1355">
          <cell r="C1355" t="str">
            <v>28006</v>
          </cell>
          <cell r="D1355" t="str">
            <v>BRILLON BLANCO</v>
          </cell>
          <cell r="H1355">
            <v>43.97</v>
          </cell>
        </row>
        <row r="1356">
          <cell r="C1356" t="str">
            <v>28001</v>
          </cell>
          <cell r="D1356" t="str">
            <v>ESMALTE BRILLON BLANCO.</v>
          </cell>
          <cell r="H1356">
            <v>1733.62</v>
          </cell>
        </row>
        <row r="1357">
          <cell r="C1357" t="str">
            <v>27804</v>
          </cell>
          <cell r="D1357" t="str">
            <v>BARNIZ ALQUIDALICO COLOREX NATURAL</v>
          </cell>
          <cell r="H1357">
            <v>256.02999999999997</v>
          </cell>
        </row>
        <row r="1358">
          <cell r="C1358" t="str">
            <v>27803</v>
          </cell>
          <cell r="D1358" t="str">
            <v>BARNIZ ALQUIDALICO COLOREX NATURAL</v>
          </cell>
          <cell r="H1358">
            <v>767.24</v>
          </cell>
        </row>
        <row r="1359">
          <cell r="C1359" t="str">
            <v>27801</v>
          </cell>
          <cell r="D1359" t="str">
            <v>BARNIZ ALQUIDALICO COLOREX NATURAL</v>
          </cell>
          <cell r="H1359">
            <v>3152.59</v>
          </cell>
        </row>
        <row r="1360">
          <cell r="C1360" t="str">
            <v>17551</v>
          </cell>
          <cell r="D1360" t="str">
            <v>TRAFICO ROJO SCT</v>
          </cell>
          <cell r="H1360">
            <v>3388.79</v>
          </cell>
        </row>
        <row r="1361">
          <cell r="C1361" t="str">
            <v>17454</v>
          </cell>
          <cell r="D1361" t="str">
            <v>SR ROJO</v>
          </cell>
          <cell r="H1361">
            <v>298.27999999999997</v>
          </cell>
        </row>
        <row r="1362">
          <cell r="C1362" t="str">
            <v>17453</v>
          </cell>
          <cell r="D1362" t="str">
            <v>SR ROJO</v>
          </cell>
          <cell r="H1362">
            <v>1026.72</v>
          </cell>
        </row>
        <row r="1363">
          <cell r="C1363" t="str">
            <v>17451</v>
          </cell>
          <cell r="D1363" t="str">
            <v>SR ROJO</v>
          </cell>
          <cell r="H1363">
            <v>3591.38</v>
          </cell>
        </row>
        <row r="1364">
          <cell r="C1364" t="str">
            <v>17450</v>
          </cell>
          <cell r="D1364" t="str">
            <v>SR ROJO</v>
          </cell>
          <cell r="H1364">
            <v>41895.69</v>
          </cell>
        </row>
        <row r="1365">
          <cell r="C1365" t="str">
            <v>17354</v>
          </cell>
          <cell r="D1365" t="str">
            <v>SR NARANJA</v>
          </cell>
          <cell r="H1365">
            <v>328.45</v>
          </cell>
        </row>
        <row r="1366">
          <cell r="C1366" t="str">
            <v>17353</v>
          </cell>
          <cell r="D1366" t="str">
            <v>SR NARANJA</v>
          </cell>
          <cell r="H1366">
            <v>972.41</v>
          </cell>
        </row>
        <row r="1367">
          <cell r="C1367" t="str">
            <v>17351</v>
          </cell>
          <cell r="D1367" t="str">
            <v>SR NARANJA</v>
          </cell>
          <cell r="H1367">
            <v>4661.21</v>
          </cell>
        </row>
        <row r="1368">
          <cell r="C1368" t="str">
            <v>17350</v>
          </cell>
          <cell r="D1368" t="str">
            <v>SR NARANJA</v>
          </cell>
          <cell r="H1368">
            <v>46285.34</v>
          </cell>
        </row>
        <row r="1369">
          <cell r="C1369" t="str">
            <v>17263</v>
          </cell>
          <cell r="D1369" t="str">
            <v>SR AMARILLO OXIDO</v>
          </cell>
          <cell r="H1369">
            <v>1026.72</v>
          </cell>
        </row>
        <row r="1370">
          <cell r="C1370" t="str">
            <v>17261</v>
          </cell>
          <cell r="D1370" t="str">
            <v>SR AMARILLO OXIDO</v>
          </cell>
          <cell r="H1370">
            <v>4216.38</v>
          </cell>
        </row>
        <row r="1371">
          <cell r="C1371" t="str">
            <v>17243</v>
          </cell>
          <cell r="D1371" t="str">
            <v>S.R. BEIGE ARENA E-1716</v>
          </cell>
          <cell r="H1371">
            <v>1036.21</v>
          </cell>
        </row>
        <row r="1372">
          <cell r="C1372" t="str">
            <v>17241</v>
          </cell>
          <cell r="D1372" t="str">
            <v>S.R. BEIGE ARENA E-1716</v>
          </cell>
          <cell r="H1372">
            <v>4256.8999999999996</v>
          </cell>
        </row>
        <row r="1373">
          <cell r="C1373" t="str">
            <v>17214</v>
          </cell>
          <cell r="D1373" t="str">
            <v>SR MARFIL</v>
          </cell>
          <cell r="H1373">
            <v>300.86</v>
          </cell>
        </row>
        <row r="1374">
          <cell r="C1374" t="str">
            <v>17213</v>
          </cell>
          <cell r="D1374" t="str">
            <v>SR MARFIL</v>
          </cell>
          <cell r="H1374">
            <v>1026.72</v>
          </cell>
        </row>
        <row r="1375">
          <cell r="C1375" t="str">
            <v>17211</v>
          </cell>
          <cell r="D1375" t="str">
            <v>SR MARFIL</v>
          </cell>
          <cell r="H1375">
            <v>4031.03</v>
          </cell>
        </row>
        <row r="1376">
          <cell r="C1376" t="str">
            <v>17173</v>
          </cell>
          <cell r="D1376" t="str">
            <v>SR AMARILLO CATERPILLAR</v>
          </cell>
          <cell r="H1376">
            <v>972.41</v>
          </cell>
        </row>
        <row r="1377">
          <cell r="C1377" t="str">
            <v>17171</v>
          </cell>
          <cell r="D1377" t="str">
            <v>SR AMARILLO CATERPILLAR</v>
          </cell>
          <cell r="H1377">
            <v>3973.28</v>
          </cell>
        </row>
        <row r="1378">
          <cell r="C1378" t="str">
            <v>17163</v>
          </cell>
          <cell r="D1378" t="str">
            <v>TRAFICO AMARILLO SCT</v>
          </cell>
          <cell r="H1378">
            <v>900</v>
          </cell>
        </row>
        <row r="1379">
          <cell r="C1379" t="str">
            <v>17161</v>
          </cell>
          <cell r="D1379" t="str">
            <v>TRAFICO AMARILLO SCT</v>
          </cell>
          <cell r="H1379">
            <v>3569.83</v>
          </cell>
        </row>
        <row r="1380">
          <cell r="C1380" t="str">
            <v>17153</v>
          </cell>
          <cell r="D1380" t="str">
            <v>SR AMARILLO MEDIO</v>
          </cell>
          <cell r="H1380">
            <v>1137.07</v>
          </cell>
        </row>
        <row r="1381">
          <cell r="C1381" t="str">
            <v>17151</v>
          </cell>
          <cell r="D1381" t="str">
            <v>SR AMARILLO MEDIO</v>
          </cell>
          <cell r="H1381">
            <v>4661.21</v>
          </cell>
        </row>
        <row r="1382">
          <cell r="C1382" t="str">
            <v>17143</v>
          </cell>
          <cell r="D1382" t="str">
            <v>SR AMARILLO CANARIO</v>
          </cell>
          <cell r="H1382">
            <v>1137.07</v>
          </cell>
        </row>
        <row r="1383">
          <cell r="C1383" t="str">
            <v>17141</v>
          </cell>
          <cell r="D1383" t="str">
            <v>SR AMARILLO CANARIO</v>
          </cell>
          <cell r="H1383">
            <v>3973.28</v>
          </cell>
        </row>
        <row r="1384">
          <cell r="C1384" t="str">
            <v>17073</v>
          </cell>
          <cell r="D1384" t="str">
            <v>S.R. BLANCO OSTION E-1606</v>
          </cell>
          <cell r="H1384">
            <v>1026.72</v>
          </cell>
        </row>
        <row r="1385">
          <cell r="C1385" t="str">
            <v>17071</v>
          </cell>
          <cell r="D1385" t="str">
            <v>S.R. BLANCO OSTION E-1606</v>
          </cell>
          <cell r="H1385">
            <v>4216.38</v>
          </cell>
        </row>
        <row r="1386">
          <cell r="C1386" t="str">
            <v>17031</v>
          </cell>
          <cell r="D1386" t="str">
            <v>TRAFICO BLANCO SCT</v>
          </cell>
          <cell r="H1386">
            <v>3390.52</v>
          </cell>
        </row>
        <row r="1387">
          <cell r="C1387" t="str">
            <v>17004</v>
          </cell>
          <cell r="D1387" t="str">
            <v>SR BLANCO</v>
          </cell>
          <cell r="H1387">
            <v>247.41</v>
          </cell>
        </row>
        <row r="1388">
          <cell r="C1388" t="str">
            <v>17003</v>
          </cell>
          <cell r="D1388" t="str">
            <v>SR BLANCO</v>
          </cell>
          <cell r="H1388">
            <v>877.59</v>
          </cell>
        </row>
        <row r="1389">
          <cell r="C1389" t="str">
            <v>17001</v>
          </cell>
          <cell r="D1389" t="str">
            <v>SR BLANCO</v>
          </cell>
          <cell r="H1389">
            <v>4216.38</v>
          </cell>
        </row>
        <row r="1390">
          <cell r="C1390" t="str">
            <v>17000</v>
          </cell>
          <cell r="D1390" t="str">
            <v>SR BLANCO</v>
          </cell>
          <cell r="H1390">
            <v>35928.449999999997</v>
          </cell>
        </row>
        <row r="1391">
          <cell r="C1391" t="str">
            <v>16991</v>
          </cell>
          <cell r="D1391" t="str">
            <v>HORNEO NEGRO BRILLANTE</v>
          </cell>
          <cell r="H1391">
            <v>2912.07</v>
          </cell>
        </row>
        <row r="1392">
          <cell r="C1392" t="str">
            <v>16990</v>
          </cell>
          <cell r="D1392" t="str">
            <v>HORNEO NEGRO BRILLANTE</v>
          </cell>
          <cell r="H1392">
            <v>34969.83</v>
          </cell>
        </row>
        <row r="1393">
          <cell r="C1393" t="str">
            <v>16981</v>
          </cell>
          <cell r="D1393" t="str">
            <v>HORNEO NEGRO SEMIMATE</v>
          </cell>
          <cell r="H1393">
            <v>3506.03</v>
          </cell>
        </row>
        <row r="1394">
          <cell r="C1394" t="str">
            <v>16891</v>
          </cell>
          <cell r="D1394" t="str">
            <v>HORNEO BARNIZ TRANSPARENTE</v>
          </cell>
          <cell r="H1394">
            <v>3928.45</v>
          </cell>
        </row>
        <row r="1395">
          <cell r="C1395" t="str">
            <v>16890</v>
          </cell>
          <cell r="D1395" t="str">
            <v>HORNEO BARNIZ TRANSPARENTE</v>
          </cell>
          <cell r="H1395">
            <v>39184.480000000003</v>
          </cell>
        </row>
        <row r="1396">
          <cell r="C1396" t="str">
            <v>16851</v>
          </cell>
          <cell r="D1396" t="str">
            <v>MARTILLADO HORNEO GRIS</v>
          </cell>
          <cell r="H1396">
            <v>3297.41</v>
          </cell>
        </row>
        <row r="1397">
          <cell r="C1397" t="str">
            <v>16850</v>
          </cell>
          <cell r="D1397" t="str">
            <v>MARTILLADO HORNEO GRIS</v>
          </cell>
          <cell r="H1397">
            <v>33000.86</v>
          </cell>
        </row>
        <row r="1398">
          <cell r="C1398" t="str">
            <v>16831</v>
          </cell>
          <cell r="D1398" t="str">
            <v>METALICO HORNEO GRIS</v>
          </cell>
          <cell r="H1398">
            <v>3693.1</v>
          </cell>
        </row>
        <row r="1399">
          <cell r="C1399" t="str">
            <v>16830</v>
          </cell>
          <cell r="D1399" t="str">
            <v>METALICO HORNEO GRIS</v>
          </cell>
          <cell r="H1399">
            <v>36782.76</v>
          </cell>
        </row>
        <row r="1400">
          <cell r="C1400" t="str">
            <v>16691</v>
          </cell>
          <cell r="D1400" t="str">
            <v>HORNEO AZUL OBSCURO</v>
          </cell>
          <cell r="H1400">
            <v>4006.9</v>
          </cell>
        </row>
        <row r="1401">
          <cell r="C1401" t="str">
            <v>16690</v>
          </cell>
          <cell r="D1401" t="str">
            <v>HORNEO AZUL OBSCURO</v>
          </cell>
          <cell r="H1401">
            <v>40037.93</v>
          </cell>
        </row>
        <row r="1402">
          <cell r="C1402" t="str">
            <v>16601</v>
          </cell>
          <cell r="D1402" t="str">
            <v>HORNEO AZUL BRILLANTE</v>
          </cell>
          <cell r="H1402">
            <v>4471.55</v>
          </cell>
        </row>
        <row r="1403">
          <cell r="C1403" t="str">
            <v>16600</v>
          </cell>
          <cell r="D1403" t="str">
            <v>HORNEO AZUL BRILLANTE</v>
          </cell>
          <cell r="H1403">
            <v>44644.83</v>
          </cell>
        </row>
        <row r="1404">
          <cell r="C1404" t="str">
            <v>16451</v>
          </cell>
          <cell r="D1404" t="str">
            <v>HORNEO ROJO DICA</v>
          </cell>
          <cell r="H1404">
            <v>4290.5200000000004</v>
          </cell>
        </row>
        <row r="1405">
          <cell r="C1405" t="str">
            <v>16450</v>
          </cell>
          <cell r="D1405" t="str">
            <v>HORNEO ROJO DICA</v>
          </cell>
          <cell r="H1405">
            <v>57879.31</v>
          </cell>
        </row>
        <row r="1406">
          <cell r="C1406" t="str">
            <v>16441</v>
          </cell>
          <cell r="D1406" t="str">
            <v>HORNEO ROJO MUELLE</v>
          </cell>
          <cell r="H1406">
            <v>4424.1400000000003</v>
          </cell>
        </row>
        <row r="1407">
          <cell r="C1407" t="str">
            <v>16351</v>
          </cell>
          <cell r="D1407" t="str">
            <v>HORNEO NARANJA</v>
          </cell>
          <cell r="H1407">
            <v>4650.8599999999997</v>
          </cell>
        </row>
        <row r="1408">
          <cell r="C1408" t="str">
            <v>16350</v>
          </cell>
          <cell r="D1408" t="str">
            <v>HORNEO NARANJA</v>
          </cell>
          <cell r="H1408">
            <v>46560.34</v>
          </cell>
        </row>
        <row r="1409">
          <cell r="C1409" t="str">
            <v>16171</v>
          </cell>
          <cell r="D1409" t="str">
            <v>HORNEO ARENA 1699</v>
          </cell>
          <cell r="H1409">
            <v>4419.83</v>
          </cell>
        </row>
        <row r="1410">
          <cell r="C1410" t="str">
            <v>16170</v>
          </cell>
          <cell r="D1410" t="str">
            <v>HORNEO ARENA 1699</v>
          </cell>
          <cell r="H1410">
            <v>44056.9</v>
          </cell>
        </row>
        <row r="1411">
          <cell r="C1411" t="str">
            <v>16141</v>
          </cell>
          <cell r="D1411" t="str">
            <v>HORNEO AMARILLO CROMO</v>
          </cell>
          <cell r="H1411">
            <v>5092.24</v>
          </cell>
        </row>
        <row r="1412">
          <cell r="C1412" t="str">
            <v>16140</v>
          </cell>
          <cell r="D1412" t="str">
            <v>HORNEO AMARILLO CROMO</v>
          </cell>
          <cell r="H1412">
            <v>50903.45</v>
          </cell>
        </row>
        <row r="1413">
          <cell r="C1413" t="str">
            <v>16003</v>
          </cell>
          <cell r="D1413" t="str">
            <v>HORNEO BLANCO PLUS</v>
          </cell>
          <cell r="H1413">
            <v>1123.28</v>
          </cell>
        </row>
        <row r="1414">
          <cell r="C1414" t="str">
            <v>16001</v>
          </cell>
          <cell r="D1414" t="str">
            <v>HORNEO BLANCO PLUS</v>
          </cell>
          <cell r="H1414">
            <v>3685.34</v>
          </cell>
        </row>
        <row r="1415">
          <cell r="C1415" t="str">
            <v>16000</v>
          </cell>
          <cell r="D1415" t="str">
            <v>HORNEO BLANCO PLUS</v>
          </cell>
          <cell r="H1415">
            <v>44099.14</v>
          </cell>
        </row>
        <row r="1416">
          <cell r="C1416" t="str">
            <v>15994</v>
          </cell>
          <cell r="D1416" t="str">
            <v>PRIMARIO ESTRUCTURAS NEGRO</v>
          </cell>
          <cell r="H1416">
            <v>160.34</v>
          </cell>
        </row>
        <row r="1417">
          <cell r="C1417" t="str">
            <v>15993</v>
          </cell>
          <cell r="D1417" t="str">
            <v>PRIMARIO ESTRUCTURAS NEGRO</v>
          </cell>
          <cell r="H1417">
            <v>548.28</v>
          </cell>
        </row>
        <row r="1418">
          <cell r="C1418" t="str">
            <v>15991</v>
          </cell>
          <cell r="D1418" t="str">
            <v>PRIMARIO ESTRUCTURAS NEGRO</v>
          </cell>
          <cell r="H1418">
            <v>2182.7600000000002</v>
          </cell>
        </row>
        <row r="1419">
          <cell r="C1419" t="str">
            <v>15990</v>
          </cell>
          <cell r="D1419" t="str">
            <v>PRIMARIO ESTRUCTURAS NEGRO</v>
          </cell>
          <cell r="H1419">
            <v>22997.41</v>
          </cell>
        </row>
        <row r="1420">
          <cell r="C1420" t="str">
            <v>15934</v>
          </cell>
          <cell r="D1420" t="str">
            <v>PRIMARIO ESTRUCTURAS GRIS</v>
          </cell>
          <cell r="H1420">
            <v>166.38</v>
          </cell>
        </row>
        <row r="1421">
          <cell r="C1421" t="str">
            <v>15933</v>
          </cell>
          <cell r="D1421" t="str">
            <v>PRIMARIO ESTRUCTURAS GRIS</v>
          </cell>
          <cell r="H1421">
            <v>593.97</v>
          </cell>
        </row>
        <row r="1422">
          <cell r="C1422" t="str">
            <v>15931</v>
          </cell>
          <cell r="D1422" t="str">
            <v>PRIMARIO ESTRUCTURAS GRIS</v>
          </cell>
          <cell r="H1422">
            <v>2301.7199999999998</v>
          </cell>
        </row>
        <row r="1423">
          <cell r="C1423" t="str">
            <v>15930</v>
          </cell>
          <cell r="D1423" t="str">
            <v>PRIMARIO ESTRUCTURAS GRIS</v>
          </cell>
          <cell r="H1423">
            <v>24971.55</v>
          </cell>
        </row>
        <row r="1424">
          <cell r="C1424" t="str">
            <v>15921</v>
          </cell>
          <cell r="D1424" t="str">
            <v>PRIMARIO ESTRUCTURAS GRIS CLARO</v>
          </cell>
          <cell r="H1424">
            <v>3162.07</v>
          </cell>
        </row>
        <row r="1425">
          <cell r="C1425" t="str">
            <v>15920</v>
          </cell>
          <cell r="D1425" t="str">
            <v>PRIMARIO ESTRUCTURAS GRIS CLARO</v>
          </cell>
          <cell r="H1425">
            <v>37289.660000000003</v>
          </cell>
        </row>
        <row r="1426">
          <cell r="C1426" t="str">
            <v>15763</v>
          </cell>
          <cell r="D1426" t="str">
            <v>TRAFICO AMARILLO AYUNTAMIENTO</v>
          </cell>
          <cell r="H1426">
            <v>877.59</v>
          </cell>
        </row>
        <row r="1427">
          <cell r="C1427" t="str">
            <v>15761</v>
          </cell>
          <cell r="D1427" t="str">
            <v>TRAFICO AMARILLO AYUNTAMIENTO</v>
          </cell>
          <cell r="H1427">
            <v>3491.38</v>
          </cell>
        </row>
        <row r="1428">
          <cell r="C1428" t="str">
            <v>15760</v>
          </cell>
          <cell r="D1428" t="str">
            <v>TRAFICO AMARILLO AYUNTAMIENTO</v>
          </cell>
          <cell r="H1428">
            <v>41236.21</v>
          </cell>
        </row>
        <row r="1429">
          <cell r="C1429" t="str">
            <v>15753</v>
          </cell>
          <cell r="D1429" t="str">
            <v>TRAFICO BLANCO</v>
          </cell>
          <cell r="H1429">
            <v>921.55</v>
          </cell>
        </row>
        <row r="1430">
          <cell r="C1430" t="str">
            <v>15751</v>
          </cell>
          <cell r="D1430" t="str">
            <v>TRAFICO BLANCO</v>
          </cell>
          <cell r="H1430">
            <v>3676.72</v>
          </cell>
        </row>
        <row r="1431">
          <cell r="C1431" t="str">
            <v>15750</v>
          </cell>
          <cell r="D1431" t="str">
            <v>TRAFICO BLANCO</v>
          </cell>
          <cell r="H1431">
            <v>36700.86</v>
          </cell>
        </row>
        <row r="1432">
          <cell r="C1432" t="str">
            <v>15564</v>
          </cell>
          <cell r="D1432" t="str">
            <v>PRIMARIO ESTRUCTURAS ROJO OXIDO</v>
          </cell>
          <cell r="H1432">
            <v>166.38</v>
          </cell>
        </row>
        <row r="1433">
          <cell r="C1433" t="str">
            <v>15563</v>
          </cell>
          <cell r="D1433" t="str">
            <v>PRIMARIO ESTRUCTURAS ROJO OXIDO</v>
          </cell>
          <cell r="H1433">
            <v>593.97</v>
          </cell>
        </row>
        <row r="1434">
          <cell r="C1434" t="str">
            <v>15561</v>
          </cell>
          <cell r="D1434" t="str">
            <v>PRIMARIO ESTRUCTURAS ROJO OXIDO</v>
          </cell>
          <cell r="H1434">
            <v>2717.24</v>
          </cell>
        </row>
        <row r="1435">
          <cell r="C1435" t="str">
            <v>15560</v>
          </cell>
          <cell r="D1435" t="str">
            <v>PRIMARIO ESTRUCTURAS ROJO OXIDO</v>
          </cell>
          <cell r="H1435">
            <v>26982.76</v>
          </cell>
        </row>
        <row r="1436">
          <cell r="C1436" t="str">
            <v>15364</v>
          </cell>
          <cell r="D1436" t="str">
            <v>PRIMARIO MINIO OLIMPICA ALK</v>
          </cell>
          <cell r="H1436">
            <v>443.97</v>
          </cell>
        </row>
        <row r="1437">
          <cell r="C1437" t="str">
            <v>15363</v>
          </cell>
          <cell r="D1437" t="str">
            <v>PRIMARIO MINIO OLIMPICA ALK</v>
          </cell>
          <cell r="H1437">
            <v>1355.17</v>
          </cell>
        </row>
        <row r="1438">
          <cell r="C1438" t="str">
            <v>15361</v>
          </cell>
          <cell r="D1438" t="str">
            <v>PRIMARIO MINIO OLIMPICA ALK</v>
          </cell>
          <cell r="H1438">
            <v>5835.34</v>
          </cell>
        </row>
        <row r="1439">
          <cell r="C1439" t="str">
            <v>15344</v>
          </cell>
          <cell r="D1439" t="str">
            <v>FONDO MINIO NARANJA 1288</v>
          </cell>
          <cell r="H1439">
            <v>325.86</v>
          </cell>
        </row>
        <row r="1440">
          <cell r="C1440" t="str">
            <v>15343</v>
          </cell>
          <cell r="D1440" t="str">
            <v>FONDO MINIO NARANJA 1288</v>
          </cell>
          <cell r="H1440">
            <v>1062.07</v>
          </cell>
        </row>
        <row r="1441">
          <cell r="C1441" t="str">
            <v>15341</v>
          </cell>
          <cell r="D1441" t="str">
            <v>FONDO MINIO NARANJA 1288</v>
          </cell>
          <cell r="H1441">
            <v>4588.79</v>
          </cell>
        </row>
        <row r="1442">
          <cell r="C1442" t="str">
            <v>15274</v>
          </cell>
          <cell r="D1442" t="str">
            <v>PRIMARIO CROMATO DE ZINC</v>
          </cell>
          <cell r="H1442">
            <v>264.66000000000003</v>
          </cell>
        </row>
        <row r="1443">
          <cell r="C1443" t="str">
            <v>15273</v>
          </cell>
          <cell r="D1443" t="str">
            <v>PRIMARIO CROMATO DE ZINC</v>
          </cell>
          <cell r="H1443">
            <v>850.86</v>
          </cell>
        </row>
        <row r="1444">
          <cell r="C1444" t="str">
            <v>15271</v>
          </cell>
          <cell r="D1444" t="str">
            <v>PRIMARIO CROMATO DE ZINC</v>
          </cell>
          <cell r="H1444">
            <v>3676.72</v>
          </cell>
        </row>
        <row r="1445">
          <cell r="C1445" t="str">
            <v>14911</v>
          </cell>
          <cell r="D1445" t="str">
            <v>CATALIZADOR P/BARNIZ DE PU 1481</v>
          </cell>
          <cell r="H1445">
            <v>4404.3100000000004</v>
          </cell>
        </row>
        <row r="1446">
          <cell r="C1446" t="str">
            <v>14764</v>
          </cell>
          <cell r="D1446" t="str">
            <v>SELLADOR DE POLIURETANO</v>
          </cell>
          <cell r="H1446">
            <v>200</v>
          </cell>
        </row>
        <row r="1447">
          <cell r="C1447" t="str">
            <v>14761</v>
          </cell>
          <cell r="D1447" t="str">
            <v>SELLADOR DE POLIURETANO</v>
          </cell>
          <cell r="H1447">
            <v>2842.24</v>
          </cell>
        </row>
        <row r="1448">
          <cell r="C1448" t="str">
            <v>14691</v>
          </cell>
          <cell r="D1448" t="str">
            <v>CATALIZADOR PARA SICLA 4599</v>
          </cell>
          <cell r="H1448">
            <v>2287.9299999999998</v>
          </cell>
        </row>
        <row r="1449">
          <cell r="C1449" t="str">
            <v>14243</v>
          </cell>
          <cell r="D1449" t="str">
            <v>BARNIZ DE POLIURETANO MATE</v>
          </cell>
          <cell r="H1449">
            <v>894.83</v>
          </cell>
        </row>
        <row r="1450">
          <cell r="C1450" t="str">
            <v>14001</v>
          </cell>
          <cell r="D1450" t="str">
            <v>PRIMARIO S. R. BLANCO</v>
          </cell>
          <cell r="H1450">
            <v>4156.03</v>
          </cell>
        </row>
        <row r="1451">
          <cell r="C1451" t="str">
            <v>13974</v>
          </cell>
          <cell r="D1451" t="str">
            <v>CONSERV. MAD PENTAPRISA "P/POLILLA"</v>
          </cell>
          <cell r="H1451">
            <v>149.13999999999999</v>
          </cell>
        </row>
        <row r="1452">
          <cell r="C1452" t="str">
            <v>13973</v>
          </cell>
          <cell r="D1452" t="str">
            <v>CONSERV. MAD PENTAPRISA "P/POLILLA"</v>
          </cell>
          <cell r="H1452">
            <v>584.48</v>
          </cell>
        </row>
        <row r="1453">
          <cell r="C1453" t="str">
            <v>13861</v>
          </cell>
          <cell r="D1453" t="str">
            <v>LACA TRANS.ACRILICA P/MAD.BTE.IN</v>
          </cell>
          <cell r="H1453">
            <v>3632.76</v>
          </cell>
        </row>
        <row r="1454">
          <cell r="C1454" t="str">
            <v>13471</v>
          </cell>
          <cell r="D1454" t="str">
            <v>LACA INDUSTRIAL NITROCELULOSA MARRON</v>
          </cell>
          <cell r="H1454">
            <v>5311.21</v>
          </cell>
        </row>
        <row r="1455">
          <cell r="C1455" t="str">
            <v>13443</v>
          </cell>
          <cell r="D1455" t="str">
            <v>LACA INDUSTRIAL DE NITROCELULOSA</v>
          </cell>
          <cell r="H1455">
            <v>562.07000000000005</v>
          </cell>
        </row>
        <row r="1456">
          <cell r="C1456" t="str">
            <v>13354</v>
          </cell>
          <cell r="D1456" t="str">
            <v>LACA INDUSTRIAL DE NITRO NARANJA</v>
          </cell>
          <cell r="H1456">
            <v>246.55</v>
          </cell>
        </row>
        <row r="1457">
          <cell r="C1457" t="str">
            <v>13153</v>
          </cell>
          <cell r="D1457" t="str">
            <v>LACA INDUSTRIAL NITRO AMARILLO CROMO</v>
          </cell>
          <cell r="H1457">
            <v>871.55</v>
          </cell>
        </row>
        <row r="1458">
          <cell r="C1458" t="str">
            <v>12774</v>
          </cell>
          <cell r="D1458" t="str">
            <v>SELLADOR P/MUNEQUEO A.S./A.V.200</v>
          </cell>
          <cell r="H1458">
            <v>234.48</v>
          </cell>
        </row>
        <row r="1459">
          <cell r="C1459" t="str">
            <v>12761</v>
          </cell>
          <cell r="D1459" t="str">
            <v>SELLADOR A.S. ALTA VISCOSIDAD 25</v>
          </cell>
          <cell r="H1459">
            <v>2821.55</v>
          </cell>
        </row>
        <row r="1460">
          <cell r="C1460" t="str">
            <v>12724</v>
          </cell>
          <cell r="D1460" t="str">
            <v>SELLADOR ACRILICO TRANSP. A.DIRE</v>
          </cell>
          <cell r="H1460">
            <v>227.59</v>
          </cell>
        </row>
        <row r="1461">
          <cell r="C1461" t="str">
            <v>11054</v>
          </cell>
          <cell r="D1461" t="str">
            <v>TINTA AL ACEITE ROBLE</v>
          </cell>
          <cell r="H1461">
            <v>188.79</v>
          </cell>
        </row>
        <row r="1462">
          <cell r="C1462" t="str">
            <v>10983</v>
          </cell>
          <cell r="D1462" t="str">
            <v>NEGRO CHASIS</v>
          </cell>
          <cell r="H1462">
            <v>543.1</v>
          </cell>
        </row>
        <row r="1463">
          <cell r="C1463" t="str">
            <v>10981</v>
          </cell>
          <cell r="D1463" t="str">
            <v>NEGRO CHASIS</v>
          </cell>
          <cell r="H1463">
            <v>2286.21</v>
          </cell>
        </row>
        <row r="1464">
          <cell r="C1464" t="str">
            <v>10980</v>
          </cell>
          <cell r="D1464" t="str">
            <v>NEGRO CHASIS</v>
          </cell>
          <cell r="H1464">
            <v>22797.41</v>
          </cell>
        </row>
        <row r="1465">
          <cell r="C1465" t="str">
            <v>10644</v>
          </cell>
          <cell r="D1465" t="str">
            <v>ALBERCAS AZUL</v>
          </cell>
          <cell r="H1465">
            <v>311.20999999999998</v>
          </cell>
        </row>
        <row r="1466">
          <cell r="C1466" t="str">
            <v>10643</v>
          </cell>
          <cell r="D1466" t="str">
            <v>ALBERCAS AZUL</v>
          </cell>
          <cell r="H1466">
            <v>1314.66</v>
          </cell>
        </row>
        <row r="1467">
          <cell r="C1467" t="str">
            <v>10641</v>
          </cell>
          <cell r="D1467" t="str">
            <v>ALBERCAS AZUL</v>
          </cell>
          <cell r="H1467">
            <v>4437.07</v>
          </cell>
        </row>
        <row r="1468">
          <cell r="C1468" t="str">
            <v>10584</v>
          </cell>
          <cell r="D1468" t="str">
            <v>FONDO DE POLIURETANO CHOCOLATE</v>
          </cell>
          <cell r="H1468">
            <v>274.14</v>
          </cell>
        </row>
        <row r="1469">
          <cell r="C1469" t="str">
            <v>10011</v>
          </cell>
          <cell r="D1469" t="str">
            <v>ALBERCAS BLANCO</v>
          </cell>
          <cell r="H1469">
            <v>4559.4799999999996</v>
          </cell>
        </row>
        <row r="1470">
          <cell r="C1470" t="str">
            <v>9918</v>
          </cell>
          <cell r="D1470" t="str">
            <v>SILICON TRANSPARENTE PARA PISTOLA</v>
          </cell>
          <cell r="H1470">
            <v>69.83</v>
          </cell>
        </row>
        <row r="1471">
          <cell r="C1471" t="str">
            <v>9917</v>
          </cell>
          <cell r="D1471" t="str">
            <v>SELLADOR DE POLIURETANO 300 ML</v>
          </cell>
          <cell r="H1471">
            <v>119.83</v>
          </cell>
        </row>
        <row r="1472">
          <cell r="C1472" t="str">
            <v>9914</v>
          </cell>
          <cell r="D1472" t="str">
            <v>MASKING TAPE 1/8  TUK ROJO -BAJA-</v>
          </cell>
          <cell r="H1472">
            <v>54.31</v>
          </cell>
        </row>
        <row r="1473">
          <cell r="C1473" t="str">
            <v>9913</v>
          </cell>
          <cell r="D1473" t="str">
            <v>SINSALITRE</v>
          </cell>
          <cell r="H1473">
            <v>36.21</v>
          </cell>
        </row>
        <row r="1474">
          <cell r="C1474" t="str">
            <v>9910</v>
          </cell>
          <cell r="D1474" t="str">
            <v>MASKINGTAPE 1/4-HASTA AGOTAR EXISTENCIA-</v>
          </cell>
          <cell r="H1474">
            <v>59.48</v>
          </cell>
        </row>
        <row r="1475">
          <cell r="C1475" t="str">
            <v>9907</v>
          </cell>
          <cell r="D1475" t="str">
            <v>CINTA DOBLE CAPA DE PAPEL 1 PULG</v>
          </cell>
          <cell r="H1475">
            <v>39.659999999999997</v>
          </cell>
        </row>
        <row r="1476">
          <cell r="C1476" t="str">
            <v>9906</v>
          </cell>
          <cell r="D1476" t="str">
            <v>MASKING TAPE AZUL 1.5- -TIPO 114- 163030</v>
          </cell>
          <cell r="H1476">
            <v>169.83</v>
          </cell>
        </row>
        <row r="1477">
          <cell r="C1477" t="str">
            <v>9905</v>
          </cell>
          <cell r="D1477" t="str">
            <v>MASKING TAPE  1 -24MM X 50M TIPO 124-</v>
          </cell>
          <cell r="H1477">
            <v>69.83</v>
          </cell>
        </row>
        <row r="1478">
          <cell r="C1478" t="str">
            <v>9904</v>
          </cell>
          <cell r="D1478" t="str">
            <v>MASKING TAPE 1/2 -12MM X 50M TIPO 124-</v>
          </cell>
          <cell r="H1478">
            <v>59.48</v>
          </cell>
        </row>
        <row r="1479">
          <cell r="C1479" t="str">
            <v>9903</v>
          </cell>
          <cell r="D1479" t="str">
            <v>MASKING TAPE 3/4 -18MM X 50M TIPO 124-</v>
          </cell>
          <cell r="H1479">
            <v>48.28</v>
          </cell>
        </row>
        <row r="1480">
          <cell r="C1480" t="str">
            <v>9809</v>
          </cell>
          <cell r="D1480" t="str">
            <v>EXHIBIDOR MOSTRADOR FERRETERO GLOSI</v>
          </cell>
          <cell r="H1480">
            <v>5565.52</v>
          </cell>
        </row>
        <row r="1481">
          <cell r="C1481" t="str">
            <v>9807</v>
          </cell>
          <cell r="D1481" t="str">
            <v>EXHIBIDOR CICLOPE</v>
          </cell>
          <cell r="H1481">
            <v>787.93</v>
          </cell>
        </row>
        <row r="1482">
          <cell r="C1482" t="str">
            <v>9806</v>
          </cell>
          <cell r="D1482" t="str">
            <v>EXHIBIDOR DE AEROSOL CHICO</v>
          </cell>
          <cell r="H1482">
            <v>217.24</v>
          </cell>
        </row>
        <row r="1483">
          <cell r="C1483" t="str">
            <v>9667</v>
          </cell>
          <cell r="D1483" t="str">
            <v>LIJA DE AGUA #1500 -FANDELI/049-</v>
          </cell>
          <cell r="H1483">
            <v>23.28</v>
          </cell>
        </row>
        <row r="1484">
          <cell r="C1484" t="str">
            <v>9666</v>
          </cell>
          <cell r="D1484" t="str">
            <v>LIJA DE AGUA #1200 -FANDELI/048-</v>
          </cell>
          <cell r="H1484">
            <v>23.28</v>
          </cell>
        </row>
        <row r="1485">
          <cell r="C1485" t="str">
            <v>9659</v>
          </cell>
          <cell r="D1485" t="str">
            <v>LIJA DE AGUA #600 -FANDELI/044-</v>
          </cell>
          <cell r="H1485">
            <v>12.07</v>
          </cell>
        </row>
        <row r="1486">
          <cell r="C1486" t="str">
            <v>9658</v>
          </cell>
          <cell r="D1486" t="str">
            <v>LIJA DE AGUA #400 -FANDELI/042-</v>
          </cell>
          <cell r="H1486">
            <v>12.07</v>
          </cell>
        </row>
        <row r="1487">
          <cell r="C1487" t="str">
            <v>9656</v>
          </cell>
          <cell r="D1487" t="str">
            <v>LIJA DE AGUA #360 -FANDELI/041-</v>
          </cell>
          <cell r="H1487">
            <v>12.07</v>
          </cell>
        </row>
        <row r="1488">
          <cell r="C1488" t="str">
            <v>9654</v>
          </cell>
          <cell r="D1488" t="str">
            <v>LIJA DE AGUA #320 -FANDELI/040-</v>
          </cell>
          <cell r="H1488">
            <v>12.07</v>
          </cell>
        </row>
        <row r="1489">
          <cell r="C1489" t="str">
            <v>9652</v>
          </cell>
          <cell r="D1489" t="str">
            <v>LIJA DE AGUA #240 -FANDELI/038-</v>
          </cell>
          <cell r="H1489">
            <v>12.07</v>
          </cell>
        </row>
        <row r="1490">
          <cell r="C1490" t="str">
            <v>9650</v>
          </cell>
          <cell r="D1490" t="str">
            <v>LIJA DE AGUA #220 -FANDELI/037-</v>
          </cell>
          <cell r="H1490">
            <v>12.07</v>
          </cell>
        </row>
        <row r="1491">
          <cell r="C1491" t="str">
            <v>9648</v>
          </cell>
          <cell r="D1491" t="str">
            <v>LIJA DE AGUA #180 -FANDELI/055-</v>
          </cell>
          <cell r="H1491">
            <v>12.07</v>
          </cell>
        </row>
        <row r="1492">
          <cell r="C1492" t="str">
            <v>9646</v>
          </cell>
          <cell r="D1492" t="str">
            <v>LIJA DE AGUA #150-FANDELI/054-</v>
          </cell>
          <cell r="H1492">
            <v>12.07</v>
          </cell>
        </row>
        <row r="1493">
          <cell r="C1493" t="str">
            <v>9644</v>
          </cell>
          <cell r="D1493" t="str">
            <v>LIJA DE AGUA #120 -FANDELI/053-</v>
          </cell>
          <cell r="H1493">
            <v>13.79</v>
          </cell>
        </row>
        <row r="1494">
          <cell r="C1494" t="str">
            <v>9642</v>
          </cell>
          <cell r="D1494" t="str">
            <v>LIJA DE AGUA #100 -FANDELI/052-</v>
          </cell>
          <cell r="H1494">
            <v>13.79</v>
          </cell>
        </row>
        <row r="1495">
          <cell r="C1495" t="str">
            <v>9640</v>
          </cell>
          <cell r="D1495" t="str">
            <v>LIJA DE AGUA # 80 -FANDELI/051-</v>
          </cell>
          <cell r="H1495">
            <v>14.66</v>
          </cell>
        </row>
        <row r="1496">
          <cell r="C1496" t="str">
            <v>9548</v>
          </cell>
          <cell r="D1496" t="str">
            <v>FILTRO P/PINTURA CUBETA</v>
          </cell>
          <cell r="H1496">
            <v>70.69</v>
          </cell>
        </row>
        <row r="1497">
          <cell r="C1497" t="str">
            <v>9547</v>
          </cell>
          <cell r="D1497" t="str">
            <v>FILTRO P/PINTURA GALON</v>
          </cell>
          <cell r="H1497">
            <v>51.72</v>
          </cell>
        </row>
        <row r="1498">
          <cell r="C1498" t="str">
            <v>9545</v>
          </cell>
          <cell r="D1498" t="str">
            <v>COLADOR DE ALUMINIO PARA PINTURA  -BAJA-</v>
          </cell>
          <cell r="H1498">
            <v>33.619999999999997</v>
          </cell>
        </row>
        <row r="1499">
          <cell r="C1499" t="str">
            <v>9541</v>
          </cell>
          <cell r="D1499" t="str">
            <v>EMPAQUE DE LONA -BAJA-</v>
          </cell>
          <cell r="H1499">
            <v>5.17</v>
          </cell>
        </row>
        <row r="1500">
          <cell r="C1500" t="str">
            <v>9502</v>
          </cell>
          <cell r="D1500" t="str">
            <v>OLLA DE PRESION 9 LT. CON PISTOL</v>
          </cell>
          <cell r="H1500">
            <v>3494.83</v>
          </cell>
        </row>
        <row r="1501">
          <cell r="C1501" t="str">
            <v>9495</v>
          </cell>
          <cell r="D1501" t="str">
            <v>EXHIBIDOR DE LIJAS</v>
          </cell>
          <cell r="H1501">
            <v>951.72</v>
          </cell>
        </row>
        <row r="1502">
          <cell r="C1502" t="str">
            <v>9490</v>
          </cell>
          <cell r="D1502" t="str">
            <v>TORTUGA DE HULE</v>
          </cell>
          <cell r="H1502">
            <v>74.14</v>
          </cell>
        </row>
        <row r="1503">
          <cell r="C1503" t="str">
            <v>9484</v>
          </cell>
          <cell r="D1503" t="str">
            <v>DISCO ESMERIL # 24 -0881-</v>
          </cell>
          <cell r="H1503">
            <v>33.619999999999997</v>
          </cell>
        </row>
        <row r="1504">
          <cell r="C1504" t="str">
            <v>9479</v>
          </cell>
          <cell r="D1504" t="str">
            <v>LIJA ORBITAL 5 SIAREX GRANO 220</v>
          </cell>
          <cell r="H1504">
            <v>8.6199999999999992</v>
          </cell>
        </row>
        <row r="1505">
          <cell r="C1505" t="str">
            <v>9478</v>
          </cell>
          <cell r="D1505" t="str">
            <v>LIJA ORBITAL 5 SIAREX GRANO 150</v>
          </cell>
          <cell r="H1505">
            <v>8.6199999999999992</v>
          </cell>
        </row>
        <row r="1506">
          <cell r="C1506" t="str">
            <v>9473</v>
          </cell>
          <cell r="D1506" t="str">
            <v>ROLLO ESPONJA SIASOFT GRANO 240</v>
          </cell>
          <cell r="H1506">
            <v>2231.9</v>
          </cell>
        </row>
        <row r="1507">
          <cell r="C1507" t="str">
            <v>9469</v>
          </cell>
          <cell r="D1507" t="str">
            <v>LIJA ESMERIL HOJA X-86 060</v>
          </cell>
          <cell r="H1507">
            <v>28.45</v>
          </cell>
        </row>
        <row r="1508">
          <cell r="C1508" t="str">
            <v>9468</v>
          </cell>
          <cell r="D1508" t="str">
            <v>LIJA LONA ROJA HOJA J-86 080</v>
          </cell>
          <cell r="H1508">
            <v>25</v>
          </cell>
        </row>
        <row r="1509">
          <cell r="C1509" t="str">
            <v>9466</v>
          </cell>
          <cell r="D1509" t="str">
            <v>LIJA DE AGUA # 1200 -BAJA-</v>
          </cell>
          <cell r="H1509">
            <v>17.239999999999998</v>
          </cell>
        </row>
        <row r="1510">
          <cell r="C1510" t="str">
            <v>9464</v>
          </cell>
          <cell r="D1510" t="str">
            <v>LIJA ESMERIL HOJA J-73GSO/2333</v>
          </cell>
          <cell r="H1510">
            <v>25</v>
          </cell>
        </row>
        <row r="1511">
          <cell r="C1511" t="str">
            <v>9462</v>
          </cell>
          <cell r="D1511" t="str">
            <v>LIJA ESMERIL HOJA J-73MED/2332</v>
          </cell>
          <cell r="H1511">
            <v>24.14</v>
          </cell>
        </row>
        <row r="1512">
          <cell r="C1512" t="str">
            <v>9460</v>
          </cell>
          <cell r="D1512" t="str">
            <v>LIJA ESMERIL HOJA J-73FIN/2331</v>
          </cell>
          <cell r="H1512">
            <v>18.100000000000001</v>
          </cell>
        </row>
        <row r="1513">
          <cell r="C1513" t="str">
            <v>9456</v>
          </cell>
          <cell r="D1513" t="str">
            <v>LIJA DE AGUA # 360 -0041-</v>
          </cell>
          <cell r="H1513">
            <v>12.07</v>
          </cell>
        </row>
        <row r="1514">
          <cell r="C1514" t="str">
            <v>9436</v>
          </cell>
          <cell r="D1514" t="str">
            <v>LIJA ESMERIL HOJA X-86 036</v>
          </cell>
          <cell r="H1514">
            <v>32.76</v>
          </cell>
        </row>
        <row r="1515">
          <cell r="C1515" t="str">
            <v>9435</v>
          </cell>
          <cell r="D1515" t="str">
            <v>LIJA MADERA HOJA K-61 GSO/085</v>
          </cell>
          <cell r="H1515">
            <v>10.34</v>
          </cell>
        </row>
        <row r="1516">
          <cell r="C1516" t="str">
            <v>9434</v>
          </cell>
          <cell r="D1516" t="str">
            <v>LIJA MADERA HOJA K-61 MED/086</v>
          </cell>
          <cell r="H1516">
            <v>6.03</v>
          </cell>
        </row>
        <row r="1517">
          <cell r="C1517" t="str">
            <v>9433</v>
          </cell>
          <cell r="D1517" t="str">
            <v>LIJA MADERA HOJA K-61 FINO/084</v>
          </cell>
          <cell r="H1517">
            <v>6.03</v>
          </cell>
        </row>
        <row r="1518">
          <cell r="C1518" t="str">
            <v>9402</v>
          </cell>
          <cell r="D1518" t="str">
            <v>ESPONJA ABRASIVA ALO 150 P</v>
          </cell>
          <cell r="H1518">
            <v>17.239999999999998</v>
          </cell>
        </row>
        <row r="1519">
          <cell r="C1519" t="str">
            <v>9401</v>
          </cell>
          <cell r="D1519" t="str">
            <v>ESPONJA ABRASIVA 100P-BAJA-</v>
          </cell>
          <cell r="H1519">
            <v>17.239999999999998</v>
          </cell>
        </row>
        <row r="1520">
          <cell r="C1520" t="str">
            <v>9389</v>
          </cell>
          <cell r="D1520" t="str">
            <v>EXHIBIDOR P/AEROSOLES/CHAROLAS ENSAM</v>
          </cell>
          <cell r="H1520">
            <v>1761.21</v>
          </cell>
        </row>
        <row r="1521">
          <cell r="C1521" t="str">
            <v>9357</v>
          </cell>
          <cell r="D1521" t="str">
            <v>ESCALERA EXTENSION TIPO III 16FT</v>
          </cell>
          <cell r="H1521">
            <v>2275.86</v>
          </cell>
        </row>
        <row r="1522">
          <cell r="C1522" t="str">
            <v>9356</v>
          </cell>
          <cell r="D1522" t="str">
            <v>CONVERTIB TIPO II 15FT 15ESCALONES</v>
          </cell>
          <cell r="H1522">
            <v>2976.72</v>
          </cell>
        </row>
        <row r="1523">
          <cell r="C1523" t="str">
            <v>9338</v>
          </cell>
          <cell r="D1523" t="str">
            <v>TIJERA 10ESC TIPO II 102KG TAPAPLAST920M</v>
          </cell>
          <cell r="H1523">
            <v>3035.34</v>
          </cell>
        </row>
        <row r="1524">
          <cell r="C1524" t="str">
            <v>9325</v>
          </cell>
          <cell r="D1524" t="str">
            <v>ESCALERA CONV ALUM 16 PELD G131-</v>
          </cell>
          <cell r="H1524">
            <v>4213.79</v>
          </cell>
        </row>
        <row r="1525">
          <cell r="C1525" t="str">
            <v>9322</v>
          </cell>
          <cell r="D1525" t="str">
            <v>TABURETE BLANCO G560-35</v>
          </cell>
          <cell r="H1525">
            <v>488.79</v>
          </cell>
        </row>
        <row r="1526">
          <cell r="C1526" t="str">
            <v>9303</v>
          </cell>
          <cell r="D1526" t="str">
            <v>ESCALERA TIJ. ALUM. 7 PELD. G628</v>
          </cell>
          <cell r="H1526">
            <v>3426.72</v>
          </cell>
        </row>
        <row r="1527">
          <cell r="C1527" t="str">
            <v>9301</v>
          </cell>
          <cell r="D1527" t="str">
            <v>ESCALERA TIJ. ALUM. 5 PELD. G608</v>
          </cell>
          <cell r="H1527">
            <v>1754.31</v>
          </cell>
        </row>
        <row r="1528">
          <cell r="C1528" t="str">
            <v>9270</v>
          </cell>
          <cell r="D1528" t="str">
            <v>ESCURRIDOR DE PINTURA METALICO -BAJA-</v>
          </cell>
          <cell r="H1528">
            <v>30.17</v>
          </cell>
        </row>
        <row r="1529">
          <cell r="C1529" t="str">
            <v>9260</v>
          </cell>
          <cell r="D1529" t="str">
            <v>EXTENSION DE ACERO 1.20 MT</v>
          </cell>
          <cell r="H1529">
            <v>93.1</v>
          </cell>
        </row>
        <row r="1530">
          <cell r="C1530" t="str">
            <v>9252</v>
          </cell>
          <cell r="D1530" t="str">
            <v>MANERAL PARA RODILLO DE 9 PULG -BAJA-</v>
          </cell>
          <cell r="H1530">
            <v>66.38</v>
          </cell>
        </row>
        <row r="1531">
          <cell r="C1531" t="str">
            <v>9251</v>
          </cell>
          <cell r="D1531" t="str">
            <v>MANERAL P/RODILLO DE 6 -BAJA-</v>
          </cell>
          <cell r="H1531">
            <v>52.59</v>
          </cell>
        </row>
        <row r="1532">
          <cell r="C1532" t="str">
            <v>9250</v>
          </cell>
          <cell r="D1532" t="str">
            <v>MANERAL P/RODILLO 4 PG -BAJA-</v>
          </cell>
          <cell r="H1532">
            <v>37.93</v>
          </cell>
        </row>
        <row r="1533">
          <cell r="C1533" t="str">
            <v>9248</v>
          </cell>
          <cell r="D1533" t="str">
            <v>BROCHA 6 PULG CERDA DE PUERCO</v>
          </cell>
          <cell r="H1533">
            <v>122.41</v>
          </cell>
        </row>
        <row r="1534">
          <cell r="C1534" t="str">
            <v>9247</v>
          </cell>
          <cell r="D1534" t="str">
            <v>BROCHA 5 PULG CERDA DE PUERCO</v>
          </cell>
          <cell r="H1534">
            <v>101.72</v>
          </cell>
        </row>
        <row r="1535">
          <cell r="C1535" t="str">
            <v>9246</v>
          </cell>
          <cell r="D1535" t="str">
            <v>BROCHA 4 PULG CERDA DE PUERCO</v>
          </cell>
          <cell r="H1535">
            <v>89.66</v>
          </cell>
        </row>
        <row r="1536">
          <cell r="C1536" t="str">
            <v>9243</v>
          </cell>
          <cell r="D1536" t="str">
            <v>BROCHA 2 PULG CERDA DE PUERCO</v>
          </cell>
          <cell r="H1536">
            <v>39.659999999999997</v>
          </cell>
        </row>
        <row r="1537">
          <cell r="C1537" t="str">
            <v>9214</v>
          </cell>
          <cell r="D1537" t="str">
            <v>KIT DOMESTICO RODILLO Y BROCHA</v>
          </cell>
          <cell r="H1537">
            <v>0.01</v>
          </cell>
        </row>
        <row r="1538">
          <cell r="C1538" t="str">
            <v>9212</v>
          </cell>
          <cell r="D1538" t="str">
            <v>EXTENSION FIJA METALICA 1.20 M -BAJA-</v>
          </cell>
          <cell r="H1538">
            <v>56.03</v>
          </cell>
        </row>
        <row r="1539">
          <cell r="C1539" t="str">
            <v>9201</v>
          </cell>
          <cell r="D1539" t="str">
            <v>PISTOLA HVLP MINI D GRAVEDAD 150ML -PVP-</v>
          </cell>
          <cell r="H1539">
            <v>695.69</v>
          </cell>
        </row>
        <row r="1540">
          <cell r="C1540" t="str">
            <v>9197</v>
          </cell>
          <cell r="D1540" t="str">
            <v>REPUESTO P/RODILLO POLIAMIDA 9 P X1 P RC</v>
          </cell>
          <cell r="H1540">
            <v>63.79</v>
          </cell>
        </row>
        <row r="1541">
          <cell r="C1541" t="str">
            <v>9196</v>
          </cell>
          <cell r="D1541" t="str">
            <v>REPUESTO P/RODILLO POLIAMIDA 9 P X3/4 P</v>
          </cell>
          <cell r="H1541">
            <v>75.86</v>
          </cell>
        </row>
        <row r="1542">
          <cell r="C1542" t="str">
            <v>9195</v>
          </cell>
          <cell r="D1542" t="str">
            <v>REPUESTO P/RODILLO PLSTR 9 P X1 1/4 P</v>
          </cell>
          <cell r="H1542">
            <v>39.659999999999997</v>
          </cell>
        </row>
        <row r="1543">
          <cell r="C1543" t="str">
            <v>9194</v>
          </cell>
          <cell r="D1543" t="str">
            <v>REPUESTO P/RODILLO PLSTR 9 P X1 P RC1301</v>
          </cell>
          <cell r="H1543">
            <v>31.9</v>
          </cell>
        </row>
        <row r="1544">
          <cell r="C1544" t="str">
            <v>9193</v>
          </cell>
          <cell r="D1544" t="str">
            <v>REPUESTO P/RODILLO PLSTR 9 P X3/4 P RC</v>
          </cell>
          <cell r="H1544">
            <v>37.93</v>
          </cell>
        </row>
        <row r="1545">
          <cell r="C1545" t="str">
            <v>9188</v>
          </cell>
          <cell r="D1545" t="str">
            <v>CUNA HULE P/RESANAR</v>
          </cell>
          <cell r="H1545">
            <v>5.17</v>
          </cell>
        </row>
        <row r="1546">
          <cell r="C1546" t="str">
            <v>9187</v>
          </cell>
          <cell r="D1546" t="str">
            <v>CUNA GRANDE CON MANGO P/RESANAR</v>
          </cell>
          <cell r="H1546">
            <v>17.239999999999998</v>
          </cell>
        </row>
        <row r="1547">
          <cell r="C1547" t="str">
            <v>9186</v>
          </cell>
          <cell r="D1547" t="str">
            <v>CUNA CHICA CON MANGO P/RESANAR</v>
          </cell>
          <cell r="H1547">
            <v>11.21</v>
          </cell>
        </row>
        <row r="1548">
          <cell r="C1548" t="str">
            <v>9185</v>
          </cell>
          <cell r="D1548" t="str">
            <v>CUNA GRANDE SIN MANGO P/RESANAR</v>
          </cell>
          <cell r="H1548">
            <v>11.21</v>
          </cell>
        </row>
        <row r="1549">
          <cell r="C1549" t="str">
            <v>9184</v>
          </cell>
          <cell r="D1549" t="str">
            <v>CUNA CHICA SIN MANGO P/RESANAR</v>
          </cell>
          <cell r="H1549">
            <v>6.03</v>
          </cell>
        </row>
        <row r="1550">
          <cell r="C1550" t="str">
            <v>9179</v>
          </cell>
          <cell r="D1550" t="str">
            <v>CEPILLO LECHUGUILLA P/IMPERMEABILIZAR</v>
          </cell>
          <cell r="H1550">
            <v>54.31</v>
          </cell>
        </row>
        <row r="1551">
          <cell r="C1551" t="str">
            <v>9178</v>
          </cell>
          <cell r="D1551" t="str">
            <v>CEPILLO P/PICAR PINTURA SINTETICO</v>
          </cell>
          <cell r="H1551">
            <v>30.17</v>
          </cell>
        </row>
        <row r="1552">
          <cell r="C1552" t="str">
            <v>9177</v>
          </cell>
          <cell r="D1552" t="str">
            <v>CEPILLO P/PICAR PINTURA MIX</v>
          </cell>
          <cell r="H1552">
            <v>41.38</v>
          </cell>
        </row>
        <row r="1553">
          <cell r="C1553" t="str">
            <v>9176</v>
          </cell>
          <cell r="D1553" t="str">
            <v>CEPILLO ALAMBRE 6 HILOS RECTANG. # 46</v>
          </cell>
          <cell r="H1553">
            <v>54.31</v>
          </cell>
        </row>
        <row r="1554">
          <cell r="C1554" t="str">
            <v>9174</v>
          </cell>
          <cell r="D1554" t="str">
            <v>CEPILLO ALAMBRE 4 HILOS CON MANGO # 44</v>
          </cell>
          <cell r="H1554">
            <v>31.9</v>
          </cell>
        </row>
        <row r="1555">
          <cell r="C1555" t="str">
            <v>9173</v>
          </cell>
          <cell r="D1555" t="str">
            <v>CEPILLO MADERA PINTOR</v>
          </cell>
          <cell r="H1555">
            <v>44.83</v>
          </cell>
        </row>
        <row r="1556">
          <cell r="C1556" t="str">
            <v>9172</v>
          </cell>
          <cell r="D1556" t="str">
            <v>QUESERA 1/2 -BAJA-</v>
          </cell>
          <cell r="H1556">
            <v>105.17</v>
          </cell>
        </row>
        <row r="1557">
          <cell r="C1557" t="str">
            <v>9171</v>
          </cell>
          <cell r="D1557" t="str">
            <v>ESTOPA AZUL</v>
          </cell>
          <cell r="H1557">
            <v>38.79</v>
          </cell>
        </row>
        <row r="1558">
          <cell r="C1558" t="str">
            <v>9170</v>
          </cell>
          <cell r="D1558" t="str">
            <v>ESTOPA BLANCA</v>
          </cell>
          <cell r="H1558">
            <v>54.31</v>
          </cell>
        </row>
        <row r="1559">
          <cell r="C1559" t="str">
            <v>9168</v>
          </cell>
          <cell r="D1559" t="str">
            <v>CEPILLO P/IMPERMEABILIZAR CHICO</v>
          </cell>
          <cell r="H1559">
            <v>63.79</v>
          </cell>
        </row>
        <row r="1560">
          <cell r="C1560" t="str">
            <v>9160</v>
          </cell>
          <cell r="D1560" t="str">
            <v>PISTOLA PARA SILICON -BAJA-</v>
          </cell>
          <cell r="H1560">
            <v>101.72</v>
          </cell>
        </row>
        <row r="1561">
          <cell r="C1561" t="str">
            <v>9159</v>
          </cell>
          <cell r="D1561" t="str">
            <v>REPUESTO RODILLO GOLDEN  1/2 PULG -1812-</v>
          </cell>
          <cell r="H1561">
            <v>33.619999999999997</v>
          </cell>
        </row>
        <row r="1562">
          <cell r="C1562" t="str">
            <v>9151</v>
          </cell>
          <cell r="D1562" t="str">
            <v>TIROLERA POPULAR</v>
          </cell>
          <cell r="H1562">
            <v>648.28</v>
          </cell>
        </row>
        <row r="1563">
          <cell r="C1563" t="str">
            <v>9150</v>
          </cell>
          <cell r="D1563" t="str">
            <v>PISTOLA P/APLICACION AEROSOL</v>
          </cell>
          <cell r="H1563">
            <v>44.83</v>
          </cell>
        </row>
        <row r="1564">
          <cell r="C1564" t="str">
            <v>9149</v>
          </cell>
          <cell r="D1564" t="str">
            <v>PISTOLA HVLP GRAV 600 ML -BAJA-</v>
          </cell>
          <cell r="H1564">
            <v>959.48</v>
          </cell>
        </row>
        <row r="1565">
          <cell r="C1565" t="str">
            <v>9127</v>
          </cell>
          <cell r="D1565" t="str">
            <v>RODILLO DECORADOR</v>
          </cell>
          <cell r="H1565">
            <v>343.97</v>
          </cell>
        </row>
        <row r="1566">
          <cell r="C1566" t="str">
            <v>9126</v>
          </cell>
          <cell r="D1566" t="str">
            <v>RODILLO RODITRAPO</v>
          </cell>
          <cell r="H1566">
            <v>116.38</v>
          </cell>
        </row>
        <row r="1567">
          <cell r="C1567" t="str">
            <v>9124</v>
          </cell>
          <cell r="D1567" t="str">
            <v>REP RODILLO GOLDEN 1 1/4 PG -BAJA-</v>
          </cell>
          <cell r="H1567">
            <v>58.62</v>
          </cell>
        </row>
        <row r="1568">
          <cell r="C1568" t="str">
            <v>9121</v>
          </cell>
          <cell r="D1568" t="str">
            <v>PAD GRANDE P/APLICAR PINTURA</v>
          </cell>
          <cell r="H1568">
            <v>134.47999999999999</v>
          </cell>
        </row>
        <row r="1569">
          <cell r="C1569" t="str">
            <v>9118</v>
          </cell>
          <cell r="D1569" t="str">
            <v>EXTENSION METALICA 1.80 X 3.00 MT -BAJA-</v>
          </cell>
          <cell r="H1569">
            <v>243.97</v>
          </cell>
        </row>
        <row r="1570">
          <cell r="C1570" t="str">
            <v>9117</v>
          </cell>
          <cell r="D1570" t="str">
            <v>EXTENSION METALICA 1.20 X 2.00 MT -BAJA-</v>
          </cell>
          <cell r="H1570">
            <v>160.34</v>
          </cell>
        </row>
        <row r="1571">
          <cell r="C1571" t="str">
            <v>9116</v>
          </cell>
          <cell r="D1571" t="str">
            <v>MASCARILLA BLANCA</v>
          </cell>
          <cell r="H1571">
            <v>12.07</v>
          </cell>
        </row>
        <row r="1572">
          <cell r="C1572" t="str">
            <v>9112</v>
          </cell>
          <cell r="D1572" t="str">
            <v>EXTENSION DE METAL 1.20 MTS -BAJA-</v>
          </cell>
          <cell r="H1572">
            <v>39.659999999999997</v>
          </cell>
        </row>
        <row r="1573">
          <cell r="C1573" t="str">
            <v>9105</v>
          </cell>
          <cell r="D1573" t="str">
            <v>EXTENSION METALICA CEPILLO IMPER</v>
          </cell>
          <cell r="H1573">
            <v>21.55</v>
          </cell>
        </row>
        <row r="1574">
          <cell r="C1574" t="str">
            <v>9104</v>
          </cell>
          <cell r="D1574" t="str">
            <v>EXTENSION DE MADERA 1.20 MTS.</v>
          </cell>
          <cell r="H1574">
            <v>23.28</v>
          </cell>
        </row>
        <row r="1575">
          <cell r="C1575" t="str">
            <v>9103</v>
          </cell>
          <cell r="D1575" t="str">
            <v>MANERAL 9 PULG PROF CON JAULA -BAJA-</v>
          </cell>
          <cell r="H1575">
            <v>50.86</v>
          </cell>
        </row>
        <row r="1576">
          <cell r="C1576" t="str">
            <v>9102</v>
          </cell>
          <cell r="D1576" t="str">
            <v>CHAROLA PROFESIONAL 9 PULG -CPR9-</v>
          </cell>
          <cell r="H1576">
            <v>44.83</v>
          </cell>
        </row>
        <row r="1577">
          <cell r="C1577" t="str">
            <v>9101</v>
          </cell>
          <cell r="D1577" t="str">
            <v>REPUESTO RODILLO TEXTURA</v>
          </cell>
          <cell r="H1577">
            <v>76.72</v>
          </cell>
        </row>
        <row r="1578">
          <cell r="C1578" t="str">
            <v>9097</v>
          </cell>
          <cell r="D1578" t="str">
            <v>REGLETA P/DISPENSER 9009 GRAD.LASER ROJA</v>
          </cell>
          <cell r="H1578">
            <v>485.34</v>
          </cell>
        </row>
        <row r="1579">
          <cell r="C1579" t="str">
            <v>9096</v>
          </cell>
          <cell r="D1579" t="str">
            <v>REGLETA DISPENSER 9009 GRAD.LASER NEGRA</v>
          </cell>
          <cell r="H1579">
            <v>485.34</v>
          </cell>
        </row>
        <row r="1580">
          <cell r="C1580" t="str">
            <v>9045</v>
          </cell>
          <cell r="D1580" t="str">
            <v>MEZCLADOR COROB 20 CLEVER MIX</v>
          </cell>
          <cell r="H1580">
            <v>120487.93</v>
          </cell>
        </row>
        <row r="1581">
          <cell r="C1581" t="str">
            <v>9030</v>
          </cell>
          <cell r="D1581" t="str">
            <v>AGITADOR GIROSCOPICO G36H</v>
          </cell>
          <cell r="H1581">
            <v>156127.59</v>
          </cell>
        </row>
        <row r="1582">
          <cell r="C1582" t="str">
            <v>9029</v>
          </cell>
          <cell r="D1582" t="str">
            <v>AGITADOR GIROSCOP G4B *** BAJA ***</v>
          </cell>
          <cell r="H1582">
            <v>68781.899999999994</v>
          </cell>
        </row>
        <row r="1583">
          <cell r="C1583" t="str">
            <v>9027</v>
          </cell>
          <cell r="D1583" t="str">
            <v>CUBREMUEBLES CAL. 180 C/ IMPRESON</v>
          </cell>
          <cell r="H1583">
            <v>104.31</v>
          </cell>
        </row>
        <row r="1584">
          <cell r="C1584" t="str">
            <v>9024</v>
          </cell>
          <cell r="D1584" t="str">
            <v>CANISTER P/DISPENSER MEGACOLOR OCEAN PWR</v>
          </cell>
          <cell r="H1584">
            <v>2565.52</v>
          </cell>
        </row>
        <row r="1585">
          <cell r="C1585" t="str">
            <v>9020</v>
          </cell>
          <cell r="D1585" t="str">
            <v>CUBREMUEBLES CAL. 110 S/IMPRESION</v>
          </cell>
          <cell r="H1585">
            <v>28.45</v>
          </cell>
        </row>
        <row r="1586">
          <cell r="C1586" t="str">
            <v>9019</v>
          </cell>
          <cell r="D1586" t="str">
            <v>CARPETA DE FORMULAS MEGACOLOR</v>
          </cell>
          <cell r="H1586">
            <v>250</v>
          </cell>
        </row>
        <row r="1587">
          <cell r="C1587" t="str">
            <v>9009</v>
          </cell>
          <cell r="D1587" t="str">
            <v>COLOR DISPENSER MEGACOLOR C/BASE M3-12</v>
          </cell>
          <cell r="H1587">
            <v>72508.62</v>
          </cell>
        </row>
        <row r="1588">
          <cell r="C1588" t="str">
            <v>9004</v>
          </cell>
          <cell r="D1588" t="str">
            <v>AGITADOR DE CUBETA CON FLECHA ABATIBLE</v>
          </cell>
          <cell r="H1588">
            <v>6413.79</v>
          </cell>
        </row>
        <row r="1589">
          <cell r="C1589" t="str">
            <v>9002</v>
          </cell>
          <cell r="D1589" t="str">
            <v>AGITADOR LT/GAL DOBLE BRAZO MEGACOLOR</v>
          </cell>
          <cell r="H1589">
            <v>30842.240000000002</v>
          </cell>
        </row>
        <row r="1590">
          <cell r="C1590" t="str">
            <v>6789</v>
          </cell>
          <cell r="D1590" t="str">
            <v>EXHIBIDOR PARA BROCHA</v>
          </cell>
          <cell r="H1590">
            <v>89.66</v>
          </cell>
        </row>
        <row r="1591">
          <cell r="C1591" t="str">
            <v>6788</v>
          </cell>
          <cell r="D1591" t="str">
            <v>BROCHA PRISA-BROTIMEX IXTLE 6 ***BAJA***</v>
          </cell>
          <cell r="H1591">
            <v>74.14</v>
          </cell>
        </row>
        <row r="1592">
          <cell r="C1592" t="str">
            <v>6787</v>
          </cell>
          <cell r="D1592" t="str">
            <v>BROCHA PRISA-BROTIMEX IXTLE 5 ***BAJA***</v>
          </cell>
          <cell r="H1592">
            <v>65.52</v>
          </cell>
        </row>
        <row r="1593">
          <cell r="C1593" t="str">
            <v>6776</v>
          </cell>
          <cell r="D1593" t="str">
            <v>BROCHA ECONOM PRISA 4COMANDER-BAJA-</v>
          </cell>
          <cell r="H1593">
            <v>52.59</v>
          </cell>
        </row>
        <row r="1594">
          <cell r="C1594" t="str">
            <v>6775</v>
          </cell>
          <cell r="D1594" t="str">
            <v>BROCHA ECONOM PRISA 3COMANDER -BAJA-</v>
          </cell>
          <cell r="H1594">
            <v>33.619999999999997</v>
          </cell>
        </row>
        <row r="1595">
          <cell r="C1595" t="str">
            <v>6772</v>
          </cell>
          <cell r="D1595" t="str">
            <v>BROCHA ECONOM PRISA 1 1/2COMANDER -BAJA-</v>
          </cell>
          <cell r="H1595">
            <v>17.239999999999998</v>
          </cell>
        </row>
        <row r="1596">
          <cell r="C1596" t="str">
            <v>6770</v>
          </cell>
          <cell r="D1596" t="str">
            <v>BROCHA ECONOM PRISA 1/2COMANDER -BAJA-</v>
          </cell>
          <cell r="H1596">
            <v>8.6199999999999992</v>
          </cell>
        </row>
        <row r="1597">
          <cell r="C1597" t="str">
            <v>6758</v>
          </cell>
          <cell r="D1597" t="str">
            <v>BROCHA COMANDER 6 PULG -BAJA-</v>
          </cell>
          <cell r="H1597">
            <v>124.14</v>
          </cell>
        </row>
        <row r="1598">
          <cell r="C1598" t="str">
            <v>6757</v>
          </cell>
          <cell r="D1598" t="str">
            <v>BROCHA COMANDER 5" -HASTA AGOTAR EXIST-</v>
          </cell>
          <cell r="H1598">
            <v>98.28</v>
          </cell>
        </row>
        <row r="1599">
          <cell r="C1599" t="str">
            <v>6755</v>
          </cell>
          <cell r="D1599" t="str">
            <v>BROCHA COMANDER 3 PG -BAJA-</v>
          </cell>
          <cell r="H1599">
            <v>43.1</v>
          </cell>
        </row>
        <row r="1600">
          <cell r="C1600" t="str">
            <v>6754</v>
          </cell>
          <cell r="D1600" t="str">
            <v>BROCHA COMANDER 2 1/2 PULG -BAJA-</v>
          </cell>
          <cell r="H1600">
            <v>34.479999999999997</v>
          </cell>
        </row>
        <row r="1601">
          <cell r="C1601" t="str">
            <v>6752</v>
          </cell>
          <cell r="D1601" t="str">
            <v>BROCHA COMANDER  11/2 PULG -BAJA-</v>
          </cell>
          <cell r="H1601">
            <v>25.86</v>
          </cell>
        </row>
        <row r="1602">
          <cell r="C1602" t="str">
            <v>6751</v>
          </cell>
          <cell r="D1602" t="str">
            <v>BROCHA COMANDER  1 PULG -BAJA-</v>
          </cell>
          <cell r="H1602">
            <v>18.100000000000001</v>
          </cell>
        </row>
        <row r="1603">
          <cell r="C1603" t="str">
            <v>6416</v>
          </cell>
          <cell r="D1603" t="str">
            <v>RESANADOR ONETIME 240 ML -RD-0542-</v>
          </cell>
          <cell r="H1603">
            <v>53.45</v>
          </cell>
        </row>
        <row r="1604">
          <cell r="C1604" t="str">
            <v>6415</v>
          </cell>
          <cell r="D1604" t="str">
            <v>RESANADOR ONETIME 950 ML DESCONTINUADO</v>
          </cell>
          <cell r="H1604">
            <v>136.21</v>
          </cell>
        </row>
        <row r="1605">
          <cell r="C1605" t="str">
            <v>6410</v>
          </cell>
          <cell r="D1605" t="str">
            <v>PASTA REDIMIX MULTIUSOS CUBETA 6 KG</v>
          </cell>
          <cell r="H1605">
            <v>210.34</v>
          </cell>
        </row>
        <row r="1606">
          <cell r="C1606" t="str">
            <v>2463</v>
          </cell>
          <cell r="D1606" t="str">
            <v>AEROSOL AZUL METALICO</v>
          </cell>
          <cell r="H1606">
            <v>53.45</v>
          </cell>
        </row>
        <row r="1607">
          <cell r="C1607" t="str">
            <v>2462</v>
          </cell>
          <cell r="D1607" t="str">
            <v>AEROSOL ROJO METALICO</v>
          </cell>
          <cell r="H1607">
            <v>53.45</v>
          </cell>
        </row>
        <row r="1608">
          <cell r="C1608" t="str">
            <v>2461</v>
          </cell>
          <cell r="D1608" t="str">
            <v>AEROSOL VERDE METALICO</v>
          </cell>
          <cell r="H1608">
            <v>68.099999999999994</v>
          </cell>
        </row>
        <row r="1609">
          <cell r="C1609" t="str">
            <v>2454</v>
          </cell>
          <cell r="D1609" t="str">
            <v>AEROSOL PRISA SUPER CROMO</v>
          </cell>
          <cell r="H1609">
            <v>53.45</v>
          </cell>
        </row>
        <row r="1610">
          <cell r="C1610" t="str">
            <v>2451</v>
          </cell>
          <cell r="D1610" t="str">
            <v>AEROSOL SUPER ORO</v>
          </cell>
          <cell r="H1610">
            <v>55.17</v>
          </cell>
        </row>
        <row r="1611">
          <cell r="C1611" t="str">
            <v>2411</v>
          </cell>
          <cell r="D1611" t="str">
            <v>AEROSOL AMARILLO FLUORESCENTE</v>
          </cell>
          <cell r="H1611">
            <v>68.099999999999994</v>
          </cell>
        </row>
        <row r="1612">
          <cell r="C1612" t="str">
            <v>2399</v>
          </cell>
          <cell r="D1612" t="str">
            <v>AEROSOL NEGRO BRILLANTE</v>
          </cell>
          <cell r="H1612">
            <v>41.38</v>
          </cell>
        </row>
        <row r="1613">
          <cell r="C1613" t="str">
            <v>2398</v>
          </cell>
          <cell r="D1613" t="str">
            <v>AEROSOL NEGRO MATE</v>
          </cell>
          <cell r="H1613">
            <v>41.38</v>
          </cell>
        </row>
        <row r="1614">
          <cell r="C1614" t="str">
            <v>2397</v>
          </cell>
          <cell r="D1614" t="str">
            <v>AEROSOL  NEGRO SEMI BRILLANTE</v>
          </cell>
          <cell r="H1614">
            <v>41.38</v>
          </cell>
        </row>
        <row r="1615">
          <cell r="C1615" t="str">
            <v>2396</v>
          </cell>
          <cell r="D1615" t="str">
            <v>AEROSOL NEGRO METALICO</v>
          </cell>
          <cell r="H1615">
            <v>53.45</v>
          </cell>
        </row>
        <row r="1616">
          <cell r="C1616" t="str">
            <v>2393</v>
          </cell>
          <cell r="D1616" t="str">
            <v>AEROSOL GRIS CLARO</v>
          </cell>
          <cell r="H1616">
            <v>41.38</v>
          </cell>
        </row>
        <row r="1617">
          <cell r="C1617" t="str">
            <v>2390</v>
          </cell>
          <cell r="D1617" t="str">
            <v>AEROSOL ALUMINIO</v>
          </cell>
          <cell r="H1617">
            <v>41.38</v>
          </cell>
        </row>
        <row r="1618">
          <cell r="C1618" t="str">
            <v>2381</v>
          </cell>
          <cell r="D1618" t="str">
            <v>AEROSOL PRIMARIO GRIS</v>
          </cell>
          <cell r="H1618">
            <v>41.38</v>
          </cell>
        </row>
        <row r="1619">
          <cell r="C1619" t="str">
            <v>2380</v>
          </cell>
          <cell r="D1619" t="str">
            <v>AEROSOL ACRILICO TRANSPARENTE</v>
          </cell>
          <cell r="H1619">
            <v>53.45</v>
          </cell>
        </row>
        <row r="1620">
          <cell r="C1620" t="str">
            <v>2376</v>
          </cell>
          <cell r="D1620" t="str">
            <v>AEROSOL VERDE JOHN DEERE</v>
          </cell>
          <cell r="H1620">
            <v>41.38</v>
          </cell>
        </row>
        <row r="1621">
          <cell r="C1621" t="str">
            <v>2375</v>
          </cell>
          <cell r="D1621" t="str">
            <v>AEROSOL VERDE FLORESTA</v>
          </cell>
          <cell r="H1621">
            <v>41.38</v>
          </cell>
        </row>
        <row r="1622">
          <cell r="C1622" t="str">
            <v>2373</v>
          </cell>
          <cell r="D1622" t="str">
            <v>AEROSOL VERDE HOJA</v>
          </cell>
          <cell r="H1622">
            <v>41.38</v>
          </cell>
        </row>
        <row r="1623">
          <cell r="C1623" t="str">
            <v>2367</v>
          </cell>
          <cell r="D1623" t="str">
            <v>AEROSOL AZUL NAVAL</v>
          </cell>
          <cell r="H1623">
            <v>41.38</v>
          </cell>
        </row>
        <row r="1624">
          <cell r="C1624" t="str">
            <v>2366</v>
          </cell>
          <cell r="D1624" t="str">
            <v>AEROSOL AZUL OBSCURO</v>
          </cell>
          <cell r="H1624">
            <v>41.38</v>
          </cell>
        </row>
        <row r="1625">
          <cell r="C1625" t="str">
            <v>2365</v>
          </cell>
          <cell r="D1625" t="str">
            <v>AEROSOL  AZUL VERDADERO</v>
          </cell>
          <cell r="H1625">
            <v>41.38</v>
          </cell>
        </row>
        <row r="1626">
          <cell r="C1626" t="str">
            <v>2364</v>
          </cell>
          <cell r="D1626" t="str">
            <v>AEROSOL AZUL CLARO</v>
          </cell>
          <cell r="H1626">
            <v>41.38</v>
          </cell>
        </row>
        <row r="1627">
          <cell r="C1627" t="str">
            <v>2358</v>
          </cell>
          <cell r="D1627" t="str">
            <v>AEROSOL CAFE CHOCOLATE</v>
          </cell>
          <cell r="H1627">
            <v>41.38</v>
          </cell>
        </row>
        <row r="1628">
          <cell r="C1628" t="str">
            <v>2356</v>
          </cell>
          <cell r="D1628" t="str">
            <v>AEROSOL ROJO OXIDO</v>
          </cell>
          <cell r="H1628">
            <v>41.38</v>
          </cell>
        </row>
        <row r="1629">
          <cell r="C1629" t="str">
            <v>2345</v>
          </cell>
          <cell r="D1629" t="str">
            <v>AEROSOL ROJO</v>
          </cell>
          <cell r="H1629">
            <v>41.38</v>
          </cell>
        </row>
        <row r="1630">
          <cell r="C1630" t="str">
            <v>2344</v>
          </cell>
          <cell r="D1630" t="str">
            <v>AEROSOL MORADO</v>
          </cell>
          <cell r="H1630">
            <v>53.45</v>
          </cell>
        </row>
        <row r="1631">
          <cell r="C1631" t="str">
            <v>2343</v>
          </cell>
          <cell r="D1631" t="str">
            <v>AEROSOL ROSA</v>
          </cell>
          <cell r="H1631">
            <v>41.38</v>
          </cell>
        </row>
        <row r="1632">
          <cell r="C1632" t="str">
            <v>2335</v>
          </cell>
          <cell r="D1632" t="str">
            <v>AEROSOL NARANJA</v>
          </cell>
          <cell r="H1632">
            <v>41.38</v>
          </cell>
        </row>
        <row r="1633">
          <cell r="C1633" t="str">
            <v>2324</v>
          </cell>
          <cell r="D1633" t="str">
            <v>AEROSOL BEIGE</v>
          </cell>
          <cell r="H1633">
            <v>41.38</v>
          </cell>
        </row>
        <row r="1634">
          <cell r="C1634" t="str">
            <v>2322</v>
          </cell>
          <cell r="D1634" t="str">
            <v>AEROSOL ALMENDRA</v>
          </cell>
          <cell r="H1634">
            <v>41.38</v>
          </cell>
        </row>
        <row r="1635">
          <cell r="C1635" t="str">
            <v>2317</v>
          </cell>
          <cell r="D1635" t="str">
            <v>AEROSOL AMARILLO CATERPILLAR</v>
          </cell>
          <cell r="H1635">
            <v>41.38</v>
          </cell>
        </row>
        <row r="1636">
          <cell r="C1636" t="str">
            <v>2316</v>
          </cell>
          <cell r="D1636" t="str">
            <v>AEROSOL AMARILLO CANARIO</v>
          </cell>
          <cell r="H1636">
            <v>41.38</v>
          </cell>
        </row>
        <row r="1637">
          <cell r="C1637" t="str">
            <v>2315</v>
          </cell>
          <cell r="D1637" t="str">
            <v>AEROSOL AMARILLO</v>
          </cell>
          <cell r="H1637">
            <v>41.38</v>
          </cell>
        </row>
        <row r="1638">
          <cell r="C1638" t="str">
            <v>2314</v>
          </cell>
          <cell r="D1638" t="str">
            <v>AEROSOL ORO</v>
          </cell>
          <cell r="H1638">
            <v>55.17</v>
          </cell>
        </row>
        <row r="1639">
          <cell r="C1639" t="str">
            <v>2301</v>
          </cell>
          <cell r="D1639" t="str">
            <v>AEROSOL BLANCO MATE</v>
          </cell>
          <cell r="H1639">
            <v>41.38</v>
          </cell>
        </row>
        <row r="1640">
          <cell r="C1640" t="str">
            <v>2300</v>
          </cell>
          <cell r="D1640" t="str">
            <v>AEROSOL BLANCO BRILLANTE</v>
          </cell>
          <cell r="H1640">
            <v>41.38</v>
          </cell>
        </row>
        <row r="1641">
          <cell r="C1641" t="str">
            <v>720</v>
          </cell>
          <cell r="D1641" t="str">
            <v>CREMALL DER 2.20X0.5 C/ANG P/PANEL PERF</v>
          </cell>
          <cell r="H1641">
            <v>1100.8599999999999</v>
          </cell>
        </row>
        <row r="1642">
          <cell r="C1642" t="str">
            <v>715</v>
          </cell>
          <cell r="D1642" t="str">
            <v>GANCHO DE 1/4 DE 20 CM C/TARJETERO AMARI</v>
          </cell>
          <cell r="H1642">
            <v>32.76</v>
          </cell>
        </row>
        <row r="1643">
          <cell r="C1643" t="str">
            <v>714</v>
          </cell>
          <cell r="D1643" t="str">
            <v>CANASTILLA 1.22X0.40 AMARI</v>
          </cell>
          <cell r="H1643">
            <v>566.38</v>
          </cell>
        </row>
        <row r="1644">
          <cell r="C1644" t="str">
            <v>713</v>
          </cell>
          <cell r="D1644" t="str">
            <v>PORTA ANUNCIO P/BASE CURVA "CABECERA"BCO</v>
          </cell>
          <cell r="H1644">
            <v>223.28</v>
          </cell>
        </row>
        <row r="1645">
          <cell r="C1645" t="str">
            <v>712</v>
          </cell>
          <cell r="D1645" t="str">
            <v>PORTA ANUNCIO PARA GONDOLA CENTRAL BCO</v>
          </cell>
          <cell r="H1645">
            <v>331.9</v>
          </cell>
        </row>
        <row r="1646">
          <cell r="C1646" t="str">
            <v>711</v>
          </cell>
          <cell r="D1646" t="str">
            <v>PLATAFORMA REDONDA CON TARJETERO BCO</v>
          </cell>
          <cell r="H1646">
            <v>4020.69</v>
          </cell>
        </row>
        <row r="1647">
          <cell r="C1647" t="str">
            <v>710</v>
          </cell>
          <cell r="D1647" t="str">
            <v>ENTREPANO 0.30X1.22 C/TARJETERO Y PERF</v>
          </cell>
          <cell r="H1647">
            <v>539.66</v>
          </cell>
        </row>
        <row r="1648">
          <cell r="C1648" t="str">
            <v>709</v>
          </cell>
          <cell r="D1648" t="str">
            <v>ENTREPAN 0.40X1.22 C/TARJETERO Y PERFO</v>
          </cell>
          <cell r="H1648">
            <v>566.38</v>
          </cell>
        </row>
        <row r="1649">
          <cell r="C1649" t="str">
            <v>707</v>
          </cell>
          <cell r="D1649" t="str">
            <v>ENTREPAÑO CURVO 0.68X0.345/TARJ PERF BCO</v>
          </cell>
          <cell r="H1649">
            <v>485.34</v>
          </cell>
        </row>
        <row r="1650">
          <cell r="C1650" t="str">
            <v>706</v>
          </cell>
          <cell r="D1650" t="str">
            <v>ENTREPANO CURVO 0.875X0.44/TARJ PERF BCO</v>
          </cell>
          <cell r="H1650">
            <v>718.1</v>
          </cell>
        </row>
        <row r="1651">
          <cell r="C1651" t="str">
            <v>705</v>
          </cell>
          <cell r="D1651" t="str">
            <v>BASE CURVA "CABECERA"0.975X0.49X0.20 BCO</v>
          </cell>
          <cell r="H1651">
            <v>1503.45</v>
          </cell>
        </row>
        <row r="1652">
          <cell r="C1652" t="str">
            <v>660</v>
          </cell>
          <cell r="D1652" t="str">
            <v>BANCO NEGRO DE VINIPIEL</v>
          </cell>
          <cell r="H1652">
            <v>1766.38</v>
          </cell>
        </row>
        <row r="1653">
          <cell r="C1653" t="str">
            <v>644</v>
          </cell>
          <cell r="D1653" t="str">
            <v>EXHIBIDOR DE ACCESORIOS PISO</v>
          </cell>
          <cell r="H1653">
            <v>9273.2800000000007</v>
          </cell>
        </row>
        <row r="1654">
          <cell r="C1654" t="str">
            <v>643</v>
          </cell>
          <cell r="D1654" t="str">
            <v>EXHIBIDOR DE ESTOPA SENCILLO</v>
          </cell>
          <cell r="H1654">
            <v>4475</v>
          </cell>
        </row>
        <row r="1655">
          <cell r="C1655" t="str">
            <v>641</v>
          </cell>
          <cell r="D1655" t="str">
            <v>EXHIBIDOR DE ESTOPA DOBLE</v>
          </cell>
          <cell r="H1655">
            <v>3356.03</v>
          </cell>
        </row>
        <row r="1656">
          <cell r="C1656" t="str">
            <v>640</v>
          </cell>
          <cell r="D1656" t="str">
            <v>EXHIBIDOR DE ESTOPA SENCILLO</v>
          </cell>
          <cell r="H1656">
            <v>2850</v>
          </cell>
        </row>
        <row r="1657">
          <cell r="C1657" t="str">
            <v>630</v>
          </cell>
          <cell r="D1657" t="str">
            <v>LIBRO INSPIRACIONAL (.39X.34)</v>
          </cell>
          <cell r="H1657">
            <v>2796.55</v>
          </cell>
        </row>
        <row r="1658">
          <cell r="C1658" t="str">
            <v>624</v>
          </cell>
          <cell r="D1658" t="str">
            <v>RIEL DOBLE LARGO 2.57 M</v>
          </cell>
          <cell r="H1658">
            <v>220.69</v>
          </cell>
        </row>
        <row r="1659">
          <cell r="C1659" t="str">
            <v>623</v>
          </cell>
          <cell r="D1659" t="str">
            <v>RIEL DOBLE CORTO 1.72 M</v>
          </cell>
          <cell r="H1659">
            <v>181.03</v>
          </cell>
        </row>
        <row r="1660">
          <cell r="C1660" t="str">
            <v>622</v>
          </cell>
          <cell r="D1660" t="str">
            <v>RIEL SENCILLO LARGO 2.57 M</v>
          </cell>
          <cell r="H1660">
            <v>173.28</v>
          </cell>
        </row>
        <row r="1661">
          <cell r="C1661" t="str">
            <v>621</v>
          </cell>
          <cell r="D1661" t="str">
            <v>RIEL SENCILLO CORTO 1.72 M</v>
          </cell>
          <cell r="H1661">
            <v>154.31</v>
          </cell>
        </row>
        <row r="1662">
          <cell r="C1662" t="str">
            <v>620</v>
          </cell>
          <cell r="D1662" t="str">
            <v>ANAQUEL BLANCO (2.20X.45X.85) 5 CHAROLAS</v>
          </cell>
          <cell r="H1662">
            <v>1616.38</v>
          </cell>
        </row>
        <row r="1663">
          <cell r="C1663" t="str">
            <v>610</v>
          </cell>
          <cell r="D1663" t="str">
            <v>MOSTRADOR DE IGUALACION (1.20X.60X.90)</v>
          </cell>
          <cell r="H1663">
            <v>14775.86</v>
          </cell>
        </row>
        <row r="1664">
          <cell r="C1664" t="str">
            <v>602</v>
          </cell>
          <cell r="D1664" t="str">
            <v>ESQUINERO CON EXHIBICION .90</v>
          </cell>
          <cell r="H1664">
            <v>4662.93</v>
          </cell>
        </row>
        <row r="1665">
          <cell r="C1665" t="str">
            <v>601</v>
          </cell>
          <cell r="D1665" t="str">
            <v>MOSTRADOR CIEGO (1.20X.60X.90)</v>
          </cell>
          <cell r="H1665">
            <v>10253.450000000001</v>
          </cell>
        </row>
        <row r="1666">
          <cell r="C1666" t="str">
            <v>600</v>
          </cell>
          <cell r="D1666" t="str">
            <v>MOSTRADOR DE EXHIBICION (1.50X.60X.90)</v>
          </cell>
          <cell r="H1666">
            <v>11879.31</v>
          </cell>
        </row>
        <row r="1667">
          <cell r="C1667" t="str">
            <v>360</v>
          </cell>
          <cell r="D1667" t="str">
            <v>COLADOR DE PAPEL -SIGLO-</v>
          </cell>
          <cell r="H1667">
            <v>1.72</v>
          </cell>
        </row>
        <row r="1668">
          <cell r="C1668" t="str">
            <v>343</v>
          </cell>
          <cell r="D1668" t="str">
            <v>PALA DE ALUMINIO P/CUBETA GRADUADA</v>
          </cell>
          <cell r="H1668">
            <v>97.41</v>
          </cell>
        </row>
        <row r="1669">
          <cell r="C1669" t="str">
            <v>342</v>
          </cell>
          <cell r="D1669" t="str">
            <v>PALA DE MADERA PARA LITRO -BAJA-</v>
          </cell>
          <cell r="H1669">
            <v>1.72</v>
          </cell>
        </row>
        <row r="1670">
          <cell r="C1670" t="str">
            <v>341</v>
          </cell>
          <cell r="D1670" t="str">
            <v>PALA DE MADERA PARA GALON -BAJA-</v>
          </cell>
          <cell r="H1670">
            <v>3.45</v>
          </cell>
        </row>
        <row r="1671">
          <cell r="C1671" t="str">
            <v>340</v>
          </cell>
          <cell r="D1671" t="str">
            <v>PALA DE MADERA PARA CUBETA -BAJA-</v>
          </cell>
          <cell r="H1671">
            <v>4.3099999999999996</v>
          </cell>
        </row>
        <row r="1672">
          <cell r="C1672" t="str">
            <v>14946</v>
          </cell>
          <cell r="D1672" t="str">
            <v>CATALIZADOR PU NO AMARILL.P/B K1</v>
          </cell>
          <cell r="H1672">
            <v>101.72</v>
          </cell>
        </row>
        <row r="1673">
          <cell r="C1673" t="str">
            <v>14944</v>
          </cell>
          <cell r="D1673" t="str">
            <v>CATALIZADOR PU NO AMARILL.P/B K1</v>
          </cell>
          <cell r="H1673">
            <v>264.66000000000003</v>
          </cell>
        </row>
        <row r="1674">
          <cell r="C1674" t="str">
            <v>13444</v>
          </cell>
          <cell r="D1674" t="str">
            <v>LACA INDUSTRIAL DE NITROCELULOSA</v>
          </cell>
          <cell r="H1674">
            <v>143.97</v>
          </cell>
        </row>
        <row r="1675">
          <cell r="C1675" t="str">
            <v>12763</v>
          </cell>
          <cell r="D1675" t="str">
            <v>SELLADOR A.S. ALTA VISCOSIDAD 25</v>
          </cell>
          <cell r="H1675">
            <v>690.52</v>
          </cell>
        </row>
        <row r="1676">
          <cell r="C1676" t="str">
            <v>12760</v>
          </cell>
          <cell r="D1676" t="str">
            <v>SELLADOR A.S. ALTA VISCOSIDAD 25</v>
          </cell>
          <cell r="H1676">
            <v>31964.66</v>
          </cell>
        </row>
        <row r="1677">
          <cell r="C1677" t="str">
            <v>12754</v>
          </cell>
          <cell r="D1677" t="str">
            <v>SELLADOR ALTA VISCOSIDAD 250</v>
          </cell>
          <cell r="H1677">
            <v>281.89999999999998</v>
          </cell>
        </row>
        <row r="1678">
          <cell r="C1678" t="str">
            <v>12753</v>
          </cell>
          <cell r="D1678" t="str">
            <v>SELLADOR ALTA VISCOSIDAD 250</v>
          </cell>
          <cell r="H1678">
            <v>987.07</v>
          </cell>
        </row>
        <row r="1679">
          <cell r="C1679" t="str">
            <v>12751</v>
          </cell>
          <cell r="D1679" t="str">
            <v>SELLADOR ALTA VISCOSIDAD 250</v>
          </cell>
          <cell r="H1679">
            <v>4040.52</v>
          </cell>
        </row>
        <row r="1680">
          <cell r="C1680" t="str">
            <v>12721</v>
          </cell>
          <cell r="D1680" t="str">
            <v>SELLADOR ACRILICO TRANSP. A.DIRE</v>
          </cell>
          <cell r="H1680">
            <v>3312.93</v>
          </cell>
        </row>
        <row r="1681">
          <cell r="C1681" t="str">
            <v>11743</v>
          </cell>
          <cell r="D1681" t="str">
            <v>TINTA CONCENTRADA PARA IGUALAR ROJA</v>
          </cell>
          <cell r="H1681">
            <v>2725</v>
          </cell>
        </row>
        <row r="1682">
          <cell r="C1682" t="str">
            <v>11694</v>
          </cell>
          <cell r="D1682" t="str">
            <v>TINTA AL ALCOHOL NOGAL</v>
          </cell>
          <cell r="H1682">
            <v>161.21</v>
          </cell>
        </row>
        <row r="1683">
          <cell r="C1683" t="str">
            <v>11664</v>
          </cell>
          <cell r="D1683" t="str">
            <v>TINTA AL ALCOHOL CAOBA</v>
          </cell>
          <cell r="H1683">
            <v>161.21</v>
          </cell>
        </row>
        <row r="1684">
          <cell r="C1684" t="str">
            <v>11654</v>
          </cell>
          <cell r="D1684" t="str">
            <v>TINTA AL ALCOHOL ROBLE</v>
          </cell>
          <cell r="H1684">
            <v>161.21</v>
          </cell>
        </row>
        <row r="1685">
          <cell r="C1685" t="str">
            <v>11644</v>
          </cell>
          <cell r="D1685" t="str">
            <v>TINTA AL ALCOHOL MAPLE</v>
          </cell>
          <cell r="H1685">
            <v>161.21</v>
          </cell>
        </row>
        <row r="1686">
          <cell r="C1686" t="str">
            <v>11624</v>
          </cell>
          <cell r="D1686" t="str">
            <v>TINTA AL ALCOHOL CEDRO</v>
          </cell>
          <cell r="H1686">
            <v>161.21</v>
          </cell>
        </row>
        <row r="1687">
          <cell r="C1687" t="str">
            <v>11621</v>
          </cell>
          <cell r="D1687" t="str">
            <v>TINTA AL ALCOHOL CEDRO</v>
          </cell>
          <cell r="H1687">
            <v>2672.41</v>
          </cell>
        </row>
        <row r="1688">
          <cell r="C1688" t="str">
            <v>11604</v>
          </cell>
          <cell r="D1688" t="str">
            <v>TINTA AL ALCOHOL BURDEOS</v>
          </cell>
          <cell r="H1688">
            <v>156.9</v>
          </cell>
        </row>
        <row r="1689">
          <cell r="C1689" t="str">
            <v>11484</v>
          </cell>
          <cell r="D1689" t="str">
            <v>MANCHA PARA MADERA NOGAL</v>
          </cell>
          <cell r="H1689">
            <v>162.07</v>
          </cell>
        </row>
        <row r="1690">
          <cell r="C1690" t="str">
            <v>11481</v>
          </cell>
          <cell r="D1690" t="str">
            <v>MANCHA PARA MADERA NOGAL</v>
          </cell>
          <cell r="H1690">
            <v>2534.48</v>
          </cell>
        </row>
        <row r="1691">
          <cell r="C1691" t="str">
            <v>11454</v>
          </cell>
          <cell r="D1691" t="str">
            <v>MANCHA PARA MADERA ROBLE</v>
          </cell>
          <cell r="H1691">
            <v>147.41</v>
          </cell>
        </row>
        <row r="1692">
          <cell r="C1692" t="str">
            <v>10593</v>
          </cell>
          <cell r="D1692" t="str">
            <v>SIGLO FONDO PU NEGRO PARA MADERA</v>
          </cell>
          <cell r="H1692">
            <v>850.86</v>
          </cell>
        </row>
        <row r="1693">
          <cell r="C1693" t="str">
            <v>10591</v>
          </cell>
          <cell r="D1693" t="str">
            <v>SIGLO FONDO PU NEGRO PARA MADERA</v>
          </cell>
          <cell r="H1693">
            <v>3473.28</v>
          </cell>
        </row>
        <row r="1694">
          <cell r="C1694" t="str">
            <v>10583</v>
          </cell>
          <cell r="D1694" t="str">
            <v>FONDO DE POLIURETANO CHOCOLATE</v>
          </cell>
          <cell r="H1694">
            <v>850.86</v>
          </cell>
        </row>
        <row r="1695">
          <cell r="C1695" t="str">
            <v>10581</v>
          </cell>
          <cell r="D1695" t="str">
            <v>FONDO DE POLIURETANO CHOCOLATE</v>
          </cell>
          <cell r="H1695">
            <v>3473.28</v>
          </cell>
        </row>
        <row r="1696">
          <cell r="C1696" t="str">
            <v>10553</v>
          </cell>
          <cell r="D1696" t="str">
            <v>FONDO POLIURETANO ROJO OXIDO P/M</v>
          </cell>
          <cell r="H1696">
            <v>766.38</v>
          </cell>
        </row>
        <row r="1697">
          <cell r="C1697" t="str">
            <v>10551</v>
          </cell>
          <cell r="D1697" t="str">
            <v>FONDO POLIURETANO ROJO OXIDO P/M</v>
          </cell>
          <cell r="H1697">
            <v>3140.52</v>
          </cell>
        </row>
        <row r="1698">
          <cell r="C1698" t="str">
            <v>10521</v>
          </cell>
          <cell r="D1698" t="str">
            <v>FONDO DE P.U. AMARILLO OXIDO P / MADERA</v>
          </cell>
          <cell r="H1698">
            <v>3242.24</v>
          </cell>
        </row>
        <row r="1699">
          <cell r="C1699" t="str">
            <v>10504</v>
          </cell>
          <cell r="D1699" t="str">
            <v>SIGLO FONDO PU BLANCO PARA MADERA</v>
          </cell>
          <cell r="H1699">
            <v>250</v>
          </cell>
        </row>
        <row r="1700">
          <cell r="C1700" t="str">
            <v>10503</v>
          </cell>
          <cell r="D1700" t="str">
            <v>SIGLO FONDO PU BLANCO PARA MADERA</v>
          </cell>
          <cell r="H1700">
            <v>883.62</v>
          </cell>
        </row>
        <row r="1701">
          <cell r="C1701" t="str">
            <v>10501</v>
          </cell>
          <cell r="D1701" t="str">
            <v>SIGLO FONDO PU BLANCO PARA MADERA</v>
          </cell>
          <cell r="H1701">
            <v>3656.03</v>
          </cell>
        </row>
        <row r="1702">
          <cell r="C1702" t="str">
            <v>10293</v>
          </cell>
          <cell r="D1702" t="str">
            <v>FONDO DE NITRO PARA MADERA NEGRO</v>
          </cell>
          <cell r="H1702">
            <v>843.1</v>
          </cell>
        </row>
        <row r="1703">
          <cell r="C1703" t="str">
            <v>10291</v>
          </cell>
          <cell r="D1703" t="str">
            <v>FONDO DE NITRO PARA MADERA NEGRO</v>
          </cell>
          <cell r="H1703">
            <v>3141.38</v>
          </cell>
        </row>
        <row r="1704">
          <cell r="C1704" t="str">
            <v>10253</v>
          </cell>
          <cell r="D1704" t="str">
            <v>FONDO DE NITRO PARA MADERA ROJO OXIDO</v>
          </cell>
          <cell r="H1704">
            <v>798.28</v>
          </cell>
        </row>
        <row r="1705">
          <cell r="C1705" t="str">
            <v>10251</v>
          </cell>
          <cell r="D1705" t="str">
            <v>FONDO DE NITRO PARA MADERA ROJO OXIDO</v>
          </cell>
          <cell r="H1705">
            <v>3278.45</v>
          </cell>
        </row>
        <row r="1706">
          <cell r="C1706" t="str">
            <v>10223</v>
          </cell>
          <cell r="D1706" t="str">
            <v>FONDO DE NITRO PARA MADERA OCRE</v>
          </cell>
          <cell r="H1706">
            <v>760.34</v>
          </cell>
        </row>
        <row r="1707">
          <cell r="C1707" t="str">
            <v>10221</v>
          </cell>
          <cell r="D1707" t="str">
            <v>FONDO DE NITRO PARA MADERA OCRE</v>
          </cell>
          <cell r="H1707">
            <v>3147.41</v>
          </cell>
        </row>
        <row r="1708">
          <cell r="C1708" t="str">
            <v>10204</v>
          </cell>
          <cell r="D1708" t="str">
            <v>FONDO DE NITRO PARA MADERA BLANCO</v>
          </cell>
          <cell r="H1708">
            <v>206.03</v>
          </cell>
        </row>
        <row r="1709">
          <cell r="C1709" t="str">
            <v>10203</v>
          </cell>
          <cell r="D1709" t="str">
            <v>FONDO DE NITRO PARA MADERA BLANCO</v>
          </cell>
          <cell r="H1709">
            <v>730.17</v>
          </cell>
        </row>
        <row r="1710">
          <cell r="C1710" t="str">
            <v>10201</v>
          </cell>
          <cell r="D1710" t="str">
            <v>FONDO DE NITRO PARA MADERA BLANCO</v>
          </cell>
          <cell r="H1710">
            <v>3383.62</v>
          </cell>
        </row>
        <row r="1711">
          <cell r="C1711" t="str">
            <v>10200</v>
          </cell>
          <cell r="D1711" t="str">
            <v>FONDO DE NITRO PARA MADERA BLANCO</v>
          </cell>
          <cell r="H1711">
            <v>30156.03</v>
          </cell>
        </row>
        <row r="1712">
          <cell r="C1712" t="str">
            <v>14975</v>
          </cell>
          <cell r="D1712" t="str">
            <v>CATALIZADOR PARA POLIURETANO</v>
          </cell>
          <cell r="H1712">
            <v>122.41</v>
          </cell>
        </row>
        <row r="1713">
          <cell r="C1713" t="str">
            <v>14974</v>
          </cell>
          <cell r="D1713" t="str">
            <v>CATALIZADOR PARA POLIURETANO</v>
          </cell>
          <cell r="H1713">
            <v>270.69</v>
          </cell>
        </row>
        <row r="1714">
          <cell r="C1714" t="str">
            <v>14973</v>
          </cell>
          <cell r="D1714" t="str">
            <v>CATALIZADOR PARA POLIURETANO</v>
          </cell>
          <cell r="H1714">
            <v>937.07</v>
          </cell>
        </row>
        <row r="1715">
          <cell r="C1715" t="str">
            <v>14971</v>
          </cell>
          <cell r="D1715" t="str">
            <v>CATALIZADOR PARA POLIURETANO</v>
          </cell>
          <cell r="H1715">
            <v>4118.1000000000004</v>
          </cell>
        </row>
        <row r="1716">
          <cell r="C1716" t="str">
            <v>14934</v>
          </cell>
          <cell r="D1716" t="str">
            <v>CATALIZADOR DE POLIURETANO ESTAN</v>
          </cell>
          <cell r="H1716">
            <v>275</v>
          </cell>
        </row>
        <row r="1717">
          <cell r="C1717" t="str">
            <v>14933</v>
          </cell>
          <cell r="D1717" t="str">
            <v>CATALIZADOR DE POLIURETANO ESTAN</v>
          </cell>
          <cell r="H1717">
            <v>975</v>
          </cell>
        </row>
        <row r="1718">
          <cell r="C1718" t="str">
            <v>14931</v>
          </cell>
          <cell r="D1718" t="str">
            <v>CATALIZADOR DE POLIURETANO ESTAN</v>
          </cell>
          <cell r="H1718">
            <v>3983.62</v>
          </cell>
        </row>
        <row r="1719">
          <cell r="C1719" t="str">
            <v>14884</v>
          </cell>
          <cell r="D1719" t="str">
            <v>BARNIZ DE ALTO BRILLO</v>
          </cell>
          <cell r="H1719">
            <v>231.03</v>
          </cell>
        </row>
        <row r="1720">
          <cell r="C1720" t="str">
            <v>14883</v>
          </cell>
          <cell r="D1720" t="str">
            <v>BARNIZ DE ALTO BRILLO</v>
          </cell>
          <cell r="H1720">
            <v>905.17</v>
          </cell>
        </row>
        <row r="1721">
          <cell r="C1721" t="str">
            <v>14881</v>
          </cell>
          <cell r="D1721" t="str">
            <v>BARNIZ DE ALTO BRILLO</v>
          </cell>
          <cell r="H1721">
            <v>3695.69</v>
          </cell>
        </row>
        <row r="1722">
          <cell r="C1722" t="str">
            <v>14841</v>
          </cell>
          <cell r="D1722" t="str">
            <v>BARNIZ DE PU STD TRANSP. BRILLAN</v>
          </cell>
          <cell r="H1722">
            <v>2980.17</v>
          </cell>
        </row>
        <row r="1723">
          <cell r="C1723" t="str">
            <v>14811</v>
          </cell>
          <cell r="D1723" t="str">
            <v>BARNIZ PU B-100</v>
          </cell>
          <cell r="H1723">
            <v>2210.34</v>
          </cell>
        </row>
        <row r="1724">
          <cell r="C1724" t="str">
            <v>14731</v>
          </cell>
          <cell r="D1724" t="str">
            <v>SELLADOR DE PU ESTANDAR SEMI-TRA</v>
          </cell>
          <cell r="H1724">
            <v>3168.97</v>
          </cell>
        </row>
        <row r="1725">
          <cell r="C1725" t="str">
            <v>14721</v>
          </cell>
          <cell r="D1725" t="str">
            <v>SELLADOR DE PU ESTANDAR TRANSPAR</v>
          </cell>
          <cell r="H1725">
            <v>3081.03</v>
          </cell>
        </row>
        <row r="1726">
          <cell r="C1726" t="str">
            <v>14711</v>
          </cell>
          <cell r="D1726" t="str">
            <v>SELLADOR PU ALTOS SOLIDOS SEMITP</v>
          </cell>
          <cell r="H1726">
            <v>3263.79</v>
          </cell>
        </row>
        <row r="1727">
          <cell r="C1727" t="str">
            <v>14244</v>
          </cell>
          <cell r="D1727" t="str">
            <v>BARNIZ DE POLIURETANO MATE</v>
          </cell>
          <cell r="H1727">
            <v>207.76</v>
          </cell>
        </row>
        <row r="1728">
          <cell r="C1728" t="str">
            <v>14241</v>
          </cell>
          <cell r="D1728" t="str">
            <v>BARNIZ DE POLIURETANO MATE</v>
          </cell>
          <cell r="H1728">
            <v>3122.41</v>
          </cell>
        </row>
        <row r="1729">
          <cell r="C1729" t="str">
            <v>13994</v>
          </cell>
          <cell r="D1729" t="str">
            <v>LACA INDUSTRIAL DE NITRO NEGRA</v>
          </cell>
          <cell r="H1729">
            <v>143.97</v>
          </cell>
        </row>
        <row r="1730">
          <cell r="C1730" t="str">
            <v>13993</v>
          </cell>
          <cell r="D1730" t="str">
            <v>LACA INDUSTRIAL DE NITRO NEGRA</v>
          </cell>
          <cell r="H1730">
            <v>562.07000000000005</v>
          </cell>
        </row>
        <row r="1731">
          <cell r="C1731" t="str">
            <v>13991</v>
          </cell>
          <cell r="D1731" t="str">
            <v>LACA INDUSTRIAL DE NITRO NEGRA</v>
          </cell>
          <cell r="H1731">
            <v>2603.4499999999998</v>
          </cell>
        </row>
        <row r="1732">
          <cell r="C1732" t="str">
            <v>13990</v>
          </cell>
          <cell r="D1732" t="str">
            <v>LACA INDUSTRIAL DE NITRO NEGRA</v>
          </cell>
          <cell r="H1732">
            <v>28625.86</v>
          </cell>
        </row>
        <row r="1733">
          <cell r="C1733" t="str">
            <v>13971</v>
          </cell>
          <cell r="D1733" t="str">
            <v>CONSERV. MAD PENTAPRISA "P/POLILLA"</v>
          </cell>
          <cell r="H1733">
            <v>2386.21</v>
          </cell>
        </row>
        <row r="1734">
          <cell r="C1734" t="str">
            <v>13934</v>
          </cell>
          <cell r="D1734" t="str">
            <v>MATIZANTE P/ESM. Y BAR. ALQUIDAL</v>
          </cell>
          <cell r="H1734">
            <v>177.59</v>
          </cell>
        </row>
        <row r="1735">
          <cell r="C1735" t="str">
            <v>13933</v>
          </cell>
          <cell r="D1735" t="str">
            <v>MATIZANTE P/ESM. Y BAR.ALQUIDALI</v>
          </cell>
          <cell r="H1735">
            <v>627.59</v>
          </cell>
        </row>
        <row r="1736">
          <cell r="C1736" t="str">
            <v>13931</v>
          </cell>
          <cell r="D1736" t="str">
            <v>MATIZANTE P/ESM. Y BAR.ALQUIDALI</v>
          </cell>
          <cell r="H1736">
            <v>2591.38</v>
          </cell>
        </row>
        <row r="1737">
          <cell r="C1737" t="str">
            <v>13854</v>
          </cell>
          <cell r="D1737" t="str">
            <v>LACA TRANSP. A.S. BRILLANTE A.V.</v>
          </cell>
          <cell r="H1737">
            <v>186.21</v>
          </cell>
        </row>
        <row r="1738">
          <cell r="C1738" t="str">
            <v>13853</v>
          </cell>
          <cell r="D1738" t="str">
            <v>LACA TRANSP. A.S. BRILLANTE A.V.</v>
          </cell>
          <cell r="H1738">
            <v>730.17</v>
          </cell>
        </row>
        <row r="1739">
          <cell r="C1739" t="str">
            <v>13851</v>
          </cell>
          <cell r="D1739" t="str">
            <v>LACA TRANSP. A.S. BRILLANTE A.V.</v>
          </cell>
          <cell r="H1739">
            <v>2980.17</v>
          </cell>
        </row>
        <row r="1740">
          <cell r="C1740" t="str">
            <v>13850</v>
          </cell>
          <cell r="D1740" t="str">
            <v>LACA TRANSP. A.S. BRILLANTE A.V.</v>
          </cell>
          <cell r="H1740">
            <v>29749.14</v>
          </cell>
        </row>
        <row r="1741">
          <cell r="C1741" t="str">
            <v>13773</v>
          </cell>
          <cell r="D1741" t="str">
            <v>LACA INDUSTRIAL NITROCELULOSA VERDE</v>
          </cell>
          <cell r="H1741">
            <v>562.07000000000005</v>
          </cell>
        </row>
        <row r="1742">
          <cell r="C1742" t="str">
            <v>13771</v>
          </cell>
          <cell r="D1742" t="str">
            <v>LACA INDUSTRIAL NITROCELULOSA VERDE</v>
          </cell>
          <cell r="H1742">
            <v>3074.14</v>
          </cell>
        </row>
        <row r="1743">
          <cell r="C1743" t="str">
            <v>13623</v>
          </cell>
          <cell r="D1743" t="str">
            <v>LACA INDUSTRIAL DE NITRO AZUL CL</v>
          </cell>
          <cell r="H1743">
            <v>562.07000000000005</v>
          </cell>
        </row>
        <row r="1744">
          <cell r="C1744" t="str">
            <v>13621</v>
          </cell>
          <cell r="D1744" t="str">
            <v>LACA INDUSTRIAL DE NITRO AZUL CL</v>
          </cell>
          <cell r="H1744">
            <v>3074.14</v>
          </cell>
        </row>
        <row r="1745">
          <cell r="C1745" t="str">
            <v>13583</v>
          </cell>
          <cell r="D1745" t="str">
            <v>LACA INDUSTRIAL D NITROCELULOSA</v>
          </cell>
          <cell r="H1745">
            <v>717.24</v>
          </cell>
        </row>
        <row r="1746">
          <cell r="C1746" t="str">
            <v>13581</v>
          </cell>
          <cell r="D1746" t="str">
            <v>LACA INDUSTRIAL D NITROCELULOSA</v>
          </cell>
          <cell r="H1746">
            <v>3074.14</v>
          </cell>
        </row>
        <row r="1747">
          <cell r="C1747" t="str">
            <v>13503</v>
          </cell>
          <cell r="D1747" t="str">
            <v>LACA INDUSTRIAL DE NITRO ROJO OX</v>
          </cell>
          <cell r="H1747">
            <v>562.07000000000005</v>
          </cell>
        </row>
        <row r="1748">
          <cell r="C1748" t="str">
            <v>13501</v>
          </cell>
          <cell r="D1748" t="str">
            <v>LACA INDUSTRIAL DE NITRO ROJO OX</v>
          </cell>
          <cell r="H1748">
            <v>2603.4499999999998</v>
          </cell>
        </row>
        <row r="1749">
          <cell r="C1749" t="str">
            <v>13500</v>
          </cell>
          <cell r="D1749" t="str">
            <v>LACA INDUSTRIAL DE NITRO ROJO OX</v>
          </cell>
          <cell r="H1749">
            <v>30829.31</v>
          </cell>
        </row>
        <row r="1750">
          <cell r="C1750" t="str">
            <v>13473</v>
          </cell>
          <cell r="D1750" t="str">
            <v>LACA INDUSTRIAL NITROCELULOSA MARRON</v>
          </cell>
          <cell r="H1750">
            <v>1085.3399999999999</v>
          </cell>
        </row>
        <row r="1751">
          <cell r="C1751" t="str">
            <v>13441</v>
          </cell>
          <cell r="D1751" t="str">
            <v>LACA INDUSTRIAL DE NITROCELULOSA</v>
          </cell>
          <cell r="H1751">
            <v>3589.66</v>
          </cell>
        </row>
        <row r="1752">
          <cell r="C1752" t="str">
            <v>13353</v>
          </cell>
          <cell r="D1752" t="str">
            <v>LACA INDUSTRIAL DE NITRO NARANJA</v>
          </cell>
          <cell r="H1752">
            <v>562.07000000000005</v>
          </cell>
        </row>
        <row r="1753">
          <cell r="C1753" t="str">
            <v>13351</v>
          </cell>
          <cell r="D1753" t="str">
            <v>LACA INDUSTRIAL DE NITRO NARANJA</v>
          </cell>
          <cell r="H1753">
            <v>3074.14</v>
          </cell>
        </row>
        <row r="1754">
          <cell r="C1754" t="str">
            <v>13263</v>
          </cell>
          <cell r="D1754" t="str">
            <v>LACA INDUSTRIAL NITRO AMARILLO OXIDO</v>
          </cell>
          <cell r="H1754">
            <v>562.07000000000005</v>
          </cell>
        </row>
        <row r="1755">
          <cell r="C1755" t="str">
            <v>13261</v>
          </cell>
          <cell r="D1755" t="str">
            <v>LACA INDUSTRIAL NITRO AMARILLO OXIDO</v>
          </cell>
          <cell r="H1755">
            <v>2603.4499999999998</v>
          </cell>
        </row>
        <row r="1756">
          <cell r="C1756" t="str">
            <v>13151</v>
          </cell>
          <cell r="D1756" t="str">
            <v>LACA INDUSTRIAL NITRO AMARILLO CROMO</v>
          </cell>
          <cell r="H1756">
            <v>2603.4499999999998</v>
          </cell>
        </row>
        <row r="1757">
          <cell r="C1757" t="str">
            <v>13004</v>
          </cell>
          <cell r="D1757" t="str">
            <v>LACA INDUSTRIAL D-NITROCELULOSA BLANCA</v>
          </cell>
          <cell r="H1757">
            <v>207.76</v>
          </cell>
        </row>
        <row r="1758">
          <cell r="C1758" t="str">
            <v>13003</v>
          </cell>
          <cell r="D1758" t="str">
            <v>LACA INDUSTRIAL D-NITROCELULOSA BLANCA</v>
          </cell>
          <cell r="H1758">
            <v>717.24</v>
          </cell>
        </row>
        <row r="1759">
          <cell r="C1759" t="str">
            <v>13001</v>
          </cell>
          <cell r="D1759" t="str">
            <v>LACA INDUSTRIAL D-NITROCELULOSA BLANCA</v>
          </cell>
          <cell r="H1759">
            <v>2950.86</v>
          </cell>
        </row>
        <row r="1760">
          <cell r="C1760" t="str">
            <v>13000</v>
          </cell>
          <cell r="D1760" t="str">
            <v>LACA INDUSTRIAL D-NITROCELULOSA BLANCA</v>
          </cell>
          <cell r="H1760">
            <v>29596.55</v>
          </cell>
        </row>
        <row r="1761">
          <cell r="C1761" t="str">
            <v>12790</v>
          </cell>
          <cell r="D1761" t="str">
            <v>SELLADOR CRISTAL ALTOS SOLIDOS 1</v>
          </cell>
          <cell r="H1761">
            <v>53043.1</v>
          </cell>
        </row>
        <row r="1762">
          <cell r="C1762" t="str">
            <v>12773</v>
          </cell>
          <cell r="D1762" t="str">
            <v>SELLADOR P/MUNEQUEO A.S./A.V.200</v>
          </cell>
          <cell r="H1762">
            <v>826.72</v>
          </cell>
        </row>
        <row r="1763">
          <cell r="C1763" t="str">
            <v>12771</v>
          </cell>
          <cell r="D1763" t="str">
            <v>SELLADOR P/MUNEQUEO A.S./A.V.200</v>
          </cell>
          <cell r="H1763">
            <v>3382.76</v>
          </cell>
        </row>
        <row r="1764">
          <cell r="C1764" t="str">
            <v>12770</v>
          </cell>
          <cell r="D1764" t="str">
            <v>SELLADOR P/MUNEQUEO A.S./A.V.200</v>
          </cell>
          <cell r="H1764">
            <v>33781.03</v>
          </cell>
        </row>
        <row r="1765">
          <cell r="C1765" t="str">
            <v>12764</v>
          </cell>
          <cell r="D1765" t="str">
            <v>SELLADOR A.S. ALTA VISCOSIDAD 25</v>
          </cell>
          <cell r="H1765">
            <v>175.86</v>
          </cell>
        </row>
        <row r="1766">
          <cell r="C1766" t="str">
            <v>9919</v>
          </cell>
          <cell r="D1766" t="str">
            <v>SELLADOR BLANCO -ACRILICO- PARA PISTOLA</v>
          </cell>
          <cell r="H1766">
            <v>56.9</v>
          </cell>
        </row>
        <row r="1767">
          <cell r="C1767" t="str">
            <v>801</v>
          </cell>
          <cell r="D1767" t="str">
            <v>ENTREPAÑO ARMADOR SUP .40X1.05 SIN TARJE</v>
          </cell>
          <cell r="H1767">
            <v>898.28</v>
          </cell>
        </row>
        <row r="1768">
          <cell r="C1768" t="str">
            <v>800</v>
          </cell>
          <cell r="D1768" t="str">
            <v>ASNILLA ESTANTERIA ENSAMBLE DE 1.80X.40</v>
          </cell>
          <cell r="H1768">
            <v>877.59</v>
          </cell>
        </row>
        <row r="1769">
          <cell r="C1769" t="str">
            <v>VG-50994</v>
          </cell>
          <cell r="D1769" t="str">
            <v>VINILICA GLOSI NEGRO 5A</v>
          </cell>
          <cell r="H1769">
            <v>78.45</v>
          </cell>
        </row>
        <row r="1770">
          <cell r="C1770" t="str">
            <v>VG-50993</v>
          </cell>
          <cell r="D1770" t="str">
            <v>VINILICA GLOSI NEGRO 5A</v>
          </cell>
          <cell r="H1770">
            <v>224.14</v>
          </cell>
        </row>
        <row r="1771">
          <cell r="C1771" t="str">
            <v>VG-50991</v>
          </cell>
          <cell r="D1771" t="str">
            <v>VINILICA GLOSI NEGRO 5A</v>
          </cell>
          <cell r="H1771">
            <v>909.48</v>
          </cell>
        </row>
        <row r="1772">
          <cell r="C1772" t="str">
            <v>VG-50754</v>
          </cell>
          <cell r="D1772" t="str">
            <v>VINILICA GLOSI VERDE 5A</v>
          </cell>
          <cell r="H1772">
            <v>78.45</v>
          </cell>
        </row>
        <row r="1773">
          <cell r="C1773" t="str">
            <v>VG-50753</v>
          </cell>
          <cell r="D1773" t="str">
            <v>VINILICA GLOSI VERDE 5A</v>
          </cell>
          <cell r="H1773">
            <v>224.14</v>
          </cell>
        </row>
        <row r="1774">
          <cell r="C1774" t="str">
            <v>VG-50751</v>
          </cell>
          <cell r="D1774" t="str">
            <v>VINILICA GLOSI VERDE 5A</v>
          </cell>
          <cell r="H1774">
            <v>909.48</v>
          </cell>
        </row>
        <row r="1775">
          <cell r="C1775" t="str">
            <v>VG-50734</v>
          </cell>
          <cell r="D1775" t="str">
            <v>VINILICA VERDE CLARO 5A</v>
          </cell>
          <cell r="H1775">
            <v>85.34</v>
          </cell>
        </row>
        <row r="1776">
          <cell r="C1776" t="str">
            <v>VG-50733</v>
          </cell>
          <cell r="D1776" t="str">
            <v>VINILICA VERDE CLARO 5A</v>
          </cell>
          <cell r="H1776">
            <v>224.14</v>
          </cell>
        </row>
        <row r="1777">
          <cell r="C1777" t="str">
            <v>VG-50731</v>
          </cell>
          <cell r="D1777" t="str">
            <v>VINILICA VERDE CLARO 5A</v>
          </cell>
          <cell r="H1777">
            <v>909.48</v>
          </cell>
        </row>
        <row r="1778">
          <cell r="C1778" t="str">
            <v>VG-50684</v>
          </cell>
          <cell r="D1778" t="str">
            <v>VINILICA GLOSI AZUL INTENSO 5 A</v>
          </cell>
          <cell r="H1778">
            <v>78.45</v>
          </cell>
        </row>
        <row r="1779">
          <cell r="C1779" t="str">
            <v>VG-50683</v>
          </cell>
          <cell r="D1779" t="str">
            <v>VINILICA GLOSI AZUL INTENSO 5 A</v>
          </cell>
          <cell r="H1779">
            <v>224.14</v>
          </cell>
        </row>
        <row r="1780">
          <cell r="C1780" t="str">
            <v>VG-50681</v>
          </cell>
          <cell r="D1780" t="str">
            <v>VINILICA GLOSI AZUL INTENSO 5 A</v>
          </cell>
          <cell r="H1780">
            <v>909.48</v>
          </cell>
        </row>
        <row r="1781">
          <cell r="C1781" t="str">
            <v>VG-50654</v>
          </cell>
          <cell r="D1781" t="str">
            <v>VINILICA GLOSI AZUL 5A</v>
          </cell>
          <cell r="H1781">
            <v>78.45</v>
          </cell>
        </row>
        <row r="1782">
          <cell r="C1782" t="str">
            <v>VG-50653</v>
          </cell>
          <cell r="D1782" t="str">
            <v>VINILICA GLOSI AZUL 5A</v>
          </cell>
          <cell r="H1782">
            <v>224.14</v>
          </cell>
        </row>
        <row r="1783">
          <cell r="C1783" t="str">
            <v>VG-50651</v>
          </cell>
          <cell r="D1783" t="str">
            <v>VINILICA GLOSI AZUL 5A</v>
          </cell>
          <cell r="H1783">
            <v>909.48</v>
          </cell>
        </row>
        <row r="1784">
          <cell r="C1784" t="str">
            <v>VG-50614</v>
          </cell>
          <cell r="D1784" t="str">
            <v>VINILICA GLOSI VIOLETA 5A</v>
          </cell>
          <cell r="H1784">
            <v>78.45</v>
          </cell>
        </row>
        <row r="1785">
          <cell r="C1785" t="str">
            <v>VG-50613</v>
          </cell>
          <cell r="D1785" t="str">
            <v>VINILICA GLOSI VIOLETA 5A</v>
          </cell>
          <cell r="H1785">
            <v>224.14</v>
          </cell>
        </row>
        <row r="1786">
          <cell r="C1786" t="str">
            <v>VG-50611</v>
          </cell>
          <cell r="D1786" t="str">
            <v>VINILICA GLOSI VIOLETA 5A</v>
          </cell>
          <cell r="H1786">
            <v>909.48</v>
          </cell>
        </row>
        <row r="1787">
          <cell r="C1787" t="str">
            <v>VG-50564</v>
          </cell>
          <cell r="D1787" t="str">
            <v>VINILICA GLOSI TERRACOTA 5A</v>
          </cell>
          <cell r="H1787">
            <v>78.45</v>
          </cell>
        </row>
        <row r="1788">
          <cell r="C1788" t="str">
            <v>VG-50563</v>
          </cell>
          <cell r="D1788" t="str">
            <v>VINILICA GLOSI TERRACOTA 5A</v>
          </cell>
          <cell r="H1788">
            <v>224.14</v>
          </cell>
        </row>
        <row r="1789">
          <cell r="C1789" t="str">
            <v>VG-50561</v>
          </cell>
          <cell r="D1789" t="str">
            <v>VINILICA GLOSI TERRACOTA 5A</v>
          </cell>
          <cell r="H1789">
            <v>909.48</v>
          </cell>
        </row>
        <row r="1790">
          <cell r="C1790" t="str">
            <v>VG-50534</v>
          </cell>
          <cell r="D1790" t="str">
            <v>VINILICA GLOSI CAFE CLARO 5A</v>
          </cell>
          <cell r="H1790">
            <v>78.45</v>
          </cell>
        </row>
        <row r="1791">
          <cell r="C1791" t="str">
            <v>VG-50533</v>
          </cell>
          <cell r="D1791" t="str">
            <v>VINILICA GLOSI CAFE CLARO 5A</v>
          </cell>
          <cell r="H1791">
            <v>224.14</v>
          </cell>
        </row>
        <row r="1792">
          <cell r="C1792" t="str">
            <v>VG-50531</v>
          </cell>
          <cell r="D1792" t="str">
            <v>VINILICA GLOSI CAFE CLARO 5A</v>
          </cell>
          <cell r="H1792">
            <v>909.48</v>
          </cell>
        </row>
        <row r="1793">
          <cell r="C1793" t="str">
            <v>VG-50454</v>
          </cell>
          <cell r="D1793" t="str">
            <v>VINILICA GLOSI ROJO 5A</v>
          </cell>
          <cell r="H1793">
            <v>78.45</v>
          </cell>
        </row>
        <row r="1794">
          <cell r="C1794" t="str">
            <v>VG-50453</v>
          </cell>
          <cell r="D1794" t="str">
            <v>VINILICA GLOSI ROJO 5A</v>
          </cell>
          <cell r="H1794">
            <v>224.14</v>
          </cell>
        </row>
        <row r="1795">
          <cell r="C1795" t="str">
            <v>VG-50451</v>
          </cell>
          <cell r="D1795" t="str">
            <v>VINILICA GLOSI ROJO 5A</v>
          </cell>
          <cell r="H1795">
            <v>909.48</v>
          </cell>
        </row>
        <row r="1796">
          <cell r="C1796" t="str">
            <v>VG-50374</v>
          </cell>
          <cell r="D1796" t="str">
            <v>VINILICA GLOSI 5 AÑOS ROSA</v>
          </cell>
          <cell r="H1796">
            <v>57.76</v>
          </cell>
        </row>
        <row r="1797">
          <cell r="C1797" t="str">
            <v>VG-50373</v>
          </cell>
          <cell r="D1797" t="str">
            <v>VINILICA GLOSI 5 AÑOS ROSA</v>
          </cell>
          <cell r="H1797">
            <v>166.38</v>
          </cell>
        </row>
        <row r="1798">
          <cell r="C1798" t="str">
            <v>VG-50371</v>
          </cell>
          <cell r="D1798" t="str">
            <v>VINILICA GLOSI 5 AÑOS ROSA</v>
          </cell>
          <cell r="H1798">
            <v>909.48</v>
          </cell>
        </row>
        <row r="1799">
          <cell r="C1799" t="str">
            <v>VG-50354</v>
          </cell>
          <cell r="D1799" t="str">
            <v>VINILICA GLOSI CORAL 5A</v>
          </cell>
          <cell r="H1799">
            <v>78.45</v>
          </cell>
        </row>
        <row r="1800">
          <cell r="C1800" t="str">
            <v>VG-50353</v>
          </cell>
          <cell r="D1800" t="str">
            <v>VINILICA GLOSI CORAL 5A</v>
          </cell>
          <cell r="H1800">
            <v>224.14</v>
          </cell>
        </row>
        <row r="1801">
          <cell r="C1801" t="str">
            <v>VG-50351</v>
          </cell>
          <cell r="D1801" t="str">
            <v>VINILICA GLOSI CORAL 5A</v>
          </cell>
          <cell r="H1801">
            <v>909.48</v>
          </cell>
        </row>
        <row r="1802">
          <cell r="C1802" t="str">
            <v>VG-50264</v>
          </cell>
          <cell r="D1802" t="str">
            <v>VINILICA GLOSI OCRE 5A</v>
          </cell>
          <cell r="H1802">
            <v>78.45</v>
          </cell>
        </row>
        <row r="1803">
          <cell r="C1803" t="str">
            <v>VG-50263</v>
          </cell>
          <cell r="D1803" t="str">
            <v>VINILICA GLOSI OCRE 5A</v>
          </cell>
          <cell r="H1803">
            <v>224.14</v>
          </cell>
        </row>
        <row r="1804">
          <cell r="C1804" t="str">
            <v>VG-50261</v>
          </cell>
          <cell r="D1804" t="str">
            <v>VINILICA GLOSI OCRE 5A</v>
          </cell>
          <cell r="H1804">
            <v>909.48</v>
          </cell>
        </row>
        <row r="1805">
          <cell r="C1805" t="str">
            <v>VG-50214</v>
          </cell>
          <cell r="D1805" t="str">
            <v>VINILICA GLOSI MARFIL 5A</v>
          </cell>
          <cell r="H1805">
            <v>78.45</v>
          </cell>
        </row>
        <row r="1806">
          <cell r="C1806" t="str">
            <v>VG-50213</v>
          </cell>
          <cell r="D1806" t="str">
            <v>VINILICA GLOSI MARFIL 5A</v>
          </cell>
          <cell r="H1806">
            <v>224.14</v>
          </cell>
        </row>
        <row r="1807">
          <cell r="C1807" t="str">
            <v>VG-50211</v>
          </cell>
          <cell r="D1807" t="str">
            <v>VINILICA GLOSI MARFIL 5A</v>
          </cell>
          <cell r="H1807">
            <v>909.48</v>
          </cell>
        </row>
        <row r="1808">
          <cell r="C1808" t="str">
            <v>VG-50134</v>
          </cell>
          <cell r="D1808" t="str">
            <v>VINILICA GLOSI AMARILLO 5A</v>
          </cell>
          <cell r="H1808">
            <v>78.45</v>
          </cell>
        </row>
        <row r="1809">
          <cell r="C1809" t="str">
            <v>VG-50133</v>
          </cell>
          <cell r="D1809" t="str">
            <v>VINILICA GLOSI AMARILLO 5A</v>
          </cell>
          <cell r="H1809">
            <v>224.14</v>
          </cell>
        </row>
        <row r="1810">
          <cell r="C1810" t="str">
            <v>VG-50131</v>
          </cell>
          <cell r="D1810" t="str">
            <v>VINILICA GLOSI AMARILLO 5A</v>
          </cell>
          <cell r="H1810">
            <v>909.48</v>
          </cell>
        </row>
        <row r="1811">
          <cell r="C1811" t="str">
            <v>VG-50004</v>
          </cell>
          <cell r="D1811" t="str">
            <v>VINILICA GLOSI BLANCO 5A</v>
          </cell>
          <cell r="H1811">
            <v>78.45</v>
          </cell>
        </row>
        <row r="1812">
          <cell r="C1812" t="str">
            <v>VG-50003</v>
          </cell>
          <cell r="D1812" t="str">
            <v>VINILICA GLOSI BLANCO 5A</v>
          </cell>
          <cell r="H1812">
            <v>224.14</v>
          </cell>
        </row>
        <row r="1813">
          <cell r="C1813" t="str">
            <v>VG-50001</v>
          </cell>
          <cell r="D1813" t="str">
            <v>VINILICA GLOSI BLANCO 5A</v>
          </cell>
          <cell r="H1813">
            <v>909.48</v>
          </cell>
        </row>
        <row r="1814">
          <cell r="C1814" t="str">
            <v>VG-30773</v>
          </cell>
          <cell r="D1814" t="str">
            <v>VINILICA GLOSI VERDE HOJA 3A</v>
          </cell>
          <cell r="H1814">
            <v>163.79</v>
          </cell>
        </row>
        <row r="1815">
          <cell r="C1815" t="str">
            <v>VG-30771</v>
          </cell>
          <cell r="D1815" t="str">
            <v>VINILICA GLOSI VERDE HOJA 3A</v>
          </cell>
          <cell r="H1815">
            <v>656.9</v>
          </cell>
        </row>
        <row r="1816">
          <cell r="C1816" t="str">
            <v>VG-30753</v>
          </cell>
          <cell r="D1816" t="str">
            <v>VINILICA GLOSI VERDE 3A</v>
          </cell>
          <cell r="H1816">
            <v>163.79</v>
          </cell>
        </row>
        <row r="1817">
          <cell r="C1817" t="str">
            <v>VG-30751</v>
          </cell>
          <cell r="D1817" t="str">
            <v>VINILICA GLOSI VERDE 3A</v>
          </cell>
          <cell r="H1817">
            <v>656.9</v>
          </cell>
        </row>
        <row r="1818">
          <cell r="C1818" t="str">
            <v>VG-30653</v>
          </cell>
          <cell r="D1818" t="str">
            <v>VINILICA GLOSI AZUL 3A</v>
          </cell>
          <cell r="H1818">
            <v>163.79</v>
          </cell>
        </row>
        <row r="1819">
          <cell r="C1819" t="str">
            <v>VG-30651</v>
          </cell>
          <cell r="D1819" t="str">
            <v>VINILICA GLOSI AZUL 3A</v>
          </cell>
          <cell r="H1819">
            <v>656.9</v>
          </cell>
        </row>
        <row r="1820">
          <cell r="C1820" t="str">
            <v>VG-30613</v>
          </cell>
          <cell r="D1820" t="str">
            <v>VINILICA GLOSI VIOLETA 3A</v>
          </cell>
          <cell r="H1820">
            <v>163.79</v>
          </cell>
        </row>
        <row r="1821">
          <cell r="C1821" t="str">
            <v>VG-30611</v>
          </cell>
          <cell r="D1821" t="str">
            <v>VINILICA GLOSI VIOLETA 3A</v>
          </cell>
          <cell r="H1821">
            <v>656.9</v>
          </cell>
        </row>
        <row r="1822">
          <cell r="C1822" t="str">
            <v>VG-30563</v>
          </cell>
          <cell r="D1822" t="str">
            <v>VINILICA GLOSI ROJO OXIDO 3A</v>
          </cell>
          <cell r="H1822">
            <v>179.31</v>
          </cell>
        </row>
        <row r="1823">
          <cell r="C1823" t="str">
            <v>VG-30561</v>
          </cell>
          <cell r="D1823" t="str">
            <v>VINILICA GLOSI ROJO OXIDO 3A</v>
          </cell>
          <cell r="H1823">
            <v>723.28</v>
          </cell>
        </row>
        <row r="1824">
          <cell r="C1824" t="str">
            <v>VG-30443</v>
          </cell>
          <cell r="D1824" t="str">
            <v>VINILICA GLOSI ROSA 3A</v>
          </cell>
          <cell r="H1824">
            <v>163.79</v>
          </cell>
        </row>
        <row r="1825">
          <cell r="C1825" t="str">
            <v>VG-30441</v>
          </cell>
          <cell r="D1825" t="str">
            <v>VINILICA GLOSI ROSA 3A</v>
          </cell>
          <cell r="H1825">
            <v>656.9</v>
          </cell>
        </row>
        <row r="1826">
          <cell r="C1826" t="str">
            <v>VG-30423</v>
          </cell>
          <cell r="D1826" t="str">
            <v>VINILICA GLOSI SALMON 3A</v>
          </cell>
          <cell r="H1826">
            <v>163.79</v>
          </cell>
        </row>
        <row r="1827">
          <cell r="C1827" t="str">
            <v>VG-30421</v>
          </cell>
          <cell r="D1827" t="str">
            <v>VINILICA GLOSI SALMON 3A</v>
          </cell>
          <cell r="H1827">
            <v>656.9</v>
          </cell>
        </row>
        <row r="1828">
          <cell r="C1828" t="str">
            <v>VG-30323</v>
          </cell>
          <cell r="D1828" t="str">
            <v>VINILICA GLOSI CANTALUP 3A</v>
          </cell>
          <cell r="H1828">
            <v>163.79</v>
          </cell>
        </row>
        <row r="1829">
          <cell r="C1829" t="str">
            <v>VG-30321</v>
          </cell>
          <cell r="D1829" t="str">
            <v>VINILICA GLOSI CANTALUP 3A</v>
          </cell>
          <cell r="H1829">
            <v>656.9</v>
          </cell>
        </row>
        <row r="1830">
          <cell r="C1830" t="str">
            <v>VG-30263</v>
          </cell>
          <cell r="D1830" t="str">
            <v>VINILICA GLOSI OCRE 3A</v>
          </cell>
          <cell r="H1830">
            <v>179.31</v>
          </cell>
        </row>
        <row r="1831">
          <cell r="C1831" t="str">
            <v>VG-30261</v>
          </cell>
          <cell r="D1831" t="str">
            <v>VINILICA GLOSI OCRE 3A</v>
          </cell>
          <cell r="H1831">
            <v>723.28</v>
          </cell>
        </row>
        <row r="1832">
          <cell r="C1832" t="str">
            <v>VG-30223</v>
          </cell>
          <cell r="D1832" t="str">
            <v>VINILICA GLOSI PAJA 3A</v>
          </cell>
          <cell r="H1832">
            <v>163.79</v>
          </cell>
        </row>
        <row r="1833">
          <cell r="C1833" t="str">
            <v>VG-30221</v>
          </cell>
          <cell r="D1833" t="str">
            <v>VINILICA GLOSI PAJA 3A</v>
          </cell>
          <cell r="H1833">
            <v>656.9</v>
          </cell>
        </row>
        <row r="1834">
          <cell r="C1834" t="str">
            <v>347</v>
          </cell>
          <cell r="D1834" t="str">
            <v>PALA DE ALUMINIO P/GALON GRADUADA</v>
          </cell>
          <cell r="H1834">
            <v>66.38</v>
          </cell>
        </row>
        <row r="1835">
          <cell r="C1835" t="str">
            <v>29274</v>
          </cell>
          <cell r="D1835" t="str">
            <v>CATALIZADOR P/RELL AZUL "25GRS"</v>
          </cell>
          <cell r="H1835">
            <v>28.45</v>
          </cell>
        </row>
        <row r="1836">
          <cell r="C1836" t="str">
            <v>9809-P</v>
          </cell>
          <cell r="D1836" t="str">
            <v>EXHIBIDOR MOSTRADOR FERRETERO PRISA</v>
          </cell>
          <cell r="H1836">
            <v>0.86</v>
          </cell>
        </row>
        <row r="1837">
          <cell r="C1837" t="str">
            <v>9812</v>
          </cell>
          <cell r="D1837" t="str">
            <v>CAJA 03 EXHIB. MOSTRADOR FERRETERO GLOSI</v>
          </cell>
          <cell r="H1837">
            <v>0.86</v>
          </cell>
        </row>
        <row r="1838">
          <cell r="C1838" t="str">
            <v>9810</v>
          </cell>
          <cell r="D1838" t="str">
            <v>CAJA 01 EXHIB. MOSTRADOR FERRETERO GLOSI</v>
          </cell>
          <cell r="H1838">
            <v>0.86</v>
          </cell>
        </row>
        <row r="1839">
          <cell r="C1839" t="str">
            <v>9811</v>
          </cell>
          <cell r="D1839" t="str">
            <v>CAJA 02 EXHIB. MOSTRADOR FERRETERO GLOSI</v>
          </cell>
          <cell r="H1839">
            <v>0.86</v>
          </cell>
        </row>
        <row r="1840">
          <cell r="C1840" t="str">
            <v>SRG-10071</v>
          </cell>
          <cell r="D1840" t="str">
            <v>ESMALTE GLOSI SR OSTION</v>
          </cell>
          <cell r="H1840">
            <v>2462.9299999999998</v>
          </cell>
        </row>
        <row r="1841">
          <cell r="C1841" t="str">
            <v>VG-30754</v>
          </cell>
          <cell r="D1841" t="str">
            <v>VINILICA GLOSI VERDE 3A</v>
          </cell>
          <cell r="H1841">
            <v>56.9</v>
          </cell>
        </row>
        <row r="1842">
          <cell r="C1842" t="str">
            <v>SRG-10075</v>
          </cell>
          <cell r="D1842" t="str">
            <v>ESMALTE GLOSI SR OSTION</v>
          </cell>
          <cell r="H1842">
            <v>100</v>
          </cell>
        </row>
        <row r="1843">
          <cell r="C1843">
            <v>28945</v>
          </cell>
          <cell r="D1843" t="str">
            <v>BARNIZ ALQUIDALICO MAPLE</v>
          </cell>
          <cell r="H1843">
            <v>163.79</v>
          </cell>
        </row>
        <row r="1844">
          <cell r="C1844">
            <v>28825</v>
          </cell>
          <cell r="D1844" t="str">
            <v>BARNIZ ALQUIDALICO PRIMAVERA</v>
          </cell>
          <cell r="H1844">
            <v>167.24</v>
          </cell>
        </row>
        <row r="1845">
          <cell r="C1845">
            <v>10594</v>
          </cell>
          <cell r="D1845" t="str">
            <v>SIGLO FONDO PU NEGRO PARA MADERA</v>
          </cell>
          <cell r="H1845">
            <v>180.17</v>
          </cell>
        </row>
        <row r="1846">
          <cell r="C1846">
            <v>14723</v>
          </cell>
          <cell r="D1846" t="str">
            <v>SELLADOR DE PU ESTANDAR TRANSPAR</v>
          </cell>
          <cell r="H1846">
            <v>711.21</v>
          </cell>
        </row>
        <row r="1847">
          <cell r="C1847" t="str">
            <v>ES-41143</v>
          </cell>
          <cell r="D1847" t="str">
            <v>BARNIZ DE PU CHOCOLATE SEMI-BRILLANTE</v>
          </cell>
          <cell r="H1847">
            <v>738.79</v>
          </cell>
        </row>
        <row r="1848">
          <cell r="C1848" t="str">
            <v>ES-41144</v>
          </cell>
          <cell r="D1848" t="str">
            <v>BARNIZ DE PU CHOCOLATE SEMI-BRILLANTE</v>
          </cell>
          <cell r="H1848">
            <v>210.34</v>
          </cell>
        </row>
        <row r="1849">
          <cell r="C1849" t="str">
            <v>ES-47051</v>
          </cell>
          <cell r="D1849" t="str">
            <v>BARNIZ PU SOFT TOUCH B30</v>
          </cell>
          <cell r="H1849">
            <v>2887.93</v>
          </cell>
        </row>
        <row r="1850">
          <cell r="C1850" t="str">
            <v>ES-43341</v>
          </cell>
          <cell r="D1850" t="str">
            <v>MANCHA PARA MADERA NEGRA</v>
          </cell>
          <cell r="H1850">
            <v>2022.41</v>
          </cell>
        </row>
        <row r="1851">
          <cell r="C1851"/>
          <cell r="D1851"/>
          <cell r="H1851"/>
        </row>
        <row r="1852">
          <cell r="C1852"/>
          <cell r="D1852"/>
          <cell r="H1852"/>
        </row>
        <row r="1853">
          <cell r="C1853"/>
          <cell r="D1853"/>
          <cell r="H1853"/>
        </row>
        <row r="1854">
          <cell r="C1854"/>
          <cell r="D1854"/>
          <cell r="H1854"/>
        </row>
        <row r="1855">
          <cell r="C1855"/>
          <cell r="D1855"/>
          <cell r="H1855"/>
        </row>
        <row r="1856">
          <cell r="C1856"/>
          <cell r="D1856"/>
          <cell r="H1856"/>
        </row>
        <row r="1857">
          <cell r="C1857"/>
          <cell r="D1857"/>
          <cell r="H1857"/>
        </row>
        <row r="1858">
          <cell r="C1858"/>
          <cell r="D1858"/>
          <cell r="H1858"/>
        </row>
        <row r="1859">
          <cell r="C1859"/>
          <cell r="D1859"/>
          <cell r="H1859"/>
        </row>
        <row r="1860">
          <cell r="C1860"/>
          <cell r="D1860"/>
          <cell r="H1860"/>
        </row>
        <row r="1861">
          <cell r="C1861"/>
          <cell r="D1861"/>
          <cell r="H1861"/>
        </row>
        <row r="1862">
          <cell r="C1862"/>
          <cell r="D1862"/>
          <cell r="H1862"/>
        </row>
        <row r="1863">
          <cell r="C1863"/>
          <cell r="D1863"/>
          <cell r="H1863"/>
        </row>
        <row r="1864">
          <cell r="C1864"/>
          <cell r="D1864"/>
          <cell r="H1864"/>
        </row>
        <row r="1865">
          <cell r="C1865"/>
          <cell r="D1865"/>
          <cell r="H1865"/>
        </row>
        <row r="1866">
          <cell r="C1866"/>
          <cell r="D1866"/>
          <cell r="H1866"/>
        </row>
        <row r="1867">
          <cell r="C1867"/>
          <cell r="D1867"/>
          <cell r="H1867"/>
        </row>
        <row r="1868">
          <cell r="C1868"/>
          <cell r="D1868"/>
          <cell r="H1868"/>
        </row>
        <row r="1869">
          <cell r="C1869"/>
          <cell r="D1869"/>
          <cell r="H1869"/>
        </row>
        <row r="1870">
          <cell r="C1870"/>
          <cell r="D1870"/>
          <cell r="H1870"/>
        </row>
        <row r="1871">
          <cell r="C1871"/>
          <cell r="D1871"/>
          <cell r="H1871"/>
        </row>
        <row r="1872">
          <cell r="C1872"/>
          <cell r="D1872"/>
          <cell r="H1872"/>
        </row>
        <row r="1873">
          <cell r="C1873"/>
          <cell r="D1873"/>
          <cell r="H1873"/>
        </row>
        <row r="1874">
          <cell r="C1874"/>
          <cell r="D1874"/>
          <cell r="H1874"/>
        </row>
        <row r="1875">
          <cell r="C1875"/>
          <cell r="D1875"/>
          <cell r="H1875"/>
        </row>
        <row r="1876">
          <cell r="C1876"/>
          <cell r="D1876"/>
          <cell r="H1876"/>
        </row>
        <row r="1877">
          <cell r="C1877"/>
          <cell r="D1877"/>
          <cell r="H1877"/>
        </row>
        <row r="1878">
          <cell r="C1878"/>
          <cell r="D1878"/>
          <cell r="H1878"/>
        </row>
        <row r="1879">
          <cell r="C1879"/>
          <cell r="D1879"/>
          <cell r="H1879"/>
        </row>
        <row r="1880">
          <cell r="C1880"/>
          <cell r="D1880"/>
          <cell r="H1880"/>
        </row>
        <row r="1881">
          <cell r="C1881"/>
          <cell r="D1881"/>
          <cell r="H1881"/>
        </row>
        <row r="1882">
          <cell r="C1882"/>
          <cell r="D1882"/>
          <cell r="H1882"/>
        </row>
        <row r="1883">
          <cell r="C1883"/>
          <cell r="D1883"/>
          <cell r="H1883"/>
        </row>
        <row r="1884">
          <cell r="C1884"/>
          <cell r="D1884"/>
          <cell r="H1884"/>
        </row>
        <row r="1885">
          <cell r="C1885"/>
          <cell r="D1885"/>
          <cell r="H1885"/>
        </row>
        <row r="1886">
          <cell r="C1886"/>
          <cell r="D1886"/>
          <cell r="H1886"/>
        </row>
        <row r="1887">
          <cell r="C1887"/>
          <cell r="D1887"/>
          <cell r="H1887"/>
        </row>
        <row r="1888">
          <cell r="C1888"/>
          <cell r="D1888"/>
          <cell r="H1888"/>
        </row>
        <row r="1889">
          <cell r="C1889"/>
          <cell r="D1889"/>
          <cell r="H1889"/>
        </row>
        <row r="1890">
          <cell r="C1890"/>
          <cell r="D1890"/>
          <cell r="H1890"/>
        </row>
        <row r="1891">
          <cell r="C1891"/>
          <cell r="D1891"/>
          <cell r="H1891"/>
        </row>
        <row r="1892">
          <cell r="C1892"/>
          <cell r="D1892"/>
          <cell r="H1892"/>
        </row>
        <row r="1893">
          <cell r="C1893"/>
          <cell r="D1893"/>
          <cell r="H1893"/>
        </row>
        <row r="1894">
          <cell r="C1894"/>
          <cell r="D1894"/>
          <cell r="H1894"/>
        </row>
        <row r="1895">
          <cell r="C1895"/>
          <cell r="D1895"/>
          <cell r="H1895"/>
        </row>
        <row r="1896">
          <cell r="C1896"/>
          <cell r="D1896"/>
          <cell r="H1896"/>
        </row>
        <row r="1897">
          <cell r="C1897"/>
          <cell r="D1897"/>
          <cell r="H1897"/>
        </row>
        <row r="1898">
          <cell r="C1898"/>
          <cell r="D1898"/>
          <cell r="H1898"/>
        </row>
        <row r="1899">
          <cell r="C1899"/>
          <cell r="D1899"/>
          <cell r="H1899"/>
        </row>
        <row r="1900">
          <cell r="C1900"/>
          <cell r="D1900"/>
          <cell r="H1900"/>
        </row>
        <row r="1901">
          <cell r="C1901"/>
          <cell r="D1901"/>
          <cell r="H1901"/>
        </row>
        <row r="1902">
          <cell r="C1902"/>
          <cell r="D1902"/>
          <cell r="H1902"/>
        </row>
        <row r="1903">
          <cell r="C1903"/>
          <cell r="D1903"/>
          <cell r="H1903"/>
        </row>
        <row r="1904">
          <cell r="C1904"/>
          <cell r="D1904"/>
          <cell r="H1904"/>
        </row>
        <row r="1905">
          <cell r="C1905"/>
          <cell r="D1905"/>
          <cell r="H1905"/>
        </row>
        <row r="1906">
          <cell r="C1906"/>
          <cell r="D1906"/>
          <cell r="H1906"/>
        </row>
        <row r="1907">
          <cell r="C1907"/>
          <cell r="D1907"/>
          <cell r="H1907"/>
        </row>
        <row r="1908">
          <cell r="C1908"/>
          <cell r="D1908"/>
          <cell r="H1908"/>
        </row>
        <row r="1909">
          <cell r="C1909"/>
          <cell r="D1909"/>
          <cell r="H1909"/>
        </row>
        <row r="1910">
          <cell r="C1910"/>
          <cell r="D1910"/>
          <cell r="H1910"/>
        </row>
        <row r="1911">
          <cell r="C1911"/>
          <cell r="D1911"/>
          <cell r="H1911"/>
        </row>
        <row r="1912">
          <cell r="C1912"/>
          <cell r="D1912"/>
          <cell r="H1912"/>
        </row>
        <row r="1913">
          <cell r="C1913"/>
          <cell r="D1913"/>
          <cell r="H1913"/>
        </row>
        <row r="1914">
          <cell r="C1914"/>
          <cell r="D1914"/>
          <cell r="H1914"/>
        </row>
        <row r="1915">
          <cell r="C1915"/>
          <cell r="D1915"/>
          <cell r="H1915"/>
        </row>
        <row r="1916">
          <cell r="C1916"/>
          <cell r="D1916"/>
          <cell r="H1916"/>
        </row>
        <row r="1917">
          <cell r="C1917"/>
          <cell r="D1917"/>
          <cell r="H1917"/>
        </row>
        <row r="1918">
          <cell r="C1918"/>
          <cell r="D1918"/>
          <cell r="H1918"/>
        </row>
        <row r="1919">
          <cell r="C1919"/>
          <cell r="D1919"/>
          <cell r="H1919"/>
        </row>
        <row r="1920">
          <cell r="C1920"/>
          <cell r="D1920"/>
          <cell r="H1920"/>
        </row>
        <row r="1921">
          <cell r="C1921"/>
          <cell r="D1921"/>
          <cell r="H1921"/>
        </row>
        <row r="1922">
          <cell r="C1922"/>
          <cell r="D1922"/>
          <cell r="H1922"/>
        </row>
        <row r="1923">
          <cell r="C1923"/>
          <cell r="D1923"/>
          <cell r="H1923"/>
        </row>
        <row r="1924">
          <cell r="C1924"/>
          <cell r="D1924"/>
          <cell r="H1924"/>
        </row>
        <row r="1925">
          <cell r="C1925"/>
          <cell r="D1925"/>
          <cell r="H1925"/>
        </row>
        <row r="1926">
          <cell r="C1926"/>
          <cell r="D1926"/>
          <cell r="H1926"/>
        </row>
        <row r="1927">
          <cell r="C1927"/>
          <cell r="D1927"/>
          <cell r="H1927"/>
        </row>
        <row r="1928">
          <cell r="C1928"/>
          <cell r="D1928"/>
          <cell r="H1928"/>
        </row>
        <row r="1929">
          <cell r="C1929"/>
          <cell r="D1929"/>
          <cell r="H1929"/>
        </row>
        <row r="1930">
          <cell r="C1930"/>
          <cell r="D1930"/>
          <cell r="H1930"/>
        </row>
        <row r="1931">
          <cell r="C1931"/>
          <cell r="D1931"/>
          <cell r="H1931"/>
        </row>
        <row r="1932">
          <cell r="C1932"/>
          <cell r="D1932"/>
          <cell r="H1932"/>
        </row>
        <row r="1933">
          <cell r="C1933"/>
          <cell r="D1933"/>
          <cell r="H1933"/>
        </row>
        <row r="1934">
          <cell r="C1934"/>
          <cell r="D1934"/>
          <cell r="H1934"/>
        </row>
        <row r="1935">
          <cell r="C1935"/>
          <cell r="D1935"/>
          <cell r="H1935"/>
        </row>
        <row r="1936">
          <cell r="C1936"/>
          <cell r="D1936"/>
          <cell r="H1936"/>
        </row>
        <row r="1937">
          <cell r="C1937"/>
          <cell r="D1937"/>
          <cell r="H1937"/>
        </row>
        <row r="1938">
          <cell r="C1938"/>
          <cell r="D1938"/>
          <cell r="H1938"/>
        </row>
        <row r="1939">
          <cell r="C1939"/>
          <cell r="D1939"/>
          <cell r="H1939"/>
        </row>
        <row r="1940">
          <cell r="C1940"/>
          <cell r="D1940"/>
          <cell r="H1940"/>
        </row>
        <row r="1941">
          <cell r="C1941"/>
          <cell r="D1941"/>
          <cell r="H1941"/>
        </row>
        <row r="1942">
          <cell r="C1942"/>
          <cell r="D1942"/>
          <cell r="H1942"/>
        </row>
        <row r="1943">
          <cell r="C1943"/>
          <cell r="D1943"/>
          <cell r="H1943"/>
        </row>
        <row r="1944">
          <cell r="C1944"/>
          <cell r="D1944"/>
          <cell r="H1944"/>
        </row>
        <row r="1945">
          <cell r="C1945"/>
          <cell r="D1945"/>
          <cell r="H1945"/>
        </row>
        <row r="1946">
          <cell r="C1946"/>
          <cell r="D1946"/>
          <cell r="H1946"/>
        </row>
        <row r="1947">
          <cell r="C1947"/>
          <cell r="D1947"/>
          <cell r="H1947"/>
        </row>
        <row r="1948">
          <cell r="C1948"/>
          <cell r="D1948"/>
          <cell r="H1948"/>
        </row>
        <row r="1949">
          <cell r="C1949"/>
          <cell r="D1949"/>
          <cell r="H1949"/>
        </row>
        <row r="1950">
          <cell r="C1950"/>
          <cell r="D1950"/>
          <cell r="H1950"/>
        </row>
        <row r="1951">
          <cell r="C1951"/>
          <cell r="D1951"/>
          <cell r="H1951"/>
        </row>
        <row r="1952">
          <cell r="C1952"/>
          <cell r="D1952"/>
          <cell r="H1952"/>
        </row>
        <row r="1953">
          <cell r="C1953"/>
          <cell r="D1953"/>
          <cell r="H1953"/>
        </row>
        <row r="1954">
          <cell r="C1954"/>
          <cell r="D1954"/>
          <cell r="H1954"/>
        </row>
        <row r="1955">
          <cell r="C1955"/>
          <cell r="D1955"/>
          <cell r="H1955"/>
        </row>
        <row r="1956">
          <cell r="C1956"/>
          <cell r="D1956"/>
          <cell r="H1956"/>
        </row>
        <row r="1957">
          <cell r="C1957"/>
          <cell r="D1957"/>
          <cell r="H1957"/>
        </row>
        <row r="1958">
          <cell r="C1958"/>
          <cell r="D1958"/>
          <cell r="H1958"/>
        </row>
        <row r="1959">
          <cell r="C1959"/>
          <cell r="D1959"/>
          <cell r="H1959"/>
        </row>
        <row r="1960">
          <cell r="C1960"/>
          <cell r="D1960"/>
          <cell r="H1960"/>
        </row>
        <row r="1961">
          <cell r="C1961"/>
          <cell r="D1961"/>
          <cell r="H1961"/>
        </row>
        <row r="1962">
          <cell r="C1962"/>
          <cell r="D1962"/>
          <cell r="H1962"/>
        </row>
        <row r="1963">
          <cell r="C1963"/>
          <cell r="D1963"/>
          <cell r="H1963"/>
        </row>
        <row r="1964">
          <cell r="C1964"/>
          <cell r="D1964"/>
          <cell r="H1964"/>
        </row>
        <row r="1965">
          <cell r="C1965"/>
          <cell r="D1965"/>
          <cell r="H1965"/>
        </row>
        <row r="1966">
          <cell r="C1966"/>
          <cell r="D1966"/>
          <cell r="H1966"/>
        </row>
        <row r="1967">
          <cell r="C1967"/>
          <cell r="D1967"/>
          <cell r="H1967"/>
        </row>
        <row r="1968">
          <cell r="C1968"/>
          <cell r="D1968"/>
          <cell r="H1968"/>
        </row>
        <row r="1969">
          <cell r="C1969"/>
          <cell r="D1969"/>
          <cell r="H1969"/>
        </row>
        <row r="1970">
          <cell r="C1970"/>
          <cell r="D1970"/>
          <cell r="H1970"/>
        </row>
        <row r="1971">
          <cell r="C1971"/>
          <cell r="D1971"/>
          <cell r="H1971"/>
        </row>
        <row r="1972">
          <cell r="C1972"/>
          <cell r="D1972"/>
          <cell r="H1972"/>
        </row>
        <row r="1973">
          <cell r="C1973"/>
          <cell r="D1973"/>
          <cell r="H1973"/>
        </row>
        <row r="1974">
          <cell r="C1974"/>
          <cell r="D1974"/>
          <cell r="H1974"/>
        </row>
        <row r="1975">
          <cell r="C1975"/>
          <cell r="D1975"/>
          <cell r="H1975"/>
        </row>
        <row r="1976">
          <cell r="C1976"/>
          <cell r="D1976"/>
          <cell r="H1976"/>
        </row>
        <row r="1977">
          <cell r="C1977"/>
          <cell r="D1977"/>
          <cell r="H1977"/>
        </row>
        <row r="1978">
          <cell r="C1978"/>
          <cell r="D1978"/>
          <cell r="H1978"/>
        </row>
        <row r="1979">
          <cell r="C1979"/>
          <cell r="D1979"/>
          <cell r="H1979"/>
        </row>
        <row r="1980">
          <cell r="C1980"/>
          <cell r="D1980"/>
          <cell r="H1980"/>
        </row>
        <row r="1981">
          <cell r="C1981"/>
          <cell r="D1981"/>
          <cell r="H1981"/>
        </row>
        <row r="1982">
          <cell r="C1982"/>
          <cell r="D1982"/>
          <cell r="H1982"/>
        </row>
        <row r="1983">
          <cell r="C1983"/>
          <cell r="D1983"/>
          <cell r="H1983"/>
        </row>
        <row r="1984">
          <cell r="C1984"/>
          <cell r="D1984"/>
          <cell r="H1984"/>
        </row>
        <row r="1985">
          <cell r="C1985"/>
          <cell r="D1985"/>
          <cell r="H1985"/>
        </row>
        <row r="1986">
          <cell r="C1986"/>
          <cell r="D1986"/>
          <cell r="H1986"/>
        </row>
        <row r="1987">
          <cell r="C1987"/>
          <cell r="D1987"/>
          <cell r="H1987"/>
        </row>
        <row r="1988">
          <cell r="C1988"/>
          <cell r="D1988"/>
          <cell r="H1988"/>
        </row>
        <row r="1989">
          <cell r="C1989"/>
          <cell r="D1989"/>
          <cell r="H1989"/>
        </row>
        <row r="1990">
          <cell r="C1990"/>
          <cell r="D1990"/>
          <cell r="H1990"/>
        </row>
        <row r="1991">
          <cell r="C1991"/>
          <cell r="D1991"/>
          <cell r="H1991"/>
        </row>
        <row r="1992">
          <cell r="C1992"/>
          <cell r="D1992"/>
          <cell r="H1992"/>
        </row>
        <row r="1993">
          <cell r="C1993"/>
          <cell r="D1993"/>
          <cell r="H1993"/>
        </row>
        <row r="1994">
          <cell r="C1994"/>
          <cell r="D1994"/>
          <cell r="H1994"/>
        </row>
        <row r="1995">
          <cell r="C1995"/>
          <cell r="D1995"/>
          <cell r="H1995"/>
        </row>
        <row r="1996">
          <cell r="C1996"/>
          <cell r="D1996"/>
          <cell r="H1996"/>
        </row>
        <row r="1997">
          <cell r="C1997"/>
          <cell r="D1997"/>
          <cell r="H1997"/>
        </row>
        <row r="1998">
          <cell r="C1998"/>
          <cell r="D1998"/>
          <cell r="H1998"/>
        </row>
        <row r="1999">
          <cell r="C1999"/>
          <cell r="D1999"/>
          <cell r="H1999"/>
        </row>
        <row r="2000">
          <cell r="C2000"/>
          <cell r="D2000"/>
          <cell r="H2000"/>
        </row>
        <row r="2001">
          <cell r="C2001"/>
          <cell r="D2001"/>
          <cell r="H2001"/>
        </row>
        <row r="2002">
          <cell r="C2002"/>
          <cell r="D2002"/>
          <cell r="H2002"/>
        </row>
        <row r="2003">
          <cell r="C2003"/>
          <cell r="D2003"/>
          <cell r="H2003"/>
        </row>
        <row r="2004">
          <cell r="C2004"/>
          <cell r="D2004"/>
          <cell r="H2004"/>
        </row>
        <row r="2005">
          <cell r="C2005"/>
          <cell r="D2005"/>
          <cell r="H2005"/>
        </row>
        <row r="2006">
          <cell r="C2006"/>
          <cell r="D2006"/>
          <cell r="H2006"/>
        </row>
        <row r="2007">
          <cell r="C2007"/>
          <cell r="D2007"/>
          <cell r="H2007"/>
        </row>
        <row r="2008">
          <cell r="C2008"/>
          <cell r="D2008"/>
          <cell r="H2008"/>
        </row>
        <row r="2009">
          <cell r="C2009"/>
          <cell r="D2009"/>
          <cell r="H2009"/>
        </row>
        <row r="2010">
          <cell r="C2010"/>
          <cell r="D2010"/>
          <cell r="H2010"/>
        </row>
        <row r="2011">
          <cell r="C2011"/>
          <cell r="D2011"/>
          <cell r="H2011"/>
        </row>
        <row r="2012">
          <cell r="C2012"/>
          <cell r="D2012"/>
          <cell r="H2012"/>
        </row>
        <row r="2013">
          <cell r="C2013"/>
          <cell r="D2013"/>
          <cell r="H2013"/>
        </row>
        <row r="2014">
          <cell r="C2014"/>
          <cell r="D2014"/>
          <cell r="H2014"/>
        </row>
        <row r="2015">
          <cell r="C2015"/>
          <cell r="D2015"/>
          <cell r="H2015"/>
        </row>
        <row r="2016">
          <cell r="C2016"/>
          <cell r="D2016"/>
          <cell r="H2016"/>
        </row>
        <row r="2017">
          <cell r="C2017"/>
          <cell r="D2017"/>
          <cell r="H2017"/>
        </row>
        <row r="2018">
          <cell r="C2018"/>
          <cell r="D2018"/>
          <cell r="H2018"/>
        </row>
        <row r="2019">
          <cell r="C2019"/>
          <cell r="D2019"/>
          <cell r="H2019"/>
        </row>
        <row r="2020">
          <cell r="C2020"/>
          <cell r="D2020"/>
          <cell r="H2020"/>
        </row>
        <row r="2021">
          <cell r="C2021"/>
          <cell r="D2021"/>
          <cell r="H2021"/>
        </row>
        <row r="2022">
          <cell r="C2022"/>
          <cell r="D2022"/>
          <cell r="H2022"/>
        </row>
        <row r="2023">
          <cell r="C2023"/>
          <cell r="D2023"/>
          <cell r="H2023"/>
        </row>
        <row r="2024">
          <cell r="C2024"/>
          <cell r="D2024"/>
          <cell r="H2024"/>
        </row>
        <row r="2025">
          <cell r="C2025"/>
          <cell r="D2025"/>
          <cell r="H2025"/>
        </row>
        <row r="2026">
          <cell r="C2026"/>
          <cell r="D2026"/>
          <cell r="H2026"/>
        </row>
        <row r="2027">
          <cell r="C2027"/>
          <cell r="D2027"/>
          <cell r="H2027"/>
        </row>
        <row r="2028">
          <cell r="C2028"/>
          <cell r="D2028"/>
          <cell r="H2028"/>
        </row>
        <row r="2029">
          <cell r="C2029"/>
          <cell r="D2029"/>
          <cell r="H2029"/>
        </row>
        <row r="2030">
          <cell r="C2030"/>
          <cell r="D2030"/>
          <cell r="H2030"/>
        </row>
        <row r="2031">
          <cell r="C2031"/>
          <cell r="D2031"/>
          <cell r="H2031"/>
        </row>
        <row r="2032">
          <cell r="C2032"/>
          <cell r="D2032"/>
          <cell r="H2032"/>
        </row>
        <row r="2033">
          <cell r="C2033"/>
          <cell r="D2033"/>
          <cell r="H2033"/>
        </row>
        <row r="2034">
          <cell r="C2034"/>
          <cell r="D2034"/>
          <cell r="H2034"/>
        </row>
        <row r="2035">
          <cell r="C2035"/>
          <cell r="D2035"/>
          <cell r="H2035"/>
        </row>
        <row r="2036">
          <cell r="C2036"/>
          <cell r="D2036"/>
          <cell r="H2036"/>
        </row>
        <row r="2037">
          <cell r="C2037"/>
          <cell r="D2037"/>
          <cell r="H2037"/>
        </row>
        <row r="2038">
          <cell r="C2038"/>
          <cell r="D2038"/>
          <cell r="H2038"/>
        </row>
        <row r="2039">
          <cell r="C2039"/>
          <cell r="D2039"/>
          <cell r="H2039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C1"/>
          <cell r="H1"/>
        </row>
        <row r="2">
          <cell r="C2"/>
          <cell r="H2" t="str">
            <v>Inicio de vig. 03 de Julio del 2026</v>
          </cell>
        </row>
        <row r="3">
          <cell r="C3"/>
          <cell r="H3"/>
        </row>
        <row r="4">
          <cell r="C4"/>
          <cell r="H4"/>
        </row>
        <row r="5">
          <cell r="C5"/>
          <cell r="H5"/>
        </row>
        <row r="6">
          <cell r="C6" t="str">
            <v>Material</v>
          </cell>
          <cell r="H6" t="str">
            <v>Precio nuevo</v>
          </cell>
        </row>
        <row r="7">
          <cell r="C7" t="str">
            <v>60383</v>
          </cell>
          <cell r="H7">
            <v>237.93</v>
          </cell>
        </row>
        <row r="8">
          <cell r="C8" t="str">
            <v>0819-AU</v>
          </cell>
          <cell r="H8">
            <v>146.55000000000001</v>
          </cell>
        </row>
        <row r="9">
          <cell r="C9" t="str">
            <v>60444</v>
          </cell>
          <cell r="H9">
            <v>81.900000000000006</v>
          </cell>
        </row>
        <row r="10">
          <cell r="C10" t="str">
            <v>SPE-115511</v>
          </cell>
          <cell r="H10">
            <v>2758.62</v>
          </cell>
        </row>
        <row r="11">
          <cell r="C11" t="str">
            <v>38661</v>
          </cell>
          <cell r="H11">
            <v>1356.9</v>
          </cell>
        </row>
        <row r="12">
          <cell r="C12" t="str">
            <v>N29596</v>
          </cell>
          <cell r="H12">
            <v>66.38</v>
          </cell>
        </row>
        <row r="13">
          <cell r="C13" t="str">
            <v>ES-10131</v>
          </cell>
          <cell r="H13">
            <v>4466.38</v>
          </cell>
        </row>
        <row r="14">
          <cell r="C14" t="str">
            <v>N29504</v>
          </cell>
          <cell r="H14">
            <v>202.59</v>
          </cell>
        </row>
        <row r="15">
          <cell r="C15" t="str">
            <v>19BYC</v>
          </cell>
          <cell r="H15">
            <v>29999.14</v>
          </cell>
        </row>
        <row r="16">
          <cell r="C16" t="str">
            <v>60341</v>
          </cell>
          <cell r="H16">
            <v>701.72</v>
          </cell>
        </row>
        <row r="17">
          <cell r="C17" t="str">
            <v>517</v>
          </cell>
          <cell r="H17">
            <v>0.86</v>
          </cell>
        </row>
        <row r="18">
          <cell r="C18" t="str">
            <v>516</v>
          </cell>
          <cell r="H18">
            <v>0.86</v>
          </cell>
        </row>
        <row r="19">
          <cell r="C19" t="str">
            <v>89042</v>
          </cell>
          <cell r="H19">
            <v>109.48</v>
          </cell>
        </row>
        <row r="20">
          <cell r="C20" t="str">
            <v>71930</v>
          </cell>
          <cell r="H20">
            <v>918.97</v>
          </cell>
        </row>
        <row r="21">
          <cell r="C21" t="str">
            <v>89044</v>
          </cell>
          <cell r="H21">
            <v>43.97</v>
          </cell>
        </row>
        <row r="22">
          <cell r="C22" t="str">
            <v>N29594</v>
          </cell>
          <cell r="H22">
            <v>202.59</v>
          </cell>
        </row>
        <row r="23">
          <cell r="C23" t="str">
            <v>N29505</v>
          </cell>
          <cell r="H23">
            <v>113.79</v>
          </cell>
        </row>
        <row r="24">
          <cell r="C24" t="str">
            <v>58931</v>
          </cell>
          <cell r="H24">
            <v>4818.1000000000004</v>
          </cell>
        </row>
        <row r="25">
          <cell r="C25" t="str">
            <v>ES-92323</v>
          </cell>
          <cell r="H25">
            <v>825</v>
          </cell>
        </row>
        <row r="26">
          <cell r="C26" t="str">
            <v>ES-92324</v>
          </cell>
          <cell r="H26">
            <v>242.24</v>
          </cell>
        </row>
        <row r="27">
          <cell r="C27" t="str">
            <v>60331</v>
          </cell>
          <cell r="H27">
            <v>777.59</v>
          </cell>
        </row>
        <row r="28">
          <cell r="C28" t="str">
            <v>816</v>
          </cell>
          <cell r="H28">
            <v>5979.31</v>
          </cell>
        </row>
        <row r="29">
          <cell r="C29" t="str">
            <v>89024</v>
          </cell>
          <cell r="H29">
            <v>13.79</v>
          </cell>
        </row>
        <row r="30">
          <cell r="C30" t="str">
            <v>89513</v>
          </cell>
          <cell r="H30">
            <v>8.6199999999999992</v>
          </cell>
        </row>
        <row r="31">
          <cell r="C31" t="str">
            <v>89448</v>
          </cell>
          <cell r="H31">
            <v>9.48</v>
          </cell>
        </row>
        <row r="32">
          <cell r="C32" t="str">
            <v>89404</v>
          </cell>
          <cell r="H32">
            <v>9.48</v>
          </cell>
        </row>
        <row r="33">
          <cell r="C33" t="str">
            <v>89092-360</v>
          </cell>
          <cell r="H33">
            <v>9.48</v>
          </cell>
        </row>
        <row r="34">
          <cell r="C34" t="str">
            <v>89406</v>
          </cell>
          <cell r="H34">
            <v>10.34</v>
          </cell>
        </row>
        <row r="35">
          <cell r="C35" t="str">
            <v>29264</v>
          </cell>
          <cell r="H35">
            <v>21.55</v>
          </cell>
        </row>
        <row r="36">
          <cell r="C36" t="str">
            <v>ES-65661</v>
          </cell>
          <cell r="H36">
            <v>6272.41</v>
          </cell>
        </row>
        <row r="37">
          <cell r="C37" t="str">
            <v>LE-17281</v>
          </cell>
          <cell r="H37">
            <v>1809.48</v>
          </cell>
        </row>
        <row r="38">
          <cell r="C38" t="str">
            <v>89583</v>
          </cell>
          <cell r="H38">
            <v>6.03</v>
          </cell>
        </row>
        <row r="39">
          <cell r="C39" t="str">
            <v>89407</v>
          </cell>
          <cell r="H39">
            <v>9.48</v>
          </cell>
        </row>
        <row r="40">
          <cell r="C40" t="str">
            <v>89402</v>
          </cell>
          <cell r="H40">
            <v>9.48</v>
          </cell>
        </row>
        <row r="41">
          <cell r="C41" t="str">
            <v>N29506</v>
          </cell>
          <cell r="H41">
            <v>66.38</v>
          </cell>
        </row>
        <row r="42">
          <cell r="C42" t="str">
            <v>TR-9124-26-1</v>
          </cell>
          <cell r="H42">
            <v>12.07</v>
          </cell>
        </row>
        <row r="43">
          <cell r="C43" t="str">
            <v>56061</v>
          </cell>
          <cell r="H43">
            <v>5930.17</v>
          </cell>
        </row>
        <row r="44">
          <cell r="C44" t="str">
            <v>ES-45870</v>
          </cell>
          <cell r="H44">
            <v>7612.07</v>
          </cell>
        </row>
        <row r="45">
          <cell r="C45" t="str">
            <v>60424</v>
          </cell>
          <cell r="H45">
            <v>54.31</v>
          </cell>
        </row>
        <row r="46">
          <cell r="C46" t="str">
            <v>60384</v>
          </cell>
          <cell r="H46">
            <v>62.93</v>
          </cell>
        </row>
        <row r="47">
          <cell r="C47" t="str">
            <v>60364</v>
          </cell>
          <cell r="H47">
            <v>59.48</v>
          </cell>
        </row>
        <row r="48">
          <cell r="C48" t="str">
            <v>60054</v>
          </cell>
          <cell r="H48">
            <v>87.07</v>
          </cell>
        </row>
        <row r="49">
          <cell r="C49" t="str">
            <v>ES-10111</v>
          </cell>
          <cell r="H49">
            <v>3291.38</v>
          </cell>
        </row>
        <row r="50">
          <cell r="C50" t="str">
            <v>KW2700</v>
          </cell>
          <cell r="H50">
            <v>267.24</v>
          </cell>
        </row>
        <row r="51">
          <cell r="C51" t="str">
            <v>RE-1137</v>
          </cell>
          <cell r="H51">
            <v>36631.9</v>
          </cell>
        </row>
        <row r="52">
          <cell r="C52" t="str">
            <v>RE-1266</v>
          </cell>
          <cell r="H52">
            <v>36631.9</v>
          </cell>
        </row>
        <row r="53">
          <cell r="C53" t="str">
            <v>RE-1970</v>
          </cell>
          <cell r="H53">
            <v>26550.86</v>
          </cell>
        </row>
        <row r="54">
          <cell r="C54" t="str">
            <v>RE-1050</v>
          </cell>
          <cell r="H54">
            <v>23070.69</v>
          </cell>
        </row>
        <row r="55">
          <cell r="C55" t="str">
            <v>RE-1100</v>
          </cell>
          <cell r="H55">
            <v>18936.21</v>
          </cell>
        </row>
        <row r="56">
          <cell r="C56" t="str">
            <v>17173</v>
          </cell>
          <cell r="H56">
            <v>1141.3800000000001</v>
          </cell>
        </row>
        <row r="57">
          <cell r="C57" t="str">
            <v>G-31111</v>
          </cell>
          <cell r="H57">
            <v>1806.9</v>
          </cell>
        </row>
        <row r="58">
          <cell r="C58" t="str">
            <v>17030</v>
          </cell>
          <cell r="H58">
            <v>38692.239999999998</v>
          </cell>
        </row>
        <row r="59">
          <cell r="C59" t="str">
            <v>17160</v>
          </cell>
          <cell r="H59">
            <v>40780.17</v>
          </cell>
        </row>
        <row r="60">
          <cell r="C60" t="str">
            <v>ES-08870</v>
          </cell>
          <cell r="H60">
            <v>34814.660000000003</v>
          </cell>
        </row>
        <row r="61">
          <cell r="C61" t="str">
            <v>ES-10071</v>
          </cell>
          <cell r="H61">
            <v>2287.9299999999998</v>
          </cell>
        </row>
        <row r="62">
          <cell r="C62" t="str">
            <v>ES-10070</v>
          </cell>
          <cell r="H62">
            <v>25215.52</v>
          </cell>
        </row>
        <row r="63">
          <cell r="C63" t="str">
            <v>ES-10030</v>
          </cell>
          <cell r="H63">
            <v>22504.31</v>
          </cell>
        </row>
        <row r="64">
          <cell r="C64" t="str">
            <v>ES-09991</v>
          </cell>
          <cell r="H64">
            <v>4350.8599999999997</v>
          </cell>
        </row>
        <row r="65">
          <cell r="C65" t="str">
            <v>ES-09990</v>
          </cell>
          <cell r="H65">
            <v>43350</v>
          </cell>
        </row>
        <row r="66">
          <cell r="C66" t="str">
            <v>ES-10001</v>
          </cell>
          <cell r="H66">
            <v>4279.3100000000004</v>
          </cell>
        </row>
        <row r="67">
          <cell r="C67" t="str">
            <v>ES-10000</v>
          </cell>
          <cell r="H67">
            <v>42575.86</v>
          </cell>
        </row>
        <row r="68">
          <cell r="C68" t="str">
            <v>ES-09971</v>
          </cell>
          <cell r="H68">
            <v>4533.62</v>
          </cell>
        </row>
        <row r="69">
          <cell r="C69" t="str">
            <v>ES-09970</v>
          </cell>
          <cell r="H69">
            <v>43894.83</v>
          </cell>
        </row>
        <row r="70">
          <cell r="C70" t="str">
            <v>VG-50014</v>
          </cell>
          <cell r="H70">
            <v>107.76</v>
          </cell>
        </row>
        <row r="71">
          <cell r="C71" t="str">
            <v>VG-50013</v>
          </cell>
          <cell r="H71">
            <v>299.14</v>
          </cell>
        </row>
        <row r="72">
          <cell r="C72" t="str">
            <v>VG-50011</v>
          </cell>
          <cell r="H72">
            <v>1213.79</v>
          </cell>
        </row>
        <row r="73">
          <cell r="C73" t="str">
            <v>VG-30014</v>
          </cell>
          <cell r="H73">
            <v>80.17</v>
          </cell>
        </row>
        <row r="74">
          <cell r="C74" t="str">
            <v>VG-30013</v>
          </cell>
          <cell r="H74">
            <v>219.83</v>
          </cell>
        </row>
        <row r="75">
          <cell r="C75" t="str">
            <v>VG-30011</v>
          </cell>
          <cell r="H75">
            <v>874.14</v>
          </cell>
        </row>
        <row r="76">
          <cell r="C76" t="str">
            <v>G-31114</v>
          </cell>
          <cell r="H76">
            <v>137.93</v>
          </cell>
        </row>
        <row r="77">
          <cell r="C77" t="str">
            <v>G-31113</v>
          </cell>
          <cell r="H77">
            <v>454.31</v>
          </cell>
        </row>
        <row r="78">
          <cell r="C78" t="str">
            <v>IGU-N25005</v>
          </cell>
          <cell r="H78">
            <v>182.76</v>
          </cell>
        </row>
        <row r="79">
          <cell r="C79" t="str">
            <v>IGU-N17003</v>
          </cell>
          <cell r="H79">
            <v>1033.6199999999999</v>
          </cell>
        </row>
        <row r="80">
          <cell r="C80" t="str">
            <v>IGU-N17005</v>
          </cell>
          <cell r="H80">
            <v>150</v>
          </cell>
        </row>
        <row r="81">
          <cell r="C81" t="str">
            <v>IGU-N17004</v>
          </cell>
          <cell r="H81">
            <v>291.38</v>
          </cell>
        </row>
        <row r="82">
          <cell r="C82" t="str">
            <v>IGU-N17006</v>
          </cell>
          <cell r="H82">
            <v>102.59</v>
          </cell>
        </row>
        <row r="83">
          <cell r="C83" t="str">
            <v>IGU-N17001</v>
          </cell>
          <cell r="H83">
            <v>4232.76</v>
          </cell>
        </row>
        <row r="84">
          <cell r="C84" t="str">
            <v>RA-26013</v>
          </cell>
          <cell r="H84">
            <v>2270.69</v>
          </cell>
        </row>
        <row r="85">
          <cell r="C85" t="str">
            <v>RA-26001</v>
          </cell>
          <cell r="H85">
            <v>6894.83</v>
          </cell>
        </row>
        <row r="86">
          <cell r="C86" t="str">
            <v>ES-10011</v>
          </cell>
          <cell r="H86">
            <v>3597.41</v>
          </cell>
        </row>
        <row r="87">
          <cell r="C87" t="str">
            <v>ES-10021</v>
          </cell>
          <cell r="H87">
            <v>4598.28</v>
          </cell>
        </row>
        <row r="88">
          <cell r="C88" t="str">
            <v>MPC-860573</v>
          </cell>
          <cell r="H88">
            <v>728.45</v>
          </cell>
        </row>
        <row r="89">
          <cell r="C89" t="str">
            <v>ES-65043</v>
          </cell>
          <cell r="H89">
            <v>2399.14</v>
          </cell>
        </row>
        <row r="90">
          <cell r="C90" t="str">
            <v>13504</v>
          </cell>
          <cell r="H90">
            <v>143.97</v>
          </cell>
        </row>
        <row r="91">
          <cell r="C91" t="str">
            <v>38551</v>
          </cell>
          <cell r="H91">
            <v>1168.0999999999999</v>
          </cell>
        </row>
        <row r="92">
          <cell r="C92" t="str">
            <v>14764</v>
          </cell>
          <cell r="H92">
            <v>201.72</v>
          </cell>
        </row>
        <row r="93">
          <cell r="C93" t="str">
            <v>14763</v>
          </cell>
          <cell r="H93">
            <v>718.1</v>
          </cell>
        </row>
        <row r="94">
          <cell r="C94" t="str">
            <v>14723</v>
          </cell>
          <cell r="H94">
            <v>808.62</v>
          </cell>
        </row>
        <row r="95">
          <cell r="C95" t="str">
            <v>59471</v>
          </cell>
          <cell r="H95">
            <v>6500</v>
          </cell>
        </row>
        <row r="96">
          <cell r="C96" t="str">
            <v>ES-09960</v>
          </cell>
          <cell r="H96">
            <v>44773.279999999999</v>
          </cell>
        </row>
        <row r="97">
          <cell r="C97" t="str">
            <v>ES-09950</v>
          </cell>
          <cell r="H97">
            <v>33844.83</v>
          </cell>
        </row>
        <row r="98">
          <cell r="C98" t="str">
            <v>53993</v>
          </cell>
          <cell r="H98">
            <v>1019.83</v>
          </cell>
        </row>
        <row r="99">
          <cell r="C99" t="str">
            <v>22994</v>
          </cell>
          <cell r="H99">
            <v>187.93</v>
          </cell>
        </row>
        <row r="100">
          <cell r="C100" t="str">
            <v>ES-47154</v>
          </cell>
          <cell r="H100">
            <v>220.69</v>
          </cell>
        </row>
        <row r="101">
          <cell r="C101" t="str">
            <v>ES-47153</v>
          </cell>
          <cell r="H101">
            <v>761.21</v>
          </cell>
        </row>
        <row r="102">
          <cell r="C102" t="str">
            <v>ES-47151</v>
          </cell>
          <cell r="H102">
            <v>3298.28</v>
          </cell>
        </row>
        <row r="103">
          <cell r="C103" t="str">
            <v>ES-47144</v>
          </cell>
          <cell r="H103">
            <v>220.69</v>
          </cell>
        </row>
        <row r="104">
          <cell r="C104" t="str">
            <v>ES-47143</v>
          </cell>
          <cell r="H104">
            <v>761.21</v>
          </cell>
        </row>
        <row r="105">
          <cell r="C105" t="str">
            <v>ES-47141</v>
          </cell>
          <cell r="H105">
            <v>3298.28</v>
          </cell>
        </row>
        <row r="106">
          <cell r="C106" t="str">
            <v>ES-47134</v>
          </cell>
          <cell r="H106">
            <v>249.14</v>
          </cell>
        </row>
        <row r="107">
          <cell r="C107" t="str">
            <v>ES-47133</v>
          </cell>
          <cell r="H107">
            <v>860.34</v>
          </cell>
        </row>
        <row r="108">
          <cell r="C108" t="str">
            <v>ES-47131</v>
          </cell>
          <cell r="H108">
            <v>3775</v>
          </cell>
        </row>
        <row r="109">
          <cell r="C109" t="str">
            <v>ES-47124</v>
          </cell>
          <cell r="H109">
            <v>220.69</v>
          </cell>
        </row>
        <row r="110">
          <cell r="C110" t="str">
            <v>ES-47123</v>
          </cell>
          <cell r="H110">
            <v>761.21</v>
          </cell>
        </row>
        <row r="111">
          <cell r="C111" t="str">
            <v>ES-47121</v>
          </cell>
          <cell r="H111">
            <v>3298.28</v>
          </cell>
        </row>
        <row r="112">
          <cell r="C112" t="str">
            <v>ES-47114</v>
          </cell>
          <cell r="H112">
            <v>200</v>
          </cell>
        </row>
        <row r="113">
          <cell r="C113" t="str">
            <v>ES-47113</v>
          </cell>
          <cell r="H113">
            <v>639.66</v>
          </cell>
        </row>
        <row r="114">
          <cell r="C114" t="str">
            <v>ES-47111</v>
          </cell>
          <cell r="H114">
            <v>3598.28</v>
          </cell>
        </row>
        <row r="115">
          <cell r="C115" t="str">
            <v>ES-09961</v>
          </cell>
          <cell r="H115">
            <v>3062.07</v>
          </cell>
        </row>
        <row r="116">
          <cell r="C116" t="str">
            <v>29283</v>
          </cell>
          <cell r="H116">
            <v>111.21</v>
          </cell>
        </row>
        <row r="117">
          <cell r="C117" t="str">
            <v>ES-09951</v>
          </cell>
          <cell r="H117">
            <v>3330.17</v>
          </cell>
        </row>
        <row r="118">
          <cell r="C118" t="str">
            <v>36044</v>
          </cell>
          <cell r="H118">
            <v>203.45</v>
          </cell>
        </row>
        <row r="119">
          <cell r="C119" t="str">
            <v>36043</v>
          </cell>
          <cell r="H119">
            <v>702.59</v>
          </cell>
        </row>
        <row r="120">
          <cell r="C120" t="str">
            <v>36041</v>
          </cell>
          <cell r="H120">
            <v>3576.72</v>
          </cell>
        </row>
        <row r="121">
          <cell r="C121" t="str">
            <v>N29595</v>
          </cell>
          <cell r="H121">
            <v>113.79</v>
          </cell>
        </row>
        <row r="122">
          <cell r="C122" t="str">
            <v>82658</v>
          </cell>
          <cell r="H122">
            <v>468.1</v>
          </cell>
        </row>
        <row r="123">
          <cell r="C123" t="str">
            <v>ES-09721</v>
          </cell>
          <cell r="H123">
            <v>2056.9</v>
          </cell>
        </row>
        <row r="124">
          <cell r="C124" t="str">
            <v>10554</v>
          </cell>
          <cell r="H124">
            <v>243.97</v>
          </cell>
        </row>
        <row r="125">
          <cell r="C125" t="str">
            <v>10524</v>
          </cell>
          <cell r="H125">
            <v>251.72</v>
          </cell>
        </row>
        <row r="126">
          <cell r="C126" t="str">
            <v>10594</v>
          </cell>
          <cell r="H126">
            <v>205.17</v>
          </cell>
        </row>
        <row r="127">
          <cell r="C127" t="str">
            <v>E-68014</v>
          </cell>
          <cell r="H127">
            <v>193.1</v>
          </cell>
        </row>
        <row r="128">
          <cell r="C128" t="str">
            <v>T-13004</v>
          </cell>
          <cell r="H128">
            <v>164.66</v>
          </cell>
        </row>
        <row r="129">
          <cell r="C129" t="str">
            <v>CIN-7M737 9999</v>
          </cell>
          <cell r="H129">
            <v>6512.93</v>
          </cell>
        </row>
        <row r="130">
          <cell r="C130" t="str">
            <v>CIN-7M736 0503</v>
          </cell>
          <cell r="H130">
            <v>8940.52</v>
          </cell>
        </row>
        <row r="131">
          <cell r="C131" t="str">
            <v>T-13003</v>
          </cell>
          <cell r="H131">
            <v>605.16999999999996</v>
          </cell>
        </row>
        <row r="132">
          <cell r="C132" t="str">
            <v>ES-09910</v>
          </cell>
          <cell r="H132">
            <v>29125.86</v>
          </cell>
        </row>
        <row r="133">
          <cell r="C133" t="str">
            <v>ES-09913</v>
          </cell>
          <cell r="H133">
            <v>674.14</v>
          </cell>
        </row>
        <row r="134">
          <cell r="C134" t="str">
            <v>ES-09873</v>
          </cell>
          <cell r="H134">
            <v>1250</v>
          </cell>
        </row>
        <row r="135">
          <cell r="C135" t="str">
            <v>ES-09871</v>
          </cell>
          <cell r="H135">
            <v>6956.9</v>
          </cell>
        </row>
        <row r="136">
          <cell r="C136" t="str">
            <v>ES-65641</v>
          </cell>
          <cell r="H136">
            <v>8583.6200000000008</v>
          </cell>
        </row>
        <row r="137">
          <cell r="C137" t="str">
            <v>ES-65643</v>
          </cell>
          <cell r="H137">
            <v>2202.59</v>
          </cell>
        </row>
        <row r="138">
          <cell r="C138" t="str">
            <v>ES-09911</v>
          </cell>
          <cell r="H138">
            <v>2945.69</v>
          </cell>
        </row>
        <row r="139">
          <cell r="C139" t="str">
            <v>ES-62441</v>
          </cell>
          <cell r="H139">
            <v>4238.79</v>
          </cell>
        </row>
        <row r="140">
          <cell r="C140" t="str">
            <v>SPE-114351</v>
          </cell>
          <cell r="H140">
            <v>4393.97</v>
          </cell>
        </row>
        <row r="141">
          <cell r="C141" t="str">
            <v>68564</v>
          </cell>
          <cell r="H141">
            <v>375.86</v>
          </cell>
        </row>
        <row r="142">
          <cell r="C142" t="str">
            <v>ES-09650</v>
          </cell>
          <cell r="H142">
            <v>61501.72</v>
          </cell>
        </row>
        <row r="143">
          <cell r="C143" t="str">
            <v>ES-09931</v>
          </cell>
          <cell r="H143">
            <v>4125.8599999999997</v>
          </cell>
        </row>
        <row r="144">
          <cell r="C144" t="str">
            <v>ES-09930</v>
          </cell>
          <cell r="H144">
            <v>41400.86</v>
          </cell>
        </row>
        <row r="145">
          <cell r="C145" t="str">
            <v>ES-09921</v>
          </cell>
          <cell r="H145">
            <v>3863.79</v>
          </cell>
        </row>
        <row r="146">
          <cell r="C146" t="str">
            <v>ES-09920</v>
          </cell>
          <cell r="H146">
            <v>38645.69</v>
          </cell>
        </row>
        <row r="147">
          <cell r="C147" t="str">
            <v>17823</v>
          </cell>
          <cell r="H147">
            <v>931.9</v>
          </cell>
        </row>
        <row r="148">
          <cell r="C148" t="str">
            <v>PM-40560</v>
          </cell>
          <cell r="H148">
            <v>33391.379999999997</v>
          </cell>
        </row>
        <row r="149">
          <cell r="C149" t="str">
            <v>11203</v>
          </cell>
          <cell r="H149">
            <v>586.21</v>
          </cell>
        </row>
        <row r="150">
          <cell r="C150" t="str">
            <v>RP-04003</v>
          </cell>
          <cell r="H150">
            <v>981.03</v>
          </cell>
        </row>
        <row r="151">
          <cell r="C151" t="str">
            <v>RP-04013</v>
          </cell>
          <cell r="H151">
            <v>2118.1</v>
          </cell>
        </row>
        <row r="152">
          <cell r="C152" t="str">
            <v>29274</v>
          </cell>
          <cell r="H152">
            <v>39.659999999999997</v>
          </cell>
        </row>
        <row r="153">
          <cell r="C153" t="str">
            <v>ES-78461</v>
          </cell>
          <cell r="H153">
            <v>3511.21</v>
          </cell>
        </row>
        <row r="154">
          <cell r="C154" t="str">
            <v>PM-40931</v>
          </cell>
          <cell r="H154">
            <v>3518.97</v>
          </cell>
        </row>
        <row r="155">
          <cell r="C155" t="str">
            <v>29103</v>
          </cell>
          <cell r="H155">
            <v>864.66</v>
          </cell>
        </row>
        <row r="156">
          <cell r="C156" t="str">
            <v>PM-42991</v>
          </cell>
          <cell r="H156">
            <v>4485.34</v>
          </cell>
        </row>
        <row r="157">
          <cell r="C157" t="str">
            <v>PM-42921</v>
          </cell>
          <cell r="H157">
            <v>3458.62</v>
          </cell>
        </row>
        <row r="158">
          <cell r="C158" t="str">
            <v>PM-40561</v>
          </cell>
          <cell r="H158">
            <v>3355.17</v>
          </cell>
        </row>
        <row r="159">
          <cell r="C159" t="str">
            <v>28885</v>
          </cell>
          <cell r="H159">
            <v>110.34</v>
          </cell>
        </row>
        <row r="160">
          <cell r="C160" t="str">
            <v>28855</v>
          </cell>
          <cell r="H160">
            <v>110.34</v>
          </cell>
        </row>
        <row r="161">
          <cell r="C161" t="str">
            <v>28845</v>
          </cell>
          <cell r="H161">
            <v>110.34</v>
          </cell>
        </row>
        <row r="162">
          <cell r="C162" t="str">
            <v>28895</v>
          </cell>
          <cell r="H162">
            <v>110.34</v>
          </cell>
        </row>
        <row r="163">
          <cell r="C163" t="str">
            <v>22993</v>
          </cell>
          <cell r="H163">
            <v>671.55</v>
          </cell>
        </row>
        <row r="164">
          <cell r="C164" t="str">
            <v>22003</v>
          </cell>
          <cell r="H164">
            <v>671.55</v>
          </cell>
        </row>
        <row r="165">
          <cell r="C165" t="str">
            <v>14931</v>
          </cell>
          <cell r="H165">
            <v>4526.72</v>
          </cell>
        </row>
        <row r="166">
          <cell r="C166" t="str">
            <v>53991</v>
          </cell>
          <cell r="H166">
            <v>4339.66</v>
          </cell>
        </row>
        <row r="167">
          <cell r="C167" t="str">
            <v>ES-65651</v>
          </cell>
          <cell r="H167">
            <v>4506.03</v>
          </cell>
        </row>
        <row r="168">
          <cell r="C168" t="str">
            <v>89020</v>
          </cell>
          <cell r="H168">
            <v>144.83000000000001</v>
          </cell>
        </row>
        <row r="169">
          <cell r="C169" t="str">
            <v>STI-5580033</v>
          </cell>
          <cell r="H169">
            <v>2261.21</v>
          </cell>
        </row>
        <row r="170">
          <cell r="C170" t="str">
            <v>STI-5580011</v>
          </cell>
          <cell r="H170">
            <v>7225.86</v>
          </cell>
        </row>
        <row r="171">
          <cell r="C171" t="str">
            <v>STI-5560011</v>
          </cell>
          <cell r="H171">
            <v>7225.86</v>
          </cell>
        </row>
        <row r="172">
          <cell r="C172" t="str">
            <v>STI-5520023</v>
          </cell>
          <cell r="H172">
            <v>2261.21</v>
          </cell>
        </row>
        <row r="173">
          <cell r="C173" t="str">
            <v>STI-5520011</v>
          </cell>
          <cell r="H173">
            <v>7225.86</v>
          </cell>
        </row>
        <row r="174">
          <cell r="C174" t="str">
            <v>STI-5510011</v>
          </cell>
          <cell r="H174">
            <v>7225.86</v>
          </cell>
        </row>
        <row r="175">
          <cell r="C175" t="str">
            <v>STI-55003</v>
          </cell>
          <cell r="H175">
            <v>2154.31</v>
          </cell>
        </row>
        <row r="176">
          <cell r="C176" t="str">
            <v>STI-55001</v>
          </cell>
          <cell r="H176">
            <v>6881.9</v>
          </cell>
        </row>
        <row r="177">
          <cell r="C177" t="str">
            <v>STI-16181</v>
          </cell>
          <cell r="H177">
            <v>4358.62</v>
          </cell>
        </row>
        <row r="178">
          <cell r="C178" t="str">
            <v>SPE-111953</v>
          </cell>
          <cell r="H178">
            <v>1202.5899999999999</v>
          </cell>
        </row>
        <row r="179">
          <cell r="C179" t="str">
            <v>SPE-111951</v>
          </cell>
          <cell r="H179">
            <v>2705.17</v>
          </cell>
        </row>
        <row r="180">
          <cell r="C180" t="str">
            <v>SPE-111913</v>
          </cell>
          <cell r="H180">
            <v>1270.69</v>
          </cell>
        </row>
        <row r="181">
          <cell r="C181" t="str">
            <v>SPE-111911</v>
          </cell>
          <cell r="H181">
            <v>2867.24</v>
          </cell>
        </row>
        <row r="182">
          <cell r="C182" t="str">
            <v>SPE-111903</v>
          </cell>
          <cell r="H182">
            <v>1141.3800000000001</v>
          </cell>
        </row>
        <row r="183">
          <cell r="C183" t="str">
            <v>SPE-111901</v>
          </cell>
          <cell r="H183">
            <v>2560.34</v>
          </cell>
        </row>
        <row r="184">
          <cell r="C184" t="str">
            <v>SPE-111863</v>
          </cell>
          <cell r="H184">
            <v>587.07000000000005</v>
          </cell>
        </row>
        <row r="185">
          <cell r="C185" t="str">
            <v>SPE-111861</v>
          </cell>
          <cell r="H185">
            <v>2637.93</v>
          </cell>
        </row>
        <row r="186">
          <cell r="C186" t="str">
            <v>SPE-110133</v>
          </cell>
          <cell r="H186">
            <v>936.21</v>
          </cell>
        </row>
        <row r="187">
          <cell r="C187" t="str">
            <v>SPE-109933</v>
          </cell>
          <cell r="H187">
            <v>818.1</v>
          </cell>
        </row>
        <row r="188">
          <cell r="C188" t="str">
            <v>SPE-106431</v>
          </cell>
          <cell r="H188">
            <v>4221.55</v>
          </cell>
        </row>
        <row r="189">
          <cell r="C189" t="str">
            <v>S-32084</v>
          </cell>
          <cell r="H189">
            <v>82.76</v>
          </cell>
        </row>
        <row r="190">
          <cell r="C190" t="str">
            <v>S-32071</v>
          </cell>
          <cell r="H190">
            <v>1634.48</v>
          </cell>
        </row>
        <row r="191">
          <cell r="C191" t="str">
            <v>S-32054</v>
          </cell>
          <cell r="H191">
            <v>132.76</v>
          </cell>
        </row>
        <row r="192">
          <cell r="C192" t="str">
            <v>S-17994</v>
          </cell>
          <cell r="H192">
            <v>308.62</v>
          </cell>
        </row>
        <row r="193">
          <cell r="C193" t="str">
            <v>S-17993</v>
          </cell>
          <cell r="H193">
            <v>1104.31</v>
          </cell>
        </row>
        <row r="194">
          <cell r="C194" t="str">
            <v>S-17984</v>
          </cell>
          <cell r="H194">
            <v>308.62</v>
          </cell>
        </row>
        <row r="195">
          <cell r="C195" t="str">
            <v>S-17983</v>
          </cell>
          <cell r="H195">
            <v>1104.31</v>
          </cell>
        </row>
        <row r="196">
          <cell r="C196" t="str">
            <v>S-17934</v>
          </cell>
          <cell r="H196">
            <v>308.62</v>
          </cell>
        </row>
        <row r="197">
          <cell r="C197" t="str">
            <v>S-17933</v>
          </cell>
          <cell r="H197">
            <v>1104.31</v>
          </cell>
        </row>
        <row r="198">
          <cell r="C198" t="str">
            <v>S-17824</v>
          </cell>
          <cell r="H198">
            <v>308.62</v>
          </cell>
        </row>
        <row r="199">
          <cell r="C199" t="str">
            <v>S-17823</v>
          </cell>
          <cell r="H199">
            <v>1104.31</v>
          </cell>
        </row>
        <row r="200">
          <cell r="C200" t="str">
            <v>S-17794</v>
          </cell>
          <cell r="H200">
            <v>308.62</v>
          </cell>
        </row>
        <row r="201">
          <cell r="C201" t="str">
            <v>S-17793</v>
          </cell>
          <cell r="H201">
            <v>1104.31</v>
          </cell>
        </row>
        <row r="202">
          <cell r="C202" t="str">
            <v>S-17694</v>
          </cell>
          <cell r="H202">
            <v>308.62</v>
          </cell>
        </row>
        <row r="203">
          <cell r="C203" t="str">
            <v>S-17693</v>
          </cell>
          <cell r="H203">
            <v>1104.31</v>
          </cell>
        </row>
        <row r="204">
          <cell r="C204" t="str">
            <v>S-17644</v>
          </cell>
          <cell r="H204">
            <v>308.62</v>
          </cell>
        </row>
        <row r="205">
          <cell r="C205" t="str">
            <v>S-17643</v>
          </cell>
          <cell r="H205">
            <v>1104.31</v>
          </cell>
        </row>
        <row r="206">
          <cell r="C206" t="str">
            <v>S-17584</v>
          </cell>
          <cell r="H206">
            <v>308.62</v>
          </cell>
        </row>
        <row r="207">
          <cell r="C207" t="str">
            <v>S-17583</v>
          </cell>
          <cell r="H207">
            <v>1104.31</v>
          </cell>
        </row>
        <row r="208">
          <cell r="C208" t="str">
            <v>S-17564</v>
          </cell>
          <cell r="H208">
            <v>308.62</v>
          </cell>
        </row>
        <row r="209">
          <cell r="C209" t="str">
            <v>S-17563</v>
          </cell>
          <cell r="H209">
            <v>1104.31</v>
          </cell>
        </row>
        <row r="210">
          <cell r="C210" t="str">
            <v>S-17454</v>
          </cell>
          <cell r="H210">
            <v>308.62</v>
          </cell>
        </row>
        <row r="211">
          <cell r="C211" t="str">
            <v>S-17453</v>
          </cell>
          <cell r="H211">
            <v>1104.31</v>
          </cell>
        </row>
        <row r="212">
          <cell r="C212" t="str">
            <v>S-17354</v>
          </cell>
          <cell r="H212">
            <v>308.62</v>
          </cell>
        </row>
        <row r="213">
          <cell r="C213" t="str">
            <v>S-17353</v>
          </cell>
          <cell r="H213">
            <v>1104.31</v>
          </cell>
        </row>
        <row r="214">
          <cell r="C214" t="str">
            <v>S-17144</v>
          </cell>
          <cell r="H214">
            <v>308.62</v>
          </cell>
        </row>
        <row r="215">
          <cell r="C215" t="str">
            <v>S-17143</v>
          </cell>
          <cell r="H215">
            <v>1104.31</v>
          </cell>
        </row>
        <row r="216">
          <cell r="C216" t="str">
            <v>S-17124</v>
          </cell>
          <cell r="H216">
            <v>308.62</v>
          </cell>
        </row>
        <row r="217">
          <cell r="C217" t="str">
            <v>S-17123</v>
          </cell>
          <cell r="H217">
            <v>1104.31</v>
          </cell>
        </row>
        <row r="218">
          <cell r="C218" t="str">
            <v>S-17121</v>
          </cell>
          <cell r="H218">
            <v>4679.3100000000004</v>
          </cell>
        </row>
        <row r="219">
          <cell r="C219" t="str">
            <v>S-17004</v>
          </cell>
          <cell r="H219">
            <v>308.62</v>
          </cell>
        </row>
        <row r="220">
          <cell r="C220" t="str">
            <v>S-17003</v>
          </cell>
          <cell r="H220">
            <v>1104.31</v>
          </cell>
        </row>
        <row r="221">
          <cell r="C221" t="str">
            <v>S-17001</v>
          </cell>
          <cell r="H221">
            <v>4679.3100000000004</v>
          </cell>
        </row>
        <row r="222">
          <cell r="C222" t="str">
            <v>RP-22073</v>
          </cell>
          <cell r="H222">
            <v>4725.8599999999997</v>
          </cell>
        </row>
        <row r="223">
          <cell r="C223" t="str">
            <v>RP-22055</v>
          </cell>
          <cell r="H223">
            <v>225.86</v>
          </cell>
        </row>
        <row r="224">
          <cell r="C224" t="str">
            <v>RP-2203GL</v>
          </cell>
          <cell r="H224">
            <v>175.86</v>
          </cell>
        </row>
        <row r="225">
          <cell r="C225" t="str">
            <v>RP-22033</v>
          </cell>
          <cell r="H225">
            <v>537.92999999999995</v>
          </cell>
        </row>
        <row r="226">
          <cell r="C226" t="str">
            <v>REF-SANT4100</v>
          </cell>
          <cell r="H226">
            <v>1531.9</v>
          </cell>
        </row>
        <row r="227">
          <cell r="C227" t="str">
            <v>RA-28991</v>
          </cell>
          <cell r="H227">
            <v>6980.17</v>
          </cell>
        </row>
        <row r="228">
          <cell r="C228" t="str">
            <v>RA-28981</v>
          </cell>
          <cell r="H228">
            <v>6033.62</v>
          </cell>
        </row>
        <row r="229">
          <cell r="C229" t="str">
            <v>RA-28971</v>
          </cell>
          <cell r="H229">
            <v>4565.5200000000004</v>
          </cell>
        </row>
        <row r="230">
          <cell r="C230" t="str">
            <v>RA-28931</v>
          </cell>
          <cell r="H230">
            <v>4749.1400000000003</v>
          </cell>
        </row>
        <row r="231">
          <cell r="C231" t="str">
            <v>RA-28801</v>
          </cell>
          <cell r="H231">
            <v>5839.66</v>
          </cell>
        </row>
        <row r="232">
          <cell r="C232" t="str">
            <v>RA-28781</v>
          </cell>
          <cell r="H232">
            <v>5850</v>
          </cell>
        </row>
        <row r="233">
          <cell r="C233" t="str">
            <v>RA-28751</v>
          </cell>
          <cell r="H233">
            <v>6575</v>
          </cell>
        </row>
        <row r="234">
          <cell r="C234" t="str">
            <v>RA-28681</v>
          </cell>
          <cell r="H234">
            <v>5167.24</v>
          </cell>
        </row>
        <row r="235">
          <cell r="C235" t="str">
            <v>RA-28671</v>
          </cell>
          <cell r="H235">
            <v>7472.41</v>
          </cell>
        </row>
        <row r="236">
          <cell r="C236" t="str">
            <v>RA-28661</v>
          </cell>
          <cell r="H236">
            <v>7312.93</v>
          </cell>
        </row>
        <row r="237">
          <cell r="C237" t="str">
            <v>RA-28651</v>
          </cell>
          <cell r="H237">
            <v>7154.31</v>
          </cell>
        </row>
        <row r="238">
          <cell r="C238" t="str">
            <v>RA-28641</v>
          </cell>
          <cell r="H238">
            <v>7381.03</v>
          </cell>
        </row>
        <row r="239">
          <cell r="C239" t="str">
            <v>RA-28631</v>
          </cell>
          <cell r="H239">
            <v>6848.28</v>
          </cell>
        </row>
        <row r="240">
          <cell r="C240" t="str">
            <v>RA-28611</v>
          </cell>
          <cell r="H240">
            <v>7871.55</v>
          </cell>
        </row>
        <row r="241">
          <cell r="C241" t="str">
            <v>RA-28561</v>
          </cell>
          <cell r="H241">
            <v>5468.97</v>
          </cell>
        </row>
        <row r="242">
          <cell r="C242" t="str">
            <v>RA-28491</v>
          </cell>
          <cell r="H242">
            <v>10382.76</v>
          </cell>
        </row>
        <row r="243">
          <cell r="C243" t="str">
            <v>RA-28441</v>
          </cell>
          <cell r="H243">
            <v>8419.83</v>
          </cell>
        </row>
        <row r="244">
          <cell r="C244" t="str">
            <v>RA-28351</v>
          </cell>
          <cell r="H244">
            <v>8080.17</v>
          </cell>
        </row>
        <row r="245">
          <cell r="C245" t="str">
            <v>RA-28171</v>
          </cell>
          <cell r="H245">
            <v>9631.0300000000007</v>
          </cell>
        </row>
        <row r="246">
          <cell r="C246" t="str">
            <v>RA-28131</v>
          </cell>
          <cell r="H246">
            <v>11623.28</v>
          </cell>
        </row>
        <row r="247">
          <cell r="C247" t="str">
            <v>RA-28031</v>
          </cell>
          <cell r="H247">
            <v>5030.17</v>
          </cell>
        </row>
        <row r="248">
          <cell r="C248" t="str">
            <v>RA-28013</v>
          </cell>
          <cell r="H248">
            <v>4070.69</v>
          </cell>
        </row>
        <row r="249">
          <cell r="C249" t="str">
            <v>RA-28001</v>
          </cell>
          <cell r="H249">
            <v>14410.34</v>
          </cell>
        </row>
        <row r="250">
          <cell r="C250" t="str">
            <v>R-32994</v>
          </cell>
          <cell r="H250">
            <v>111.21</v>
          </cell>
        </row>
        <row r="251">
          <cell r="C251" t="str">
            <v>R-32993</v>
          </cell>
          <cell r="H251">
            <v>394.83</v>
          </cell>
        </row>
        <row r="252">
          <cell r="C252" t="str">
            <v>R-32991</v>
          </cell>
          <cell r="H252">
            <v>1563.79</v>
          </cell>
        </row>
        <row r="253">
          <cell r="C253" t="str">
            <v>R-32084</v>
          </cell>
          <cell r="H253">
            <v>63.79</v>
          </cell>
        </row>
        <row r="254">
          <cell r="C254" t="str">
            <v>R-32083</v>
          </cell>
          <cell r="H254">
            <v>249.14</v>
          </cell>
        </row>
        <row r="255">
          <cell r="C255" t="str">
            <v>R-32081</v>
          </cell>
          <cell r="H255">
            <v>896.55</v>
          </cell>
        </row>
        <row r="256">
          <cell r="C256" t="str">
            <v>R-32074</v>
          </cell>
          <cell r="H256">
            <v>87.07</v>
          </cell>
        </row>
        <row r="257">
          <cell r="C257" t="str">
            <v>R-32073</v>
          </cell>
          <cell r="H257">
            <v>326.72000000000003</v>
          </cell>
        </row>
        <row r="258">
          <cell r="C258" t="str">
            <v>R-32071</v>
          </cell>
          <cell r="H258">
            <v>1229.31</v>
          </cell>
        </row>
        <row r="259">
          <cell r="C259" t="str">
            <v>R-32054</v>
          </cell>
          <cell r="H259">
            <v>91.38</v>
          </cell>
        </row>
        <row r="260">
          <cell r="C260" t="str">
            <v>R-32053</v>
          </cell>
          <cell r="H260">
            <v>342.24</v>
          </cell>
        </row>
        <row r="261">
          <cell r="C261" t="str">
            <v>R-32051</v>
          </cell>
          <cell r="H261">
            <v>1292.24</v>
          </cell>
        </row>
        <row r="262">
          <cell r="C262" t="str">
            <v>R-32044</v>
          </cell>
          <cell r="H262">
            <v>106.03</v>
          </cell>
        </row>
        <row r="263">
          <cell r="C263" t="str">
            <v>R-32043</v>
          </cell>
          <cell r="H263">
            <v>376.72</v>
          </cell>
        </row>
        <row r="264">
          <cell r="C264" t="str">
            <v>R-32041</v>
          </cell>
          <cell r="H264">
            <v>1491.38</v>
          </cell>
        </row>
        <row r="265">
          <cell r="C265" t="str">
            <v>R-32004</v>
          </cell>
          <cell r="H265">
            <v>111.21</v>
          </cell>
        </row>
        <row r="266">
          <cell r="C266" t="str">
            <v>R-32003</v>
          </cell>
          <cell r="H266">
            <v>394.83</v>
          </cell>
        </row>
        <row r="267">
          <cell r="C267" t="str">
            <v>R-32001</v>
          </cell>
          <cell r="H267">
            <v>1563.79</v>
          </cell>
        </row>
        <row r="268">
          <cell r="C268" t="str">
            <v>PRG-10934</v>
          </cell>
          <cell r="H268">
            <v>138.79</v>
          </cell>
        </row>
        <row r="269">
          <cell r="C269" t="str">
            <v>PRG-10933</v>
          </cell>
          <cell r="H269">
            <v>484.48</v>
          </cell>
        </row>
        <row r="270">
          <cell r="C270" t="str">
            <v>PRG-10931</v>
          </cell>
          <cell r="H270">
            <v>2001.72</v>
          </cell>
        </row>
        <row r="271">
          <cell r="C271" t="str">
            <v>PRG-10564</v>
          </cell>
          <cell r="H271">
            <v>138.79</v>
          </cell>
        </row>
        <row r="272">
          <cell r="C272" t="str">
            <v>PRG-10563</v>
          </cell>
          <cell r="H272">
            <v>484.48</v>
          </cell>
        </row>
        <row r="273">
          <cell r="C273" t="str">
            <v>PRG-10561</v>
          </cell>
          <cell r="H273">
            <v>2001.72</v>
          </cell>
        </row>
        <row r="274">
          <cell r="C274" t="str">
            <v>PPP004</v>
          </cell>
          <cell r="H274">
            <v>1123.28</v>
          </cell>
        </row>
        <row r="275">
          <cell r="C275" t="str">
            <v>PPP002</v>
          </cell>
          <cell r="H275">
            <v>649.14</v>
          </cell>
        </row>
        <row r="276">
          <cell r="C276" t="str">
            <v>PM-42021</v>
          </cell>
          <cell r="H276">
            <v>4038.79</v>
          </cell>
        </row>
        <row r="277">
          <cell r="C277" t="str">
            <v>PM-42001</v>
          </cell>
          <cell r="H277">
            <v>4763.79</v>
          </cell>
        </row>
        <row r="278">
          <cell r="C278" t="str">
            <v>PM-40001</v>
          </cell>
          <cell r="H278">
            <v>3881.03</v>
          </cell>
        </row>
        <row r="279">
          <cell r="C279" t="str">
            <v>PC-40993</v>
          </cell>
          <cell r="H279">
            <v>1212.93</v>
          </cell>
        </row>
        <row r="280">
          <cell r="C280" t="str">
            <v>PC-40991</v>
          </cell>
          <cell r="H280">
            <v>4773.28</v>
          </cell>
        </row>
        <row r="281">
          <cell r="C281" t="str">
            <v>PC-40923</v>
          </cell>
          <cell r="H281">
            <v>1490.52</v>
          </cell>
        </row>
        <row r="282">
          <cell r="C282" t="str">
            <v>PC-40921</v>
          </cell>
          <cell r="H282">
            <v>5823.28</v>
          </cell>
        </row>
        <row r="283">
          <cell r="C283" t="str">
            <v>PC-40173</v>
          </cell>
          <cell r="H283">
            <v>1419.83</v>
          </cell>
        </row>
        <row r="284">
          <cell r="C284" t="str">
            <v>PC-40171</v>
          </cell>
          <cell r="H284">
            <v>5547.41</v>
          </cell>
        </row>
        <row r="285">
          <cell r="C285" t="str">
            <v>PC-40014</v>
          </cell>
          <cell r="H285">
            <v>509.48</v>
          </cell>
        </row>
        <row r="286">
          <cell r="C286" t="str">
            <v>PC-40013</v>
          </cell>
          <cell r="H286">
            <v>1881.9</v>
          </cell>
        </row>
        <row r="287">
          <cell r="C287" t="str">
            <v>PC-40003</v>
          </cell>
          <cell r="H287">
            <v>1419.83</v>
          </cell>
        </row>
        <row r="288">
          <cell r="C288" t="str">
            <v>PC-40001</v>
          </cell>
          <cell r="H288">
            <v>5547.41</v>
          </cell>
        </row>
        <row r="289">
          <cell r="C289" t="str">
            <v>PC-38923</v>
          </cell>
          <cell r="H289">
            <v>1222.4100000000001</v>
          </cell>
        </row>
        <row r="290">
          <cell r="C290" t="str">
            <v>PC-38921</v>
          </cell>
          <cell r="H290">
            <v>4746.55</v>
          </cell>
        </row>
        <row r="291">
          <cell r="C291" t="str">
            <v>PC-38014</v>
          </cell>
          <cell r="H291">
            <v>306.89999999999998</v>
          </cell>
        </row>
        <row r="292">
          <cell r="C292" t="str">
            <v>PC-38013</v>
          </cell>
          <cell r="H292">
            <v>1049.1400000000001</v>
          </cell>
        </row>
        <row r="293">
          <cell r="C293" t="str">
            <v>PC-38003</v>
          </cell>
          <cell r="H293">
            <v>1222.4100000000001</v>
          </cell>
        </row>
        <row r="294">
          <cell r="C294" t="str">
            <v>PC-38001</v>
          </cell>
          <cell r="H294">
            <v>4746.55</v>
          </cell>
        </row>
        <row r="295">
          <cell r="C295" t="str">
            <v>P-16800</v>
          </cell>
          <cell r="H295">
            <v>41732.76</v>
          </cell>
        </row>
        <row r="296">
          <cell r="C296" t="str">
            <v>MPC-59803</v>
          </cell>
          <cell r="H296">
            <v>1815.52</v>
          </cell>
        </row>
        <row r="297">
          <cell r="C297" t="str">
            <v>MPC-59801</v>
          </cell>
          <cell r="H297">
            <v>6450</v>
          </cell>
        </row>
        <row r="298">
          <cell r="C298" t="str">
            <v>MPC-59003</v>
          </cell>
          <cell r="H298">
            <v>1815.52</v>
          </cell>
        </row>
        <row r="299">
          <cell r="C299" t="str">
            <v>MPC-59001</v>
          </cell>
          <cell r="H299">
            <v>6450</v>
          </cell>
        </row>
        <row r="300">
          <cell r="C300" t="str">
            <v>MPC-55803</v>
          </cell>
          <cell r="H300">
            <v>1824.14</v>
          </cell>
        </row>
        <row r="301">
          <cell r="C301" t="str">
            <v>MPC-55801</v>
          </cell>
          <cell r="H301">
            <v>5576.72</v>
          </cell>
        </row>
        <row r="302">
          <cell r="C302" t="str">
            <v>MPC-55003</v>
          </cell>
          <cell r="H302">
            <v>1824.14</v>
          </cell>
        </row>
        <row r="303">
          <cell r="C303" t="str">
            <v>MPC-55001</v>
          </cell>
          <cell r="H303">
            <v>5576.72</v>
          </cell>
        </row>
        <row r="304">
          <cell r="C304" t="str">
            <v>MPC-17003</v>
          </cell>
          <cell r="H304">
            <v>681.9</v>
          </cell>
        </row>
        <row r="305">
          <cell r="C305" t="str">
            <v>MPC-17001</v>
          </cell>
          <cell r="H305">
            <v>2893.97</v>
          </cell>
        </row>
        <row r="306">
          <cell r="C306" t="str">
            <v>MPC-16183</v>
          </cell>
          <cell r="H306">
            <v>681.03</v>
          </cell>
        </row>
        <row r="307">
          <cell r="C307" t="str">
            <v>MPC-16181</v>
          </cell>
          <cell r="H307">
            <v>3071.55</v>
          </cell>
        </row>
        <row r="308">
          <cell r="C308" t="str">
            <v>LE-16601</v>
          </cell>
          <cell r="H308">
            <v>2825.86</v>
          </cell>
        </row>
        <row r="309">
          <cell r="C309" t="str">
            <v>LE-16571</v>
          </cell>
          <cell r="H309">
            <v>2806.03</v>
          </cell>
        </row>
        <row r="310">
          <cell r="C310" t="str">
            <v>LE-16561</v>
          </cell>
          <cell r="H310">
            <v>4906.03</v>
          </cell>
        </row>
        <row r="311">
          <cell r="C311" t="str">
            <v>LE-16551</v>
          </cell>
          <cell r="H311">
            <v>6262.07</v>
          </cell>
        </row>
        <row r="312">
          <cell r="C312" t="str">
            <v>LE-16541</v>
          </cell>
          <cell r="H312">
            <v>6493.97</v>
          </cell>
        </row>
        <row r="313">
          <cell r="C313" t="str">
            <v>LE-16531</v>
          </cell>
          <cell r="H313">
            <v>6237.93</v>
          </cell>
        </row>
        <row r="314">
          <cell r="C314" t="str">
            <v>LE-16521</v>
          </cell>
          <cell r="H314">
            <v>5843.1</v>
          </cell>
        </row>
        <row r="315">
          <cell r="C315" t="str">
            <v>LE-16000</v>
          </cell>
          <cell r="H315">
            <v>27045.69</v>
          </cell>
        </row>
        <row r="316">
          <cell r="C316" t="str">
            <v>LE-15990</v>
          </cell>
          <cell r="H316">
            <v>29589.66</v>
          </cell>
        </row>
        <row r="317">
          <cell r="C317" t="str">
            <v>LE-15241</v>
          </cell>
          <cell r="H317">
            <v>6646.55</v>
          </cell>
        </row>
        <row r="318">
          <cell r="C318" t="str">
            <v>IT-R32-83</v>
          </cell>
          <cell r="H318">
            <v>314.66000000000003</v>
          </cell>
        </row>
        <row r="319">
          <cell r="C319" t="str">
            <v>IT-R32-73</v>
          </cell>
          <cell r="H319">
            <v>296.55</v>
          </cell>
        </row>
        <row r="320">
          <cell r="C320" t="str">
            <v>IT-R32-43</v>
          </cell>
          <cell r="H320">
            <v>314.66000000000003</v>
          </cell>
        </row>
        <row r="321">
          <cell r="C321" t="str">
            <v>IT-PPS-81</v>
          </cell>
          <cell r="H321">
            <v>3470.69</v>
          </cell>
        </row>
        <row r="322">
          <cell r="C322" t="str">
            <v>IT-M30-81</v>
          </cell>
          <cell r="H322">
            <v>3183.62</v>
          </cell>
        </row>
        <row r="323">
          <cell r="C323" t="str">
            <v>IT-M30-41</v>
          </cell>
          <cell r="H323">
            <v>3126.72</v>
          </cell>
        </row>
        <row r="324">
          <cell r="C324" t="str">
            <v>IT-ES76-81</v>
          </cell>
          <cell r="H324">
            <v>3837.07</v>
          </cell>
        </row>
        <row r="325">
          <cell r="C325" t="str">
            <v>IT-DF-40</v>
          </cell>
          <cell r="H325">
            <v>34290.519999999997</v>
          </cell>
        </row>
        <row r="326">
          <cell r="C326" t="str">
            <v>IT-AF-41</v>
          </cell>
          <cell r="H326">
            <v>4914.66</v>
          </cell>
        </row>
        <row r="327">
          <cell r="C327" t="str">
            <v>IT-59-83</v>
          </cell>
          <cell r="H327">
            <v>3450.86</v>
          </cell>
        </row>
        <row r="328">
          <cell r="C328" t="str">
            <v>IT-59-81</v>
          </cell>
          <cell r="H328">
            <v>12388.79</v>
          </cell>
        </row>
        <row r="329">
          <cell r="C329" t="str">
            <v>IT-59-53</v>
          </cell>
          <cell r="H329">
            <v>2370.69</v>
          </cell>
        </row>
        <row r="330">
          <cell r="C330" t="str">
            <v>IT-59-51</v>
          </cell>
          <cell r="H330">
            <v>8531.9</v>
          </cell>
        </row>
        <row r="331">
          <cell r="C331" t="str">
            <v>IT-59-43</v>
          </cell>
          <cell r="H331">
            <v>2304.31</v>
          </cell>
        </row>
        <row r="332">
          <cell r="C332" t="str">
            <v>IT-59-41</v>
          </cell>
          <cell r="H332">
            <v>8300</v>
          </cell>
        </row>
        <row r="333">
          <cell r="C333" t="str">
            <v>IT-56-71</v>
          </cell>
          <cell r="H333">
            <v>8300</v>
          </cell>
        </row>
        <row r="334">
          <cell r="C334" t="str">
            <v>IT-55-84</v>
          </cell>
          <cell r="H334">
            <v>677.59</v>
          </cell>
        </row>
        <row r="335">
          <cell r="C335" t="str">
            <v>IT-55-83</v>
          </cell>
          <cell r="H335">
            <v>2706.9</v>
          </cell>
        </row>
        <row r="336">
          <cell r="C336" t="str">
            <v>IT-55-81</v>
          </cell>
          <cell r="H336">
            <v>9808.6200000000008</v>
          </cell>
        </row>
        <row r="337">
          <cell r="C337" t="str">
            <v>IT-55-53</v>
          </cell>
          <cell r="H337">
            <v>2773.28</v>
          </cell>
        </row>
        <row r="338">
          <cell r="C338" t="str">
            <v>IT-55-51</v>
          </cell>
          <cell r="H338">
            <v>10013.790000000001</v>
          </cell>
        </row>
        <row r="339">
          <cell r="C339" t="str">
            <v>IT-55-43</v>
          </cell>
          <cell r="H339">
            <v>2337.0700000000002</v>
          </cell>
        </row>
        <row r="340">
          <cell r="C340" t="str">
            <v>IT-55-41</v>
          </cell>
          <cell r="H340">
            <v>8415.52</v>
          </cell>
        </row>
        <row r="341">
          <cell r="C341" t="str">
            <v>IT-50-81</v>
          </cell>
          <cell r="H341">
            <v>7680.17</v>
          </cell>
        </row>
        <row r="342">
          <cell r="C342" t="str">
            <v>SRG-11003</v>
          </cell>
          <cell r="H342">
            <v>730.17</v>
          </cell>
        </row>
        <row r="343">
          <cell r="C343" t="str">
            <v>SRG-10993</v>
          </cell>
          <cell r="H343">
            <v>730.17</v>
          </cell>
        </row>
        <row r="344">
          <cell r="C344" t="str">
            <v>SRG-10983</v>
          </cell>
          <cell r="H344">
            <v>730.17</v>
          </cell>
        </row>
        <row r="345">
          <cell r="C345" t="str">
            <v>SRG-10933</v>
          </cell>
          <cell r="H345">
            <v>730.17</v>
          </cell>
        </row>
        <row r="346">
          <cell r="C346" t="str">
            <v>SRG-10823</v>
          </cell>
          <cell r="H346">
            <v>730.17</v>
          </cell>
        </row>
        <row r="347">
          <cell r="C347" t="str">
            <v>SRG-10803</v>
          </cell>
          <cell r="H347">
            <v>741.38</v>
          </cell>
        </row>
        <row r="348">
          <cell r="C348" t="str">
            <v>SRG-10793</v>
          </cell>
          <cell r="H348">
            <v>730.17</v>
          </cell>
        </row>
        <row r="349">
          <cell r="C349" t="str">
            <v>SRG-10693</v>
          </cell>
          <cell r="H349">
            <v>730.17</v>
          </cell>
        </row>
        <row r="350">
          <cell r="C350" t="str">
            <v>SRG-10643</v>
          </cell>
          <cell r="H350">
            <v>730.17</v>
          </cell>
        </row>
        <row r="351">
          <cell r="C351" t="str">
            <v>SRG-10583</v>
          </cell>
          <cell r="H351">
            <v>730.17</v>
          </cell>
        </row>
        <row r="352">
          <cell r="C352" t="str">
            <v>SRG-10563</v>
          </cell>
          <cell r="H352">
            <v>730.17</v>
          </cell>
        </row>
        <row r="353">
          <cell r="C353" t="str">
            <v>SRG-10453</v>
          </cell>
          <cell r="H353">
            <v>730.17</v>
          </cell>
        </row>
        <row r="354">
          <cell r="C354" t="str">
            <v>SRG-10353</v>
          </cell>
          <cell r="H354">
            <v>730.17</v>
          </cell>
        </row>
        <row r="355">
          <cell r="C355" t="str">
            <v>SRG-10263</v>
          </cell>
          <cell r="H355">
            <v>730.17</v>
          </cell>
        </row>
        <row r="356">
          <cell r="C356" t="str">
            <v>SRG-10173</v>
          </cell>
          <cell r="H356">
            <v>730.17</v>
          </cell>
        </row>
        <row r="357">
          <cell r="C357" t="str">
            <v>SRG-10133</v>
          </cell>
          <cell r="H357">
            <v>730.17</v>
          </cell>
        </row>
        <row r="358">
          <cell r="C358" t="str">
            <v>SRG-10003</v>
          </cell>
          <cell r="H358">
            <v>730.17</v>
          </cell>
        </row>
        <row r="359">
          <cell r="C359" t="str">
            <v>S-32993</v>
          </cell>
          <cell r="H359">
            <v>512.92999999999995</v>
          </cell>
        </row>
        <row r="360">
          <cell r="C360" t="str">
            <v>S-32991</v>
          </cell>
          <cell r="H360">
            <v>2178.4499999999998</v>
          </cell>
        </row>
        <row r="361">
          <cell r="C361" t="str">
            <v>S-32773</v>
          </cell>
          <cell r="H361">
            <v>512.92999999999995</v>
          </cell>
        </row>
        <row r="362">
          <cell r="C362" t="str">
            <v>S-32771</v>
          </cell>
          <cell r="H362">
            <v>2178.4499999999998</v>
          </cell>
        </row>
        <row r="363">
          <cell r="C363" t="str">
            <v>S-32733</v>
          </cell>
          <cell r="H363">
            <v>512.92999999999995</v>
          </cell>
        </row>
        <row r="364">
          <cell r="C364" t="str">
            <v>S-32731</v>
          </cell>
          <cell r="H364">
            <v>2178.4499999999998</v>
          </cell>
        </row>
        <row r="365">
          <cell r="C365" t="str">
            <v>S-32683</v>
          </cell>
          <cell r="H365">
            <v>512.92999999999995</v>
          </cell>
        </row>
        <row r="366">
          <cell r="C366" t="str">
            <v>S-32681</v>
          </cell>
          <cell r="H366">
            <v>2178.4499999999998</v>
          </cell>
        </row>
        <row r="367">
          <cell r="C367" t="str">
            <v>S-32583</v>
          </cell>
          <cell r="H367">
            <v>512.92999999999995</v>
          </cell>
        </row>
        <row r="368">
          <cell r="C368" t="str">
            <v>S-32581</v>
          </cell>
          <cell r="H368">
            <v>2178.4499999999998</v>
          </cell>
        </row>
        <row r="369">
          <cell r="C369" t="str">
            <v>S-32563</v>
          </cell>
          <cell r="H369">
            <v>512.92999999999995</v>
          </cell>
        </row>
        <row r="370">
          <cell r="C370" t="str">
            <v>S-32561</v>
          </cell>
          <cell r="H370">
            <v>2178.4499999999998</v>
          </cell>
        </row>
        <row r="371">
          <cell r="C371" t="str">
            <v>S-32493</v>
          </cell>
          <cell r="H371">
            <v>512.92999999999995</v>
          </cell>
        </row>
        <row r="372">
          <cell r="C372" t="str">
            <v>S-32491</v>
          </cell>
          <cell r="H372">
            <v>2178.4499999999998</v>
          </cell>
        </row>
        <row r="373">
          <cell r="C373" t="str">
            <v>S-32473</v>
          </cell>
          <cell r="H373">
            <v>512.92999999999995</v>
          </cell>
        </row>
        <row r="374">
          <cell r="C374" t="str">
            <v>S-32471</v>
          </cell>
          <cell r="H374">
            <v>2178.4499999999998</v>
          </cell>
        </row>
        <row r="375">
          <cell r="C375" t="str">
            <v>S-32463</v>
          </cell>
          <cell r="H375">
            <v>512.92999999999995</v>
          </cell>
        </row>
        <row r="376">
          <cell r="C376" t="str">
            <v>S-32461</v>
          </cell>
          <cell r="H376">
            <v>2178.4499999999998</v>
          </cell>
        </row>
        <row r="377">
          <cell r="C377" t="str">
            <v>S-32353</v>
          </cell>
          <cell r="H377">
            <v>512.92999999999995</v>
          </cell>
        </row>
        <row r="378">
          <cell r="C378" t="str">
            <v>S-32351</v>
          </cell>
          <cell r="H378">
            <v>2178.4499999999998</v>
          </cell>
        </row>
        <row r="379">
          <cell r="C379" t="str">
            <v>S-32263</v>
          </cell>
          <cell r="H379">
            <v>512.92999999999995</v>
          </cell>
        </row>
        <row r="380">
          <cell r="C380" t="str">
            <v>S-32261</v>
          </cell>
          <cell r="H380">
            <v>2178.4499999999998</v>
          </cell>
        </row>
        <row r="381">
          <cell r="C381" t="str">
            <v>S-32133</v>
          </cell>
          <cell r="H381">
            <v>512.92999999999995</v>
          </cell>
        </row>
        <row r="382">
          <cell r="C382" t="str">
            <v>S-32131</v>
          </cell>
          <cell r="H382">
            <v>2178.4499999999998</v>
          </cell>
        </row>
        <row r="383">
          <cell r="C383" t="str">
            <v>S-32083</v>
          </cell>
          <cell r="H383">
            <v>268.97000000000003</v>
          </cell>
        </row>
        <row r="384">
          <cell r="C384" t="str">
            <v>S-32081</v>
          </cell>
          <cell r="H384">
            <v>1014.66</v>
          </cell>
        </row>
        <row r="385">
          <cell r="C385" t="str">
            <v>S-32074</v>
          </cell>
          <cell r="H385">
            <v>115.52</v>
          </cell>
        </row>
        <row r="386">
          <cell r="C386" t="str">
            <v>S-32073</v>
          </cell>
          <cell r="H386">
            <v>400</v>
          </cell>
        </row>
        <row r="387">
          <cell r="C387" t="str">
            <v>S-32053</v>
          </cell>
          <cell r="H387">
            <v>465.52</v>
          </cell>
        </row>
        <row r="388">
          <cell r="C388" t="str">
            <v>S-32051</v>
          </cell>
          <cell r="H388">
            <v>1944.83</v>
          </cell>
        </row>
        <row r="389">
          <cell r="C389" t="str">
            <v>S-32044</v>
          </cell>
          <cell r="H389">
            <v>141.38</v>
          </cell>
        </row>
        <row r="390">
          <cell r="C390" t="str">
            <v>S-32043</v>
          </cell>
          <cell r="H390">
            <v>500.86</v>
          </cell>
        </row>
        <row r="391">
          <cell r="C391" t="str">
            <v>S-32041</v>
          </cell>
          <cell r="H391">
            <v>2115.52</v>
          </cell>
        </row>
        <row r="392">
          <cell r="C392" t="str">
            <v>S-32004</v>
          </cell>
          <cell r="H392">
            <v>143.97</v>
          </cell>
        </row>
        <row r="393">
          <cell r="C393" t="str">
            <v>S-32003</v>
          </cell>
          <cell r="H393">
            <v>512.92999999999995</v>
          </cell>
        </row>
        <row r="394">
          <cell r="C394" t="str">
            <v>S-32002</v>
          </cell>
          <cell r="H394">
            <v>2125</v>
          </cell>
        </row>
        <row r="395">
          <cell r="C395" t="str">
            <v>S-32001</v>
          </cell>
          <cell r="H395">
            <v>2178.4499999999998</v>
          </cell>
        </row>
        <row r="396">
          <cell r="C396" t="str">
            <v>SRG-10644</v>
          </cell>
          <cell r="H396">
            <v>205.17</v>
          </cell>
        </row>
        <row r="397">
          <cell r="C397" t="str">
            <v>SPE-111521</v>
          </cell>
          <cell r="H397">
            <v>3445.69</v>
          </cell>
        </row>
        <row r="398">
          <cell r="C398" t="str">
            <v>SPE-111520</v>
          </cell>
          <cell r="H398">
            <v>36963.79</v>
          </cell>
        </row>
        <row r="399">
          <cell r="C399" t="str">
            <v>SPE-106831</v>
          </cell>
          <cell r="H399">
            <v>3722.41</v>
          </cell>
        </row>
        <row r="400">
          <cell r="C400" t="str">
            <v>S-32000</v>
          </cell>
          <cell r="H400">
            <v>21791.38</v>
          </cell>
        </row>
        <row r="401">
          <cell r="C401" t="str">
            <v>RP-13013</v>
          </cell>
          <cell r="H401">
            <v>4475</v>
          </cell>
        </row>
        <row r="402">
          <cell r="C402" t="str">
            <v>RP-13001</v>
          </cell>
          <cell r="H402">
            <v>16799.14</v>
          </cell>
        </row>
        <row r="403">
          <cell r="C403" t="str">
            <v>R-32584</v>
          </cell>
          <cell r="H403">
            <v>111.21</v>
          </cell>
        </row>
        <row r="404">
          <cell r="C404" t="str">
            <v>R-32354</v>
          </cell>
          <cell r="H404">
            <v>111.21</v>
          </cell>
        </row>
        <row r="405">
          <cell r="C405" t="str">
            <v>PR-79406</v>
          </cell>
          <cell r="H405">
            <v>6.9</v>
          </cell>
        </row>
        <row r="406">
          <cell r="C406" t="str">
            <v>LE-16591</v>
          </cell>
          <cell r="H406">
            <v>2282.7600000000002</v>
          </cell>
        </row>
        <row r="407">
          <cell r="C407" t="str">
            <v>LE-16581</v>
          </cell>
          <cell r="H407">
            <v>2375</v>
          </cell>
        </row>
        <row r="408">
          <cell r="C408" t="str">
            <v>LE-16441</v>
          </cell>
          <cell r="H408">
            <v>3030.17</v>
          </cell>
        </row>
        <row r="409">
          <cell r="C409" t="str">
            <v>LE-16411</v>
          </cell>
          <cell r="H409">
            <v>2324.14</v>
          </cell>
        </row>
        <row r="410">
          <cell r="C410" t="str">
            <v>LE-16401</v>
          </cell>
          <cell r="H410">
            <v>2676.72</v>
          </cell>
        </row>
        <row r="411">
          <cell r="C411" t="str">
            <v>LE-16391</v>
          </cell>
          <cell r="H411">
            <v>2345.69</v>
          </cell>
        </row>
        <row r="412">
          <cell r="C412" t="str">
            <v>LE-16370</v>
          </cell>
          <cell r="H412">
            <v>22984.48</v>
          </cell>
        </row>
        <row r="413">
          <cell r="C413" t="str">
            <v>LE-16180</v>
          </cell>
          <cell r="H413">
            <v>22020.69</v>
          </cell>
        </row>
        <row r="414">
          <cell r="C414" t="str">
            <v>LE-16170</v>
          </cell>
          <cell r="H414">
            <v>22020.69</v>
          </cell>
        </row>
        <row r="415">
          <cell r="C415" t="str">
            <v>LE-16160</v>
          </cell>
          <cell r="H415">
            <v>22020.69</v>
          </cell>
        </row>
        <row r="416">
          <cell r="C416" t="str">
            <v>LE-16150</v>
          </cell>
          <cell r="H416">
            <v>22020.69</v>
          </cell>
        </row>
        <row r="417">
          <cell r="C417" t="str">
            <v>IT-S32-81</v>
          </cell>
          <cell r="H417">
            <v>2200.86</v>
          </cell>
        </row>
        <row r="418">
          <cell r="C418" t="str">
            <v>IT-S32-51</v>
          </cell>
          <cell r="H418">
            <v>2178.4499999999998</v>
          </cell>
        </row>
        <row r="419">
          <cell r="C419" t="str">
            <v>IT-S32-41</v>
          </cell>
          <cell r="H419">
            <v>2178.4499999999998</v>
          </cell>
        </row>
        <row r="420">
          <cell r="C420" t="str">
            <v>LE-16831</v>
          </cell>
          <cell r="H420">
            <v>4511.21</v>
          </cell>
        </row>
        <row r="421">
          <cell r="C421" t="str">
            <v>LE-16811</v>
          </cell>
          <cell r="H421">
            <v>4906.8999999999996</v>
          </cell>
        </row>
        <row r="422">
          <cell r="C422" t="str">
            <v>SPE-105831</v>
          </cell>
          <cell r="H422">
            <v>3128.45</v>
          </cell>
        </row>
        <row r="423">
          <cell r="C423" t="str">
            <v>STI-1770031</v>
          </cell>
          <cell r="H423">
            <v>4416.38</v>
          </cell>
        </row>
        <row r="424">
          <cell r="C424" t="str">
            <v>SPE-110393</v>
          </cell>
          <cell r="H424">
            <v>624.14</v>
          </cell>
        </row>
        <row r="425">
          <cell r="C425" t="str">
            <v>SPE-110391</v>
          </cell>
          <cell r="H425">
            <v>3073.28</v>
          </cell>
        </row>
        <row r="426">
          <cell r="C426" t="str">
            <v>SPE-110390</v>
          </cell>
          <cell r="H426">
            <v>26412.07</v>
          </cell>
        </row>
        <row r="427">
          <cell r="C427" t="str">
            <v>STI-1770021</v>
          </cell>
          <cell r="H427">
            <v>4637.07</v>
          </cell>
        </row>
        <row r="428">
          <cell r="C428" t="str">
            <v>STI-1770011</v>
          </cell>
          <cell r="H428">
            <v>4637.07</v>
          </cell>
        </row>
        <row r="429">
          <cell r="C429" t="str">
            <v>STI-1760021</v>
          </cell>
          <cell r="H429">
            <v>4637.07</v>
          </cell>
        </row>
        <row r="430">
          <cell r="C430" t="str">
            <v>STI-1760011</v>
          </cell>
          <cell r="H430">
            <v>4637.07</v>
          </cell>
        </row>
        <row r="431">
          <cell r="C431" t="str">
            <v>STI-1710031</v>
          </cell>
          <cell r="H431">
            <v>4637.07</v>
          </cell>
        </row>
        <row r="432">
          <cell r="C432" t="str">
            <v>STI-1706011</v>
          </cell>
          <cell r="H432">
            <v>4637.07</v>
          </cell>
        </row>
        <row r="433">
          <cell r="C433" t="str">
            <v>STI-17003</v>
          </cell>
          <cell r="H433">
            <v>1013.79</v>
          </cell>
        </row>
        <row r="434">
          <cell r="C434" t="str">
            <v>STI-17001</v>
          </cell>
          <cell r="H434">
            <v>4166.38</v>
          </cell>
        </row>
        <row r="435">
          <cell r="C435" t="str">
            <v>STI-16183</v>
          </cell>
          <cell r="H435">
            <v>1013.79</v>
          </cell>
        </row>
        <row r="436">
          <cell r="C436" t="str">
            <v>SRG-11004</v>
          </cell>
          <cell r="H436">
            <v>205.17</v>
          </cell>
        </row>
        <row r="437">
          <cell r="C437" t="str">
            <v>SRG-11001</v>
          </cell>
          <cell r="H437">
            <v>3077.59</v>
          </cell>
        </row>
        <row r="438">
          <cell r="C438" t="str">
            <v>SRG-10996</v>
          </cell>
          <cell r="H438">
            <v>81.03</v>
          </cell>
        </row>
        <row r="439">
          <cell r="C439" t="str">
            <v>SRG-10995</v>
          </cell>
          <cell r="H439">
            <v>121.55</v>
          </cell>
        </row>
        <row r="440">
          <cell r="C440" t="str">
            <v>SRG-10994</v>
          </cell>
          <cell r="H440">
            <v>205.17</v>
          </cell>
        </row>
        <row r="441">
          <cell r="C441" t="str">
            <v>SRG-10991</v>
          </cell>
          <cell r="H441">
            <v>3192.24</v>
          </cell>
        </row>
        <row r="442">
          <cell r="C442" t="str">
            <v>SRG-10984</v>
          </cell>
          <cell r="H442">
            <v>205.17</v>
          </cell>
        </row>
        <row r="443">
          <cell r="C443" t="str">
            <v>SRG-10934</v>
          </cell>
          <cell r="H443">
            <v>205.17</v>
          </cell>
        </row>
        <row r="444">
          <cell r="C444" t="str">
            <v>SRG-10931</v>
          </cell>
          <cell r="H444">
            <v>3077.59</v>
          </cell>
        </row>
        <row r="445">
          <cell r="C445" t="str">
            <v>SRG-10824</v>
          </cell>
          <cell r="H445">
            <v>205.17</v>
          </cell>
        </row>
        <row r="446">
          <cell r="C446" t="str">
            <v>SRG-10804</v>
          </cell>
          <cell r="H446">
            <v>207.76</v>
          </cell>
        </row>
        <row r="447">
          <cell r="C447" t="str">
            <v>SRG-10801</v>
          </cell>
          <cell r="H447">
            <v>3125</v>
          </cell>
        </row>
        <row r="448">
          <cell r="C448" t="str">
            <v>SRG-10794</v>
          </cell>
          <cell r="H448">
            <v>205.17</v>
          </cell>
        </row>
        <row r="449">
          <cell r="C449" t="str">
            <v>SRG-10791</v>
          </cell>
          <cell r="H449">
            <v>3077.59</v>
          </cell>
        </row>
        <row r="450">
          <cell r="C450" t="str">
            <v>SRG-10694</v>
          </cell>
          <cell r="H450">
            <v>205.17</v>
          </cell>
        </row>
        <row r="451">
          <cell r="C451" t="str">
            <v>SRG-10641</v>
          </cell>
          <cell r="H451">
            <v>3077.59</v>
          </cell>
        </row>
        <row r="452">
          <cell r="C452" t="str">
            <v>SRG-10584</v>
          </cell>
          <cell r="H452">
            <v>205.17</v>
          </cell>
        </row>
        <row r="453">
          <cell r="C453" t="str">
            <v>SRG-10581</v>
          </cell>
          <cell r="H453">
            <v>3077.59</v>
          </cell>
        </row>
        <row r="454">
          <cell r="C454" t="str">
            <v>SRG-10564</v>
          </cell>
          <cell r="H454">
            <v>205.17</v>
          </cell>
        </row>
        <row r="455">
          <cell r="C455" t="str">
            <v>SRG-10454</v>
          </cell>
          <cell r="H455">
            <v>205.17</v>
          </cell>
        </row>
        <row r="456">
          <cell r="C456" t="str">
            <v>SRG-10354</v>
          </cell>
          <cell r="H456">
            <v>205.17</v>
          </cell>
        </row>
        <row r="457">
          <cell r="C457" t="str">
            <v>SRG-10351</v>
          </cell>
          <cell r="H457">
            <v>3077.59</v>
          </cell>
        </row>
        <row r="458">
          <cell r="C458" t="str">
            <v>SRG-10264</v>
          </cell>
          <cell r="H458">
            <v>205.17</v>
          </cell>
        </row>
        <row r="459">
          <cell r="C459" t="str">
            <v>SRG-10261</v>
          </cell>
          <cell r="H459">
            <v>3077.59</v>
          </cell>
        </row>
        <row r="460">
          <cell r="C460" t="str">
            <v>SRG-10174</v>
          </cell>
          <cell r="H460">
            <v>205.17</v>
          </cell>
        </row>
        <row r="461">
          <cell r="C461" t="str">
            <v>SRG-10171</v>
          </cell>
          <cell r="H461">
            <v>3077.59</v>
          </cell>
        </row>
        <row r="462">
          <cell r="C462" t="str">
            <v>SRG-10134</v>
          </cell>
          <cell r="H462">
            <v>205.17</v>
          </cell>
        </row>
        <row r="463">
          <cell r="C463" t="str">
            <v>SRG-10074</v>
          </cell>
          <cell r="H463">
            <v>205.17</v>
          </cell>
        </row>
        <row r="464">
          <cell r="C464" t="str">
            <v>SRG-10006</v>
          </cell>
          <cell r="H464">
            <v>81.03</v>
          </cell>
        </row>
        <row r="465">
          <cell r="C465" t="str">
            <v>SRG-10005</v>
          </cell>
          <cell r="H465">
            <v>121.55</v>
          </cell>
        </row>
        <row r="466">
          <cell r="C466" t="str">
            <v>SRG-10004</v>
          </cell>
          <cell r="H466">
            <v>205.17</v>
          </cell>
        </row>
        <row r="467">
          <cell r="C467" t="str">
            <v>SRG-10001</v>
          </cell>
          <cell r="H467">
            <v>3192.24</v>
          </cell>
        </row>
        <row r="468">
          <cell r="C468" t="str">
            <v>SPE-112801</v>
          </cell>
          <cell r="H468">
            <v>2155.17</v>
          </cell>
        </row>
        <row r="469">
          <cell r="C469" t="str">
            <v>SPE-112274</v>
          </cell>
          <cell r="H469">
            <v>168.97</v>
          </cell>
        </row>
        <row r="470">
          <cell r="C470" t="str">
            <v>SPE-112273</v>
          </cell>
          <cell r="H470">
            <v>623.28</v>
          </cell>
        </row>
        <row r="471">
          <cell r="C471" t="str">
            <v>SPE-112271</v>
          </cell>
          <cell r="H471">
            <v>2807.76</v>
          </cell>
        </row>
        <row r="472">
          <cell r="C472" t="str">
            <v>SPE-111481</v>
          </cell>
          <cell r="H472">
            <v>3159.48</v>
          </cell>
        </row>
        <row r="473">
          <cell r="C473" t="str">
            <v>SPE-110904</v>
          </cell>
          <cell r="H473">
            <v>249.14</v>
          </cell>
        </row>
        <row r="474">
          <cell r="C474" t="str">
            <v>SPE-110903</v>
          </cell>
          <cell r="H474">
            <v>885.34</v>
          </cell>
        </row>
        <row r="475">
          <cell r="C475" t="str">
            <v>SPE-110413</v>
          </cell>
          <cell r="H475">
            <v>972.41</v>
          </cell>
        </row>
        <row r="476">
          <cell r="C476" t="str">
            <v>SPE-109961</v>
          </cell>
          <cell r="H476">
            <v>5349.14</v>
          </cell>
        </row>
        <row r="477">
          <cell r="C477" t="str">
            <v>SPE-109301</v>
          </cell>
          <cell r="H477">
            <v>1762.93</v>
          </cell>
        </row>
        <row r="478">
          <cell r="C478" t="str">
            <v>SPE-109291</v>
          </cell>
          <cell r="H478">
            <v>1543.1</v>
          </cell>
        </row>
        <row r="479">
          <cell r="C479" t="str">
            <v>SPE-109223</v>
          </cell>
          <cell r="H479">
            <v>669.83</v>
          </cell>
        </row>
        <row r="480">
          <cell r="C480" t="str">
            <v>SPE-109221</v>
          </cell>
          <cell r="H480">
            <v>3168.97</v>
          </cell>
        </row>
        <row r="481">
          <cell r="C481" t="str">
            <v>SPE-1052413</v>
          </cell>
          <cell r="H481">
            <v>631.03</v>
          </cell>
        </row>
        <row r="482">
          <cell r="C482" t="str">
            <v>SPE-1052411</v>
          </cell>
          <cell r="H482">
            <v>2856.9</v>
          </cell>
        </row>
        <row r="483">
          <cell r="C483" t="str">
            <v>SERV-PSP</v>
          </cell>
          <cell r="H483">
            <v>936.21</v>
          </cell>
        </row>
        <row r="484">
          <cell r="C484" t="str">
            <v>S-32730</v>
          </cell>
          <cell r="H484">
            <v>22012.07</v>
          </cell>
        </row>
        <row r="485">
          <cell r="C485" t="str">
            <v>R-32774</v>
          </cell>
          <cell r="H485">
            <v>111.21</v>
          </cell>
        </row>
        <row r="486">
          <cell r="C486" t="str">
            <v>R-32773</v>
          </cell>
          <cell r="H486">
            <v>394.83</v>
          </cell>
        </row>
        <row r="487">
          <cell r="C487" t="str">
            <v>R-32771</v>
          </cell>
          <cell r="H487">
            <v>1563.79</v>
          </cell>
        </row>
        <row r="488">
          <cell r="C488" t="str">
            <v>R-32734</v>
          </cell>
          <cell r="H488">
            <v>111.21</v>
          </cell>
        </row>
        <row r="489">
          <cell r="C489" t="str">
            <v>R-32733</v>
          </cell>
          <cell r="H489">
            <v>394.83</v>
          </cell>
        </row>
        <row r="490">
          <cell r="C490" t="str">
            <v>R-32731</v>
          </cell>
          <cell r="H490">
            <v>1563.79</v>
          </cell>
        </row>
        <row r="491">
          <cell r="C491" t="str">
            <v>R-32684</v>
          </cell>
          <cell r="H491">
            <v>111.21</v>
          </cell>
        </row>
        <row r="492">
          <cell r="C492" t="str">
            <v>R-32683</v>
          </cell>
          <cell r="H492">
            <v>394.83</v>
          </cell>
        </row>
        <row r="493">
          <cell r="C493" t="str">
            <v>R-32681</v>
          </cell>
          <cell r="H493">
            <v>1563.79</v>
          </cell>
        </row>
        <row r="494">
          <cell r="C494" t="str">
            <v>R-32583</v>
          </cell>
          <cell r="H494">
            <v>394.83</v>
          </cell>
        </row>
        <row r="495">
          <cell r="C495" t="str">
            <v>R-32581</v>
          </cell>
          <cell r="H495">
            <v>1563.79</v>
          </cell>
        </row>
        <row r="496">
          <cell r="C496" t="str">
            <v>R-32564</v>
          </cell>
          <cell r="H496">
            <v>111.21</v>
          </cell>
        </row>
        <row r="497">
          <cell r="C497" t="str">
            <v>R-32563</v>
          </cell>
          <cell r="H497">
            <v>394.83</v>
          </cell>
        </row>
        <row r="498">
          <cell r="C498" t="str">
            <v>R-32561</v>
          </cell>
          <cell r="H498">
            <v>1563.79</v>
          </cell>
        </row>
        <row r="499">
          <cell r="C499" t="str">
            <v>R-32494</v>
          </cell>
          <cell r="H499">
            <v>111.21</v>
          </cell>
        </row>
        <row r="500">
          <cell r="C500" t="str">
            <v>R-32493</v>
          </cell>
          <cell r="H500">
            <v>394.83</v>
          </cell>
        </row>
        <row r="501">
          <cell r="C501" t="str">
            <v>R-32491</v>
          </cell>
          <cell r="H501">
            <v>1563.79</v>
          </cell>
        </row>
        <row r="502">
          <cell r="C502" t="str">
            <v>R-32490</v>
          </cell>
          <cell r="H502">
            <v>16094.83</v>
          </cell>
        </row>
        <row r="503">
          <cell r="C503" t="str">
            <v>R-32474</v>
          </cell>
          <cell r="H503">
            <v>111.21</v>
          </cell>
        </row>
        <row r="504">
          <cell r="C504" t="str">
            <v>R-32473</v>
          </cell>
          <cell r="H504">
            <v>394.83</v>
          </cell>
        </row>
        <row r="505">
          <cell r="C505" t="str">
            <v>R-32471</v>
          </cell>
          <cell r="H505">
            <v>1563.79</v>
          </cell>
        </row>
        <row r="506">
          <cell r="C506" t="str">
            <v>R-32454</v>
          </cell>
          <cell r="H506">
            <v>111.21</v>
          </cell>
        </row>
        <row r="507">
          <cell r="C507" t="str">
            <v>R-32453</v>
          </cell>
          <cell r="H507">
            <v>394.83</v>
          </cell>
        </row>
        <row r="508">
          <cell r="C508" t="str">
            <v>R-32451</v>
          </cell>
          <cell r="H508">
            <v>1563.79</v>
          </cell>
        </row>
        <row r="509">
          <cell r="C509" t="str">
            <v>R-32450</v>
          </cell>
          <cell r="H509">
            <v>16094.83</v>
          </cell>
        </row>
        <row r="510">
          <cell r="C510" t="str">
            <v>R-32353</v>
          </cell>
          <cell r="H510">
            <v>394.83</v>
          </cell>
        </row>
        <row r="511">
          <cell r="C511" t="str">
            <v>R-32351</v>
          </cell>
          <cell r="H511">
            <v>1563.79</v>
          </cell>
        </row>
        <row r="512">
          <cell r="C512" t="str">
            <v>R-32264</v>
          </cell>
          <cell r="H512">
            <v>111.21</v>
          </cell>
        </row>
        <row r="513">
          <cell r="C513" t="str">
            <v>R-32263</v>
          </cell>
          <cell r="H513">
            <v>394.83</v>
          </cell>
        </row>
        <row r="514">
          <cell r="C514" t="str">
            <v>R-32261</v>
          </cell>
          <cell r="H514">
            <v>1563.79</v>
          </cell>
        </row>
        <row r="515">
          <cell r="C515" t="str">
            <v>R-32144</v>
          </cell>
          <cell r="H515">
            <v>111.21</v>
          </cell>
        </row>
        <row r="516">
          <cell r="C516" t="str">
            <v>R-32143</v>
          </cell>
          <cell r="H516">
            <v>394.83</v>
          </cell>
        </row>
        <row r="517">
          <cell r="C517" t="str">
            <v>R-32141</v>
          </cell>
          <cell r="H517">
            <v>1563.79</v>
          </cell>
        </row>
        <row r="518">
          <cell r="C518" t="str">
            <v>R-32140</v>
          </cell>
          <cell r="H518">
            <v>16460.34</v>
          </cell>
        </row>
        <row r="519">
          <cell r="C519" t="str">
            <v>R-32040</v>
          </cell>
          <cell r="H519">
            <v>16616.38</v>
          </cell>
        </row>
        <row r="520">
          <cell r="C520" t="str">
            <v>R-32000</v>
          </cell>
          <cell r="H520">
            <v>16460.34</v>
          </cell>
        </row>
        <row r="521">
          <cell r="C521" t="str">
            <v>PM-42923</v>
          </cell>
          <cell r="H521">
            <v>792.24</v>
          </cell>
        </row>
        <row r="522">
          <cell r="C522" t="str">
            <v>PM-40933</v>
          </cell>
          <cell r="H522">
            <v>812.93</v>
          </cell>
        </row>
        <row r="523">
          <cell r="C523" t="str">
            <v>LE-16381</v>
          </cell>
          <cell r="H523">
            <v>1640.52</v>
          </cell>
        </row>
        <row r="524">
          <cell r="C524" t="str">
            <v>IT-R32-84</v>
          </cell>
          <cell r="H524">
            <v>78.45</v>
          </cell>
        </row>
        <row r="525">
          <cell r="C525" t="str">
            <v>IT-R32-81</v>
          </cell>
          <cell r="H525">
            <v>1439.66</v>
          </cell>
        </row>
        <row r="526">
          <cell r="C526" t="str">
            <v>IT-R32-71</v>
          </cell>
          <cell r="H526">
            <v>1406.9</v>
          </cell>
        </row>
        <row r="527">
          <cell r="C527" t="str">
            <v>IT-R32-51</v>
          </cell>
          <cell r="H527">
            <v>1439.66</v>
          </cell>
        </row>
        <row r="528">
          <cell r="C528" t="str">
            <v>IT-R32-44</v>
          </cell>
          <cell r="H528">
            <v>78.45</v>
          </cell>
        </row>
        <row r="529">
          <cell r="C529" t="str">
            <v>IT-R32-41</v>
          </cell>
          <cell r="H529">
            <v>1439.66</v>
          </cell>
        </row>
        <row r="530">
          <cell r="C530" t="str">
            <v>IT-DF-41</v>
          </cell>
          <cell r="H530">
            <v>3235.34</v>
          </cell>
        </row>
        <row r="531">
          <cell r="C531" t="str">
            <v>IT-AF-40</v>
          </cell>
          <cell r="H531">
            <v>49146.55</v>
          </cell>
        </row>
        <row r="532">
          <cell r="C532" t="str">
            <v>IT-55-71</v>
          </cell>
          <cell r="H532">
            <v>10128.450000000001</v>
          </cell>
        </row>
        <row r="533">
          <cell r="C533" t="str">
            <v>RA-35013</v>
          </cell>
          <cell r="H533">
            <v>2637.07</v>
          </cell>
        </row>
        <row r="534">
          <cell r="C534" t="str">
            <v>RA-35001</v>
          </cell>
          <cell r="H534">
            <v>29044.83</v>
          </cell>
        </row>
        <row r="535">
          <cell r="C535" t="str">
            <v>MPC-16184</v>
          </cell>
          <cell r="H535">
            <v>202.59</v>
          </cell>
        </row>
        <row r="536">
          <cell r="C536" t="str">
            <v>IT-50-43</v>
          </cell>
          <cell r="H536">
            <v>1596.55</v>
          </cell>
        </row>
        <row r="537">
          <cell r="C537" t="str">
            <v>S-32990</v>
          </cell>
          <cell r="H537">
            <v>21782.76</v>
          </cell>
        </row>
        <row r="538">
          <cell r="C538" t="str">
            <v>S-32350</v>
          </cell>
          <cell r="H538">
            <v>21782.76</v>
          </cell>
        </row>
        <row r="539">
          <cell r="C539" t="str">
            <v>RA-28993</v>
          </cell>
          <cell r="H539">
            <v>1201.72</v>
          </cell>
        </row>
        <row r="540">
          <cell r="C540" t="str">
            <v>RA-28753</v>
          </cell>
          <cell r="H540">
            <v>950</v>
          </cell>
        </row>
        <row r="541">
          <cell r="C541" t="str">
            <v>RA-28683</v>
          </cell>
          <cell r="H541">
            <v>1082.76</v>
          </cell>
        </row>
        <row r="542">
          <cell r="C542" t="str">
            <v>RA-28443</v>
          </cell>
          <cell r="H542">
            <v>1307.76</v>
          </cell>
        </row>
        <row r="543">
          <cell r="C543" t="str">
            <v>RA-28173</v>
          </cell>
          <cell r="H543">
            <v>1768.1</v>
          </cell>
        </row>
        <row r="544">
          <cell r="C544" t="str">
            <v>LE-16651</v>
          </cell>
          <cell r="H544">
            <v>3037.93</v>
          </cell>
        </row>
        <row r="545">
          <cell r="C545" t="str">
            <v>LE-16641</v>
          </cell>
          <cell r="H545">
            <v>3037.93</v>
          </cell>
        </row>
        <row r="546">
          <cell r="C546" t="str">
            <v>IT-S32-80</v>
          </cell>
          <cell r="H546">
            <v>21782.76</v>
          </cell>
        </row>
        <row r="547">
          <cell r="C547" t="str">
            <v>IT-S32-50</v>
          </cell>
          <cell r="H547">
            <v>21782.76</v>
          </cell>
        </row>
        <row r="548">
          <cell r="C548" t="str">
            <v>IT-50-41</v>
          </cell>
          <cell r="H548">
            <v>6318.1</v>
          </cell>
        </row>
        <row r="549">
          <cell r="C549" t="str">
            <v>IT-431-53</v>
          </cell>
          <cell r="H549">
            <v>2336.21</v>
          </cell>
        </row>
        <row r="550">
          <cell r="C550" t="str">
            <v>IT-430-81</v>
          </cell>
          <cell r="H550">
            <v>8268.1</v>
          </cell>
        </row>
        <row r="551">
          <cell r="C551" t="str">
            <v>IT-401-43</v>
          </cell>
          <cell r="H551">
            <v>1773.28</v>
          </cell>
        </row>
        <row r="552">
          <cell r="C552" t="str">
            <v>IT-35-83</v>
          </cell>
          <cell r="H552">
            <v>975</v>
          </cell>
        </row>
        <row r="553">
          <cell r="C553" t="str">
            <v>IT-35-81</v>
          </cell>
          <cell r="H553">
            <v>3873.28</v>
          </cell>
        </row>
        <row r="554">
          <cell r="C554" t="str">
            <v>IT-35-51</v>
          </cell>
          <cell r="H554">
            <v>3873.28</v>
          </cell>
        </row>
        <row r="555">
          <cell r="C555" t="str">
            <v>IT-35-41</v>
          </cell>
          <cell r="H555">
            <v>3873.28</v>
          </cell>
        </row>
        <row r="556">
          <cell r="C556" t="str">
            <v>IT-34-43</v>
          </cell>
          <cell r="H556">
            <v>231.9</v>
          </cell>
        </row>
        <row r="557">
          <cell r="C557" t="str">
            <v>IT-33-84</v>
          </cell>
          <cell r="H557">
            <v>102.59</v>
          </cell>
        </row>
        <row r="558">
          <cell r="C558" t="str">
            <v>IT-33-81</v>
          </cell>
          <cell r="H558">
            <v>1551.72</v>
          </cell>
        </row>
        <row r="559">
          <cell r="C559" t="str">
            <v>IT-33-44</v>
          </cell>
          <cell r="H559">
            <v>102.59</v>
          </cell>
        </row>
        <row r="560">
          <cell r="C560" t="str">
            <v>IT-33-43</v>
          </cell>
          <cell r="H560">
            <v>366.38</v>
          </cell>
        </row>
        <row r="561">
          <cell r="C561" t="str">
            <v>IT-33-41</v>
          </cell>
          <cell r="H561">
            <v>1551.72</v>
          </cell>
        </row>
        <row r="562">
          <cell r="C562" t="str">
            <v>IT-30-81</v>
          </cell>
          <cell r="H562">
            <v>3037.93</v>
          </cell>
        </row>
        <row r="563">
          <cell r="C563" t="str">
            <v>IT-30-71</v>
          </cell>
          <cell r="H563">
            <v>3037.93</v>
          </cell>
        </row>
        <row r="564">
          <cell r="C564" t="str">
            <v>IT-30-51</v>
          </cell>
          <cell r="H564">
            <v>3064.66</v>
          </cell>
        </row>
        <row r="565">
          <cell r="C565" t="str">
            <v>IT-30-41</v>
          </cell>
          <cell r="H565">
            <v>3142.24</v>
          </cell>
        </row>
        <row r="566">
          <cell r="C566" t="str">
            <v>IT-25-84</v>
          </cell>
          <cell r="H566">
            <v>548.28</v>
          </cell>
        </row>
        <row r="567">
          <cell r="C567" t="str">
            <v>IT-25-83</v>
          </cell>
          <cell r="H567">
            <v>1990.52</v>
          </cell>
        </row>
        <row r="568">
          <cell r="C568" t="str">
            <v>IT-25-81</v>
          </cell>
          <cell r="H568">
            <v>5137.93</v>
          </cell>
        </row>
        <row r="569">
          <cell r="C569" t="str">
            <v>IT-22-80</v>
          </cell>
          <cell r="H569">
            <v>31593.97</v>
          </cell>
        </row>
        <row r="570">
          <cell r="C570" t="str">
            <v>IT-22-50</v>
          </cell>
          <cell r="H570">
            <v>29990.52</v>
          </cell>
        </row>
        <row r="571">
          <cell r="C571" t="str">
            <v>IT-21-84</v>
          </cell>
          <cell r="H571">
            <v>256.89999999999998</v>
          </cell>
        </row>
        <row r="572">
          <cell r="C572" t="str">
            <v>IT-21-83</v>
          </cell>
          <cell r="H572">
            <v>917.24</v>
          </cell>
        </row>
        <row r="573">
          <cell r="C573" t="str">
            <v>IT-21-81</v>
          </cell>
          <cell r="H573">
            <v>3890.52</v>
          </cell>
        </row>
        <row r="574">
          <cell r="C574" t="str">
            <v>IT-21-74</v>
          </cell>
          <cell r="H574">
            <v>256.89999999999998</v>
          </cell>
        </row>
        <row r="575">
          <cell r="C575" t="str">
            <v>IT-21-51</v>
          </cell>
          <cell r="H575">
            <v>3888.79</v>
          </cell>
        </row>
        <row r="576">
          <cell r="C576" t="str">
            <v>IT-21-44</v>
          </cell>
          <cell r="H576">
            <v>259.48</v>
          </cell>
        </row>
        <row r="577">
          <cell r="C577" t="str">
            <v>IT-21-43</v>
          </cell>
          <cell r="H577">
            <v>925.86</v>
          </cell>
        </row>
        <row r="578">
          <cell r="C578" t="str">
            <v>IT-21-41</v>
          </cell>
          <cell r="H578">
            <v>3930.17</v>
          </cell>
        </row>
        <row r="579">
          <cell r="C579" t="str">
            <v>IT-21-40</v>
          </cell>
          <cell r="H579">
            <v>39307.760000000002</v>
          </cell>
        </row>
        <row r="580">
          <cell r="C580" t="str">
            <v>IT-20-81</v>
          </cell>
          <cell r="H580">
            <v>3259.48</v>
          </cell>
        </row>
        <row r="581">
          <cell r="C581" t="str">
            <v>IT-17-81</v>
          </cell>
          <cell r="H581">
            <v>4232.76</v>
          </cell>
        </row>
        <row r="582">
          <cell r="C582" t="str">
            <v>IT-17-51</v>
          </cell>
          <cell r="H582">
            <v>4082.76</v>
          </cell>
        </row>
        <row r="583">
          <cell r="C583" t="str">
            <v>IT-17-41</v>
          </cell>
          <cell r="H583">
            <v>4232.76</v>
          </cell>
        </row>
        <row r="584">
          <cell r="C584" t="str">
            <v>IT-16-83</v>
          </cell>
          <cell r="H584">
            <v>1212.07</v>
          </cell>
        </row>
        <row r="585">
          <cell r="C585" t="str">
            <v>IT-16-81</v>
          </cell>
          <cell r="H585">
            <v>4716.38</v>
          </cell>
        </row>
        <row r="586">
          <cell r="C586" t="str">
            <v>IT-16-80</v>
          </cell>
          <cell r="H586">
            <v>47155.17</v>
          </cell>
        </row>
        <row r="587">
          <cell r="C587" t="str">
            <v>IT-16-51</v>
          </cell>
          <cell r="H587">
            <v>4187.93</v>
          </cell>
        </row>
        <row r="588">
          <cell r="C588" t="str">
            <v>IT-16-41</v>
          </cell>
          <cell r="H588">
            <v>4187.93</v>
          </cell>
        </row>
        <row r="589">
          <cell r="C589" t="str">
            <v>IT-16-40</v>
          </cell>
          <cell r="H589">
            <v>41733.620000000003</v>
          </cell>
        </row>
        <row r="590">
          <cell r="C590" t="str">
            <v>IT-13-84</v>
          </cell>
          <cell r="H590">
            <v>272.41000000000003</v>
          </cell>
        </row>
        <row r="591">
          <cell r="C591" t="str">
            <v>IGU-S17006</v>
          </cell>
          <cell r="H591">
            <v>111.21</v>
          </cell>
        </row>
        <row r="592">
          <cell r="C592" t="str">
            <v>IGU-15006</v>
          </cell>
          <cell r="H592">
            <v>113.79</v>
          </cell>
        </row>
        <row r="593">
          <cell r="C593" t="str">
            <v>IGU-15005</v>
          </cell>
          <cell r="H593">
            <v>168.1</v>
          </cell>
        </row>
        <row r="594">
          <cell r="C594" t="str">
            <v>IGU-15004</v>
          </cell>
          <cell r="H594">
            <v>325</v>
          </cell>
        </row>
        <row r="595">
          <cell r="C595" t="str">
            <v>IGU-15003</v>
          </cell>
          <cell r="H595">
            <v>1050</v>
          </cell>
        </row>
        <row r="596">
          <cell r="C596" t="str">
            <v>IGU-15001</v>
          </cell>
          <cell r="H596">
            <v>4520.6899999999996</v>
          </cell>
        </row>
        <row r="597">
          <cell r="C597" t="str">
            <v>IG-50561</v>
          </cell>
          <cell r="H597">
            <v>1118.97</v>
          </cell>
        </row>
        <row r="598">
          <cell r="C598" t="str">
            <v>IG-50001</v>
          </cell>
          <cell r="H598">
            <v>1118.97</v>
          </cell>
        </row>
        <row r="599">
          <cell r="C599" t="str">
            <v>IG-40561</v>
          </cell>
          <cell r="H599">
            <v>1019.83</v>
          </cell>
        </row>
        <row r="600">
          <cell r="C600" t="str">
            <v>IG-40001</v>
          </cell>
          <cell r="H600">
            <v>1019.83</v>
          </cell>
        </row>
        <row r="601">
          <cell r="C601" t="str">
            <v>IG-30563</v>
          </cell>
          <cell r="H601">
            <v>225</v>
          </cell>
        </row>
        <row r="602">
          <cell r="C602" t="str">
            <v>IG-30561</v>
          </cell>
          <cell r="H602">
            <v>885.34</v>
          </cell>
        </row>
        <row r="603">
          <cell r="C603" t="str">
            <v>IG-30003</v>
          </cell>
          <cell r="H603">
            <v>225</v>
          </cell>
        </row>
        <row r="604">
          <cell r="C604" t="str">
            <v>IG-30001</v>
          </cell>
          <cell r="H604">
            <v>885.34</v>
          </cell>
        </row>
        <row r="605">
          <cell r="C605" t="str">
            <v>ESC17-N</v>
          </cell>
          <cell r="H605">
            <v>3373.28</v>
          </cell>
        </row>
        <row r="606">
          <cell r="C606" t="str">
            <v>ESC12-N</v>
          </cell>
          <cell r="H606">
            <v>1749.14</v>
          </cell>
        </row>
        <row r="607">
          <cell r="C607" t="str">
            <v>ES-92231</v>
          </cell>
          <cell r="H607">
            <v>5152.59</v>
          </cell>
        </row>
        <row r="608">
          <cell r="C608" t="str">
            <v>ES-92221</v>
          </cell>
          <cell r="H608">
            <v>4912.07</v>
          </cell>
        </row>
        <row r="609">
          <cell r="C609" t="str">
            <v>ES-92191</v>
          </cell>
          <cell r="H609">
            <v>3906.9</v>
          </cell>
        </row>
        <row r="610">
          <cell r="C610" t="str">
            <v>ES-92181</v>
          </cell>
          <cell r="H610">
            <v>4837.93</v>
          </cell>
        </row>
        <row r="611">
          <cell r="C611" t="str">
            <v>ES-92141</v>
          </cell>
          <cell r="H611">
            <v>6402.59</v>
          </cell>
        </row>
        <row r="612">
          <cell r="C612" t="str">
            <v>ES-91894</v>
          </cell>
          <cell r="H612">
            <v>294.83</v>
          </cell>
        </row>
        <row r="613">
          <cell r="C613" t="str">
            <v>ES-91884</v>
          </cell>
          <cell r="H613">
            <v>331.9</v>
          </cell>
        </row>
        <row r="614">
          <cell r="C614" t="str">
            <v>ES-91874</v>
          </cell>
          <cell r="H614">
            <v>331.9</v>
          </cell>
        </row>
        <row r="615">
          <cell r="C615" t="str">
            <v>ES-91644</v>
          </cell>
          <cell r="H615">
            <v>294.83</v>
          </cell>
        </row>
        <row r="616">
          <cell r="C616" t="str">
            <v>ES-91643</v>
          </cell>
          <cell r="H616">
            <v>917.24</v>
          </cell>
        </row>
        <row r="617">
          <cell r="C617" t="str">
            <v>ES-91634</v>
          </cell>
          <cell r="H617">
            <v>294.83</v>
          </cell>
        </row>
        <row r="618">
          <cell r="C618" t="str">
            <v>ES-91633</v>
          </cell>
          <cell r="H618">
            <v>1055.17</v>
          </cell>
        </row>
        <row r="619">
          <cell r="C619" t="str">
            <v>ES-91631</v>
          </cell>
          <cell r="H619">
            <v>3886.21</v>
          </cell>
        </row>
        <row r="620">
          <cell r="C620" t="str">
            <v>ES-91624</v>
          </cell>
          <cell r="H620">
            <v>294.83</v>
          </cell>
        </row>
        <row r="621">
          <cell r="C621" t="str">
            <v>ES-91623</v>
          </cell>
          <cell r="H621">
            <v>917.24</v>
          </cell>
        </row>
        <row r="622">
          <cell r="C622" t="str">
            <v>ES-91383</v>
          </cell>
          <cell r="H622">
            <v>1055.17</v>
          </cell>
        </row>
        <row r="623">
          <cell r="C623" t="str">
            <v>ES-91373</v>
          </cell>
          <cell r="H623">
            <v>1053.45</v>
          </cell>
        </row>
        <row r="624">
          <cell r="C624" t="str">
            <v>ES-91371</v>
          </cell>
          <cell r="H624">
            <v>4471.55</v>
          </cell>
        </row>
        <row r="625">
          <cell r="C625" t="str">
            <v>ES-91351</v>
          </cell>
          <cell r="H625">
            <v>3659.48</v>
          </cell>
        </row>
        <row r="626">
          <cell r="C626" t="str">
            <v>ES-90763</v>
          </cell>
          <cell r="H626">
            <v>925.86</v>
          </cell>
        </row>
        <row r="627">
          <cell r="C627" t="str">
            <v>ES-90733</v>
          </cell>
          <cell r="H627">
            <v>812.93</v>
          </cell>
        </row>
        <row r="628">
          <cell r="C628" t="str">
            <v>ES-90723</v>
          </cell>
          <cell r="H628">
            <v>925.86</v>
          </cell>
        </row>
        <row r="629">
          <cell r="C629" t="str">
            <v>ES-90711</v>
          </cell>
          <cell r="H629">
            <v>3930.17</v>
          </cell>
        </row>
        <row r="630">
          <cell r="C630" t="str">
            <v>ES-78081</v>
          </cell>
          <cell r="H630">
            <v>2775</v>
          </cell>
        </row>
        <row r="631">
          <cell r="C631" t="str">
            <v>ES-78061</v>
          </cell>
          <cell r="H631">
            <v>3470.69</v>
          </cell>
        </row>
        <row r="632">
          <cell r="C632" t="str">
            <v>ES-78031</v>
          </cell>
          <cell r="H632">
            <v>2070.69</v>
          </cell>
        </row>
        <row r="633">
          <cell r="C633" t="str">
            <v>ES-78021</v>
          </cell>
          <cell r="H633">
            <v>2121.5500000000002</v>
          </cell>
        </row>
        <row r="634">
          <cell r="C634" t="str">
            <v>ES-77981</v>
          </cell>
          <cell r="H634">
            <v>1702.59</v>
          </cell>
        </row>
        <row r="635">
          <cell r="C635" t="str">
            <v>ES-77971</v>
          </cell>
          <cell r="H635">
            <v>1494.83</v>
          </cell>
        </row>
        <row r="636">
          <cell r="C636" t="str">
            <v>ES-77931</v>
          </cell>
          <cell r="H636">
            <v>3873.28</v>
          </cell>
        </row>
        <row r="637">
          <cell r="C637" t="str">
            <v>ES-77921</v>
          </cell>
          <cell r="H637">
            <v>3873.28</v>
          </cell>
        </row>
        <row r="638">
          <cell r="C638" t="str">
            <v>ES-77871</v>
          </cell>
          <cell r="H638">
            <v>3243.97</v>
          </cell>
        </row>
        <row r="639">
          <cell r="C639" t="str">
            <v>ES-77861</v>
          </cell>
          <cell r="H639">
            <v>2144.83</v>
          </cell>
        </row>
        <row r="640">
          <cell r="C640" t="str">
            <v>ES-77851</v>
          </cell>
          <cell r="H640">
            <v>2268.1</v>
          </cell>
        </row>
        <row r="641">
          <cell r="C641" t="str">
            <v>ES-77831</v>
          </cell>
          <cell r="H641">
            <v>2676.72</v>
          </cell>
        </row>
        <row r="642">
          <cell r="C642" t="str">
            <v>ES-77741</v>
          </cell>
          <cell r="H642">
            <v>2266.38</v>
          </cell>
        </row>
        <row r="643">
          <cell r="C643" t="str">
            <v>ES-77691</v>
          </cell>
          <cell r="H643">
            <v>2731.9</v>
          </cell>
        </row>
        <row r="644">
          <cell r="C644" t="str">
            <v>ES-77681</v>
          </cell>
          <cell r="H644">
            <v>2047.41</v>
          </cell>
        </row>
        <row r="645">
          <cell r="C645" t="str">
            <v>ES-77591</v>
          </cell>
          <cell r="H645">
            <v>2410.34</v>
          </cell>
        </row>
        <row r="646">
          <cell r="C646" t="str">
            <v>ES-77561</v>
          </cell>
          <cell r="H646">
            <v>1955.17</v>
          </cell>
        </row>
        <row r="647">
          <cell r="C647" t="str">
            <v>ES-77511</v>
          </cell>
          <cell r="H647">
            <v>972.41</v>
          </cell>
        </row>
        <row r="648">
          <cell r="C648" t="str">
            <v>ES-77450</v>
          </cell>
          <cell r="H648">
            <v>28067.24</v>
          </cell>
        </row>
        <row r="649">
          <cell r="C649" t="str">
            <v>ES-77440</v>
          </cell>
          <cell r="H649">
            <v>27791.38</v>
          </cell>
        </row>
        <row r="650">
          <cell r="C650" t="str">
            <v>ES-77281</v>
          </cell>
          <cell r="H650">
            <v>1822.41</v>
          </cell>
        </row>
        <row r="651">
          <cell r="C651" t="str">
            <v>ES-77161</v>
          </cell>
          <cell r="H651">
            <v>2121.5500000000002</v>
          </cell>
        </row>
        <row r="652">
          <cell r="C652" t="str">
            <v>ES-77111</v>
          </cell>
          <cell r="H652">
            <v>1362.07</v>
          </cell>
        </row>
        <row r="653">
          <cell r="C653" t="str">
            <v>ES-77071</v>
          </cell>
          <cell r="H653">
            <v>1325.86</v>
          </cell>
        </row>
        <row r="654">
          <cell r="C654" t="str">
            <v>ES-77051</v>
          </cell>
          <cell r="H654">
            <v>2521.5500000000002</v>
          </cell>
        </row>
        <row r="655">
          <cell r="C655" t="str">
            <v>ES-77021</v>
          </cell>
          <cell r="H655">
            <v>1759.48</v>
          </cell>
        </row>
        <row r="656">
          <cell r="C656" t="str">
            <v>ES-76973</v>
          </cell>
          <cell r="H656">
            <v>93.97</v>
          </cell>
        </row>
        <row r="657">
          <cell r="C657" t="str">
            <v>ES-76831</v>
          </cell>
          <cell r="H657">
            <v>2581.0300000000002</v>
          </cell>
        </row>
        <row r="658">
          <cell r="C658" t="str">
            <v>ES-76821</v>
          </cell>
          <cell r="H658">
            <v>1431.9</v>
          </cell>
        </row>
        <row r="659">
          <cell r="C659" t="str">
            <v>ES-76811</v>
          </cell>
          <cell r="H659">
            <v>2103.4499999999998</v>
          </cell>
        </row>
        <row r="660">
          <cell r="C660" t="str">
            <v>ES-76751</v>
          </cell>
          <cell r="H660">
            <v>906.9</v>
          </cell>
        </row>
        <row r="661">
          <cell r="C661" t="str">
            <v>ES-76681</v>
          </cell>
          <cell r="H661">
            <v>3135.34</v>
          </cell>
        </row>
        <row r="662">
          <cell r="C662" t="str">
            <v>ES-76680</v>
          </cell>
          <cell r="H662">
            <v>34625</v>
          </cell>
        </row>
        <row r="663">
          <cell r="C663" t="str">
            <v>ES-76384</v>
          </cell>
          <cell r="H663">
            <v>176.72</v>
          </cell>
        </row>
        <row r="664">
          <cell r="C664" t="str">
            <v>ES-76383</v>
          </cell>
          <cell r="H664">
            <v>616.38</v>
          </cell>
        </row>
        <row r="665">
          <cell r="C665" t="str">
            <v>ES-76381</v>
          </cell>
          <cell r="H665">
            <v>2687.07</v>
          </cell>
        </row>
        <row r="666">
          <cell r="C666" t="str">
            <v>ES-76374</v>
          </cell>
          <cell r="H666">
            <v>211.21</v>
          </cell>
        </row>
        <row r="667">
          <cell r="C667" t="str">
            <v>ES-76373</v>
          </cell>
          <cell r="H667">
            <v>754.31</v>
          </cell>
        </row>
        <row r="668">
          <cell r="C668" t="str">
            <v>ES-76371</v>
          </cell>
          <cell r="H668">
            <v>3266.38</v>
          </cell>
        </row>
        <row r="669">
          <cell r="C669" t="str">
            <v>ES-76354</v>
          </cell>
          <cell r="H669">
            <v>228.45</v>
          </cell>
        </row>
        <row r="670">
          <cell r="C670" t="str">
            <v>ES-76353</v>
          </cell>
          <cell r="H670">
            <v>822.41</v>
          </cell>
        </row>
        <row r="671">
          <cell r="C671" t="str">
            <v>ES-76351</v>
          </cell>
          <cell r="H671">
            <v>3593.1</v>
          </cell>
        </row>
        <row r="672">
          <cell r="C672" t="str">
            <v>ES-76344</v>
          </cell>
          <cell r="H672">
            <v>237.93</v>
          </cell>
        </row>
        <row r="673">
          <cell r="C673" t="str">
            <v>ES-76343</v>
          </cell>
          <cell r="H673">
            <v>861.21</v>
          </cell>
        </row>
        <row r="674">
          <cell r="C674" t="str">
            <v>ES-76341</v>
          </cell>
          <cell r="H674">
            <v>3772.41</v>
          </cell>
        </row>
        <row r="675">
          <cell r="C675" t="str">
            <v>ES-76304</v>
          </cell>
          <cell r="H675">
            <v>241.38</v>
          </cell>
        </row>
        <row r="676">
          <cell r="C676" t="str">
            <v>ES-76303</v>
          </cell>
          <cell r="H676">
            <v>875</v>
          </cell>
        </row>
        <row r="677">
          <cell r="C677" t="str">
            <v>ES-76301</v>
          </cell>
          <cell r="H677">
            <v>3837.07</v>
          </cell>
        </row>
        <row r="678">
          <cell r="C678" t="str">
            <v>ES-76300</v>
          </cell>
          <cell r="H678">
            <v>44345.69</v>
          </cell>
        </row>
        <row r="679">
          <cell r="C679" t="str">
            <v>ES-76211</v>
          </cell>
          <cell r="H679">
            <v>3525</v>
          </cell>
        </row>
        <row r="680">
          <cell r="C680" t="str">
            <v>ES-76210</v>
          </cell>
          <cell r="H680">
            <v>35244.83</v>
          </cell>
        </row>
        <row r="681">
          <cell r="C681" t="str">
            <v>ES-76183</v>
          </cell>
          <cell r="H681">
            <v>567.24</v>
          </cell>
        </row>
        <row r="682">
          <cell r="C682" t="str">
            <v>ES-76181</v>
          </cell>
          <cell r="H682">
            <v>2285.34</v>
          </cell>
        </row>
        <row r="683">
          <cell r="C683" t="str">
            <v>ES-76173</v>
          </cell>
          <cell r="H683">
            <v>700</v>
          </cell>
        </row>
        <row r="684">
          <cell r="C684" t="str">
            <v>ES-76171</v>
          </cell>
          <cell r="H684">
            <v>2917.24</v>
          </cell>
        </row>
        <row r="685">
          <cell r="C685" t="str">
            <v>ES-76153</v>
          </cell>
          <cell r="H685">
            <v>767.24</v>
          </cell>
        </row>
        <row r="686">
          <cell r="C686" t="str">
            <v>ES-76151</v>
          </cell>
          <cell r="H686">
            <v>3232.76</v>
          </cell>
        </row>
        <row r="687">
          <cell r="C687" t="str">
            <v>ES-76143</v>
          </cell>
          <cell r="H687">
            <v>803.45</v>
          </cell>
        </row>
        <row r="688">
          <cell r="C688" t="str">
            <v>ES-76141</v>
          </cell>
          <cell r="H688">
            <v>3406.9</v>
          </cell>
        </row>
        <row r="689">
          <cell r="C689" t="str">
            <v>ES-76103</v>
          </cell>
          <cell r="H689">
            <v>817.24</v>
          </cell>
        </row>
        <row r="690">
          <cell r="C690" t="str">
            <v>ES-76101</v>
          </cell>
          <cell r="H690">
            <v>3470.69</v>
          </cell>
        </row>
        <row r="691">
          <cell r="C691" t="str">
            <v>ES-75403</v>
          </cell>
          <cell r="H691">
            <v>700.86</v>
          </cell>
        </row>
        <row r="692">
          <cell r="C692" t="str">
            <v>ES-75401</v>
          </cell>
          <cell r="H692">
            <v>2879.31</v>
          </cell>
        </row>
        <row r="693">
          <cell r="C693" t="str">
            <v>ES-75400</v>
          </cell>
          <cell r="H693">
            <v>28771.55</v>
          </cell>
        </row>
        <row r="694">
          <cell r="C694" t="str">
            <v>ES-75141</v>
          </cell>
          <cell r="H694">
            <v>2879.31</v>
          </cell>
        </row>
        <row r="695">
          <cell r="C695" t="str">
            <v>ES-75140</v>
          </cell>
          <cell r="H695">
            <v>28771.55</v>
          </cell>
        </row>
        <row r="696">
          <cell r="C696" t="str">
            <v>ES-74821</v>
          </cell>
          <cell r="H696">
            <v>1687.07</v>
          </cell>
        </row>
        <row r="697">
          <cell r="C697" t="str">
            <v>ES-74723</v>
          </cell>
          <cell r="H697">
            <v>975</v>
          </cell>
        </row>
        <row r="698">
          <cell r="C698" t="str">
            <v>ES-74721</v>
          </cell>
          <cell r="H698">
            <v>3873.28</v>
          </cell>
        </row>
        <row r="699">
          <cell r="C699" t="str">
            <v>ES-74644</v>
          </cell>
          <cell r="H699">
            <v>211.21</v>
          </cell>
        </row>
        <row r="700">
          <cell r="C700" t="str">
            <v>ES-74551</v>
          </cell>
          <cell r="H700">
            <v>3142.24</v>
          </cell>
        </row>
        <row r="701">
          <cell r="C701" t="str">
            <v>ES-74541</v>
          </cell>
          <cell r="H701">
            <v>3142.24</v>
          </cell>
        </row>
        <row r="702">
          <cell r="C702" t="str">
            <v>ES-74041</v>
          </cell>
          <cell r="H702">
            <v>3037.93</v>
          </cell>
        </row>
        <row r="703">
          <cell r="C703" t="str">
            <v>ES-73931</v>
          </cell>
          <cell r="H703">
            <v>1101.72</v>
          </cell>
        </row>
        <row r="704">
          <cell r="C704" t="str">
            <v>ES-73711</v>
          </cell>
          <cell r="H704">
            <v>664.66</v>
          </cell>
        </row>
        <row r="705">
          <cell r="C705" t="str">
            <v>ES-73641</v>
          </cell>
          <cell r="H705">
            <v>3035.34</v>
          </cell>
        </row>
        <row r="706">
          <cell r="C706" t="str">
            <v>ES-73631</v>
          </cell>
          <cell r="H706">
            <v>3142.24</v>
          </cell>
        </row>
        <row r="707">
          <cell r="C707" t="str">
            <v>ES-72741</v>
          </cell>
          <cell r="H707">
            <v>1144.83</v>
          </cell>
        </row>
        <row r="708">
          <cell r="C708" t="str">
            <v>ES-71741</v>
          </cell>
          <cell r="H708">
            <v>2190.52</v>
          </cell>
        </row>
        <row r="709">
          <cell r="C709" t="str">
            <v>ES-70491</v>
          </cell>
          <cell r="H709">
            <v>2323.2800000000002</v>
          </cell>
        </row>
        <row r="710">
          <cell r="C710" t="str">
            <v>ES-65273</v>
          </cell>
          <cell r="H710">
            <v>1434.48</v>
          </cell>
        </row>
        <row r="711">
          <cell r="C711" t="str">
            <v>ES-65253</v>
          </cell>
          <cell r="H711">
            <v>1000</v>
          </cell>
        </row>
        <row r="712">
          <cell r="C712" t="str">
            <v>ES-65244</v>
          </cell>
          <cell r="H712">
            <v>333.62</v>
          </cell>
        </row>
        <row r="713">
          <cell r="C713" t="str">
            <v>ES-65171</v>
          </cell>
          <cell r="H713">
            <v>10098.280000000001</v>
          </cell>
        </row>
        <row r="714">
          <cell r="C714" t="str">
            <v>ES-65123</v>
          </cell>
          <cell r="H714">
            <v>1361.21</v>
          </cell>
        </row>
        <row r="715">
          <cell r="C715" t="str">
            <v>ES-65111</v>
          </cell>
          <cell r="H715">
            <v>6356.9</v>
          </cell>
        </row>
        <row r="716">
          <cell r="C716" t="str">
            <v>ES-65101</v>
          </cell>
          <cell r="H716">
            <v>5476.72</v>
          </cell>
        </row>
        <row r="717">
          <cell r="C717" t="str">
            <v>ES-65061</v>
          </cell>
          <cell r="H717">
            <v>9307.76</v>
          </cell>
        </row>
        <row r="718">
          <cell r="C718" t="str">
            <v>ES-65001</v>
          </cell>
          <cell r="H718">
            <v>9091.3799999999992</v>
          </cell>
        </row>
        <row r="719">
          <cell r="C719" t="str">
            <v>ES-64931</v>
          </cell>
          <cell r="H719">
            <v>1512.93</v>
          </cell>
        </row>
        <row r="720">
          <cell r="C720" t="str">
            <v>ES-64921</v>
          </cell>
          <cell r="H720">
            <v>6662.07</v>
          </cell>
        </row>
        <row r="721">
          <cell r="C721" t="str">
            <v>ES-64901</v>
          </cell>
          <cell r="H721">
            <v>11471.55</v>
          </cell>
        </row>
        <row r="722">
          <cell r="C722" t="str">
            <v>ES-64893</v>
          </cell>
          <cell r="H722">
            <v>2317.2399999999998</v>
          </cell>
        </row>
        <row r="723">
          <cell r="C723" t="str">
            <v>ES-64883</v>
          </cell>
          <cell r="H723">
            <v>1762.07</v>
          </cell>
        </row>
        <row r="724">
          <cell r="C724" t="str">
            <v>ES-64873</v>
          </cell>
          <cell r="H724">
            <v>1806.9</v>
          </cell>
        </row>
        <row r="725">
          <cell r="C725" t="str">
            <v>ES-64863</v>
          </cell>
          <cell r="H725">
            <v>1750.86</v>
          </cell>
        </row>
        <row r="726">
          <cell r="C726" t="str">
            <v>ES-64853</v>
          </cell>
          <cell r="H726">
            <v>2299.14</v>
          </cell>
        </row>
        <row r="727">
          <cell r="C727" t="str">
            <v>ES-64833</v>
          </cell>
          <cell r="H727">
            <v>2159.48</v>
          </cell>
        </row>
        <row r="728">
          <cell r="C728" t="str">
            <v>ES-64823</v>
          </cell>
          <cell r="H728">
            <v>2121.5500000000002</v>
          </cell>
        </row>
        <row r="729">
          <cell r="C729" t="str">
            <v>ES-64811</v>
          </cell>
          <cell r="H729">
            <v>6095.69</v>
          </cell>
        </row>
        <row r="730">
          <cell r="C730" t="str">
            <v>ES-64791</v>
          </cell>
          <cell r="H730">
            <v>6756.9</v>
          </cell>
        </row>
        <row r="731">
          <cell r="C731" t="str">
            <v>ES-64781</v>
          </cell>
          <cell r="H731">
            <v>6673.28</v>
          </cell>
        </row>
        <row r="732">
          <cell r="C732" t="str">
            <v>ES-64771</v>
          </cell>
          <cell r="H732">
            <v>7262.93</v>
          </cell>
        </row>
        <row r="733">
          <cell r="C733" t="str">
            <v>ES-64761</v>
          </cell>
          <cell r="H733">
            <v>6405.17</v>
          </cell>
        </row>
        <row r="734">
          <cell r="C734" t="str">
            <v>ES-64693</v>
          </cell>
          <cell r="H734">
            <v>1625.86</v>
          </cell>
        </row>
        <row r="735">
          <cell r="C735" t="str">
            <v>ES-64691</v>
          </cell>
          <cell r="H735">
            <v>6507.76</v>
          </cell>
        </row>
        <row r="736">
          <cell r="C736" t="str">
            <v>ES-64681</v>
          </cell>
          <cell r="H736">
            <v>6879.31</v>
          </cell>
        </row>
        <row r="737">
          <cell r="C737" t="str">
            <v>ES-64521</v>
          </cell>
          <cell r="H737">
            <v>12389.66</v>
          </cell>
        </row>
        <row r="738">
          <cell r="C738" t="str">
            <v>ES-64483</v>
          </cell>
          <cell r="H738">
            <v>2048.2800000000002</v>
          </cell>
        </row>
        <row r="739">
          <cell r="C739" t="str">
            <v>ES-64343</v>
          </cell>
          <cell r="H739">
            <v>2368.1</v>
          </cell>
        </row>
        <row r="740">
          <cell r="C740" t="str">
            <v>ES-64323</v>
          </cell>
          <cell r="H740">
            <v>1536.21</v>
          </cell>
        </row>
        <row r="741">
          <cell r="C741" t="str">
            <v>ES-64321</v>
          </cell>
          <cell r="H741">
            <v>7129.31</v>
          </cell>
        </row>
        <row r="742">
          <cell r="C742" t="str">
            <v>ES-64273</v>
          </cell>
          <cell r="H742">
            <v>2102.59</v>
          </cell>
        </row>
        <row r="743">
          <cell r="C743" t="str">
            <v>ES-63991</v>
          </cell>
          <cell r="H743">
            <v>3989.66</v>
          </cell>
        </row>
        <row r="744">
          <cell r="C744" t="str">
            <v>ES-63943</v>
          </cell>
          <cell r="H744">
            <v>2046.55</v>
          </cell>
        </row>
        <row r="745">
          <cell r="C745" t="str">
            <v>ES-63833</v>
          </cell>
          <cell r="H745">
            <v>2293.9699999999998</v>
          </cell>
        </row>
        <row r="746">
          <cell r="C746" t="str">
            <v>ES-63821</v>
          </cell>
          <cell r="H746">
            <v>5153.45</v>
          </cell>
        </row>
        <row r="747">
          <cell r="C747" t="str">
            <v>ES-63811</v>
          </cell>
          <cell r="H747">
            <v>5600.86</v>
          </cell>
        </row>
        <row r="748">
          <cell r="C748" t="str">
            <v>ES-63611</v>
          </cell>
          <cell r="H748">
            <v>8062.93</v>
          </cell>
        </row>
        <row r="749">
          <cell r="C749" t="str">
            <v>ES-63553</v>
          </cell>
          <cell r="H749">
            <v>2300.86</v>
          </cell>
        </row>
        <row r="750">
          <cell r="C750" t="str">
            <v>ES-63473</v>
          </cell>
          <cell r="H750">
            <v>1544.83</v>
          </cell>
        </row>
        <row r="751">
          <cell r="C751" t="str">
            <v>ES-63451</v>
          </cell>
          <cell r="H751">
            <v>6020.69</v>
          </cell>
        </row>
        <row r="752">
          <cell r="C752" t="str">
            <v>ES-63171</v>
          </cell>
          <cell r="H752">
            <v>5889.66</v>
          </cell>
        </row>
        <row r="753">
          <cell r="C753" t="str">
            <v>IT-32-81</v>
          </cell>
          <cell r="H753">
            <v>2100</v>
          </cell>
        </row>
        <row r="754">
          <cell r="C754" t="str">
            <v>IT-32-41</v>
          </cell>
          <cell r="H754">
            <v>2164.66</v>
          </cell>
        </row>
        <row r="755">
          <cell r="C755" t="str">
            <v>IT-22-84</v>
          </cell>
          <cell r="H755">
            <v>196.55</v>
          </cell>
        </row>
        <row r="756">
          <cell r="C756" t="str">
            <v>IT-22-83</v>
          </cell>
          <cell r="H756">
            <v>671.55</v>
          </cell>
        </row>
        <row r="757">
          <cell r="C757" t="str">
            <v>IT-22-81</v>
          </cell>
          <cell r="H757">
            <v>2845.69</v>
          </cell>
        </row>
        <row r="758">
          <cell r="C758" t="str">
            <v>IT-22-51</v>
          </cell>
          <cell r="H758">
            <v>2957.76</v>
          </cell>
        </row>
        <row r="759">
          <cell r="C759" t="str">
            <v>IT-22-41</v>
          </cell>
          <cell r="H759">
            <v>2845.69</v>
          </cell>
        </row>
        <row r="760">
          <cell r="C760" t="str">
            <v>IT-17-83</v>
          </cell>
          <cell r="H760">
            <v>1141.3800000000001</v>
          </cell>
        </row>
        <row r="761">
          <cell r="C761" t="str">
            <v>IT-17-73</v>
          </cell>
          <cell r="H761">
            <v>1167.24</v>
          </cell>
        </row>
        <row r="762">
          <cell r="C762" t="str">
            <v>IT-17-40</v>
          </cell>
          <cell r="H762">
            <v>42335.34</v>
          </cell>
        </row>
        <row r="763">
          <cell r="C763" t="str">
            <v>G-31971</v>
          </cell>
          <cell r="H763">
            <v>1806.9</v>
          </cell>
        </row>
        <row r="764">
          <cell r="C764" t="str">
            <v>G-31921</v>
          </cell>
          <cell r="H764">
            <v>1806.9</v>
          </cell>
        </row>
        <row r="765">
          <cell r="C765" t="str">
            <v>G-31911</v>
          </cell>
          <cell r="H765">
            <v>1806.9</v>
          </cell>
        </row>
        <row r="766">
          <cell r="C766" t="str">
            <v>G-31891</v>
          </cell>
          <cell r="H766">
            <v>1806.9</v>
          </cell>
        </row>
        <row r="767">
          <cell r="C767" t="str">
            <v>G-31881</v>
          </cell>
          <cell r="H767">
            <v>1806.9</v>
          </cell>
        </row>
        <row r="768">
          <cell r="C768" t="str">
            <v>G-31871</v>
          </cell>
          <cell r="H768">
            <v>1806.9</v>
          </cell>
        </row>
        <row r="769">
          <cell r="C769" t="str">
            <v>G-31861</v>
          </cell>
          <cell r="H769">
            <v>1806.9</v>
          </cell>
        </row>
        <row r="770">
          <cell r="C770" t="str">
            <v>G-31851</v>
          </cell>
          <cell r="H770">
            <v>1806.9</v>
          </cell>
        </row>
        <row r="771">
          <cell r="C771" t="str">
            <v>G-31841</v>
          </cell>
          <cell r="H771">
            <v>1806.9</v>
          </cell>
        </row>
        <row r="772">
          <cell r="C772" t="str">
            <v>G-31831</v>
          </cell>
          <cell r="H772">
            <v>1806.9</v>
          </cell>
        </row>
        <row r="773">
          <cell r="C773" t="str">
            <v>G-31821</v>
          </cell>
          <cell r="H773">
            <v>1806.9</v>
          </cell>
        </row>
        <row r="774">
          <cell r="C774" t="str">
            <v>G-31811</v>
          </cell>
          <cell r="H774">
            <v>1806.9</v>
          </cell>
        </row>
        <row r="775">
          <cell r="C775" t="str">
            <v>G-31801</v>
          </cell>
          <cell r="H775">
            <v>1806.9</v>
          </cell>
        </row>
        <row r="776">
          <cell r="C776" t="str">
            <v>G-31101</v>
          </cell>
          <cell r="H776">
            <v>1806.9</v>
          </cell>
        </row>
        <row r="777">
          <cell r="C777" t="str">
            <v>ES-92201</v>
          </cell>
          <cell r="H777">
            <v>4544.83</v>
          </cell>
        </row>
        <row r="778">
          <cell r="C778" t="str">
            <v>ES-92171</v>
          </cell>
          <cell r="H778">
            <v>2829.31</v>
          </cell>
        </row>
        <row r="779">
          <cell r="C779" t="str">
            <v>ES-91543</v>
          </cell>
          <cell r="H779">
            <v>699.14</v>
          </cell>
        </row>
        <row r="780">
          <cell r="C780" t="str">
            <v>ES-90343</v>
          </cell>
          <cell r="H780">
            <v>797.41</v>
          </cell>
        </row>
        <row r="781">
          <cell r="C781" t="str">
            <v>ES-90341</v>
          </cell>
          <cell r="H781">
            <v>3160.34</v>
          </cell>
        </row>
        <row r="782">
          <cell r="C782" t="str">
            <v>ES-78051</v>
          </cell>
          <cell r="H782">
            <v>2265.52</v>
          </cell>
        </row>
        <row r="783">
          <cell r="C783" t="str">
            <v>ES-78041</v>
          </cell>
          <cell r="H783">
            <v>2265.52</v>
          </cell>
        </row>
        <row r="784">
          <cell r="C784" t="str">
            <v>ES-77651</v>
          </cell>
          <cell r="H784">
            <v>2147.41</v>
          </cell>
        </row>
        <row r="785">
          <cell r="C785" t="str">
            <v>ES-77521</v>
          </cell>
          <cell r="H785">
            <v>2147.41</v>
          </cell>
        </row>
        <row r="786">
          <cell r="C786" t="str">
            <v>ES-74643</v>
          </cell>
          <cell r="H786">
            <v>766.38</v>
          </cell>
        </row>
        <row r="787">
          <cell r="C787" t="str">
            <v>ES-74642</v>
          </cell>
          <cell r="H787">
            <v>2652.59</v>
          </cell>
        </row>
        <row r="788">
          <cell r="C788" t="str">
            <v>IT-32-84</v>
          </cell>
          <cell r="H788">
            <v>143.1</v>
          </cell>
        </row>
        <row r="789">
          <cell r="C789" t="str">
            <v>IT-32-83</v>
          </cell>
          <cell r="H789">
            <v>512.92999999999995</v>
          </cell>
        </row>
        <row r="790">
          <cell r="C790" t="str">
            <v>IT-32-80</v>
          </cell>
          <cell r="H790">
            <v>21704.31</v>
          </cell>
        </row>
        <row r="791">
          <cell r="C791" t="str">
            <v>IT-32-71</v>
          </cell>
          <cell r="H791">
            <v>2187.0700000000002</v>
          </cell>
        </row>
        <row r="792">
          <cell r="C792" t="str">
            <v>IT-32-53</v>
          </cell>
          <cell r="H792">
            <v>515.52</v>
          </cell>
        </row>
        <row r="793">
          <cell r="C793" t="str">
            <v>IT-32-51</v>
          </cell>
          <cell r="H793">
            <v>2164.66</v>
          </cell>
        </row>
        <row r="794">
          <cell r="C794" t="str">
            <v>IT-32-44</v>
          </cell>
          <cell r="H794">
            <v>143.1</v>
          </cell>
        </row>
        <row r="795">
          <cell r="C795" t="str">
            <v>IT-32-43</v>
          </cell>
          <cell r="H795">
            <v>510.34</v>
          </cell>
        </row>
        <row r="796">
          <cell r="C796" t="str">
            <v>IT-30-84</v>
          </cell>
          <cell r="H796">
            <v>206.9</v>
          </cell>
        </row>
        <row r="797">
          <cell r="C797" t="str">
            <v>IT-30-83</v>
          </cell>
          <cell r="H797">
            <v>716.38</v>
          </cell>
        </row>
        <row r="798">
          <cell r="C798" t="str">
            <v>IT-30-80</v>
          </cell>
          <cell r="H798">
            <v>30018.97</v>
          </cell>
        </row>
        <row r="799">
          <cell r="C799" t="str">
            <v>IT-30-74</v>
          </cell>
          <cell r="H799">
            <v>206.9</v>
          </cell>
        </row>
        <row r="800">
          <cell r="C800" t="str">
            <v>IT-30-44</v>
          </cell>
          <cell r="H800">
            <v>201.72</v>
          </cell>
        </row>
        <row r="801">
          <cell r="C801" t="str">
            <v>IT-17-71</v>
          </cell>
          <cell r="H801">
            <v>4729.3100000000004</v>
          </cell>
        </row>
        <row r="802">
          <cell r="C802" t="str">
            <v>IT-17-53</v>
          </cell>
          <cell r="H802">
            <v>1033.6199999999999</v>
          </cell>
        </row>
        <row r="803">
          <cell r="C803" t="str">
            <v>IT-17-43</v>
          </cell>
          <cell r="H803">
            <v>1033.6199999999999</v>
          </cell>
        </row>
        <row r="804">
          <cell r="C804" t="str">
            <v>IT-102-83</v>
          </cell>
          <cell r="H804">
            <v>906.9</v>
          </cell>
        </row>
        <row r="805">
          <cell r="C805" t="str">
            <v>IT-102-81</v>
          </cell>
          <cell r="H805">
            <v>4133.62</v>
          </cell>
        </row>
        <row r="806">
          <cell r="C806" t="str">
            <v>IGU-25005</v>
          </cell>
          <cell r="H806">
            <v>182.76</v>
          </cell>
        </row>
        <row r="807">
          <cell r="C807" t="str">
            <v>IGU-17003</v>
          </cell>
          <cell r="H807">
            <v>1033.6199999999999</v>
          </cell>
        </row>
        <row r="808">
          <cell r="C808" t="str">
            <v>ES-92311</v>
          </cell>
          <cell r="H808">
            <v>5146.55</v>
          </cell>
        </row>
        <row r="809">
          <cell r="C809" t="str">
            <v>ES-91771</v>
          </cell>
          <cell r="H809">
            <v>2845.69</v>
          </cell>
        </row>
        <row r="810">
          <cell r="C810" t="str">
            <v>ES-78101</v>
          </cell>
          <cell r="H810">
            <v>2088.79</v>
          </cell>
        </row>
        <row r="811">
          <cell r="C811" t="str">
            <v>ES-77991</v>
          </cell>
          <cell r="H811">
            <v>2240.52</v>
          </cell>
        </row>
        <row r="812">
          <cell r="C812" t="str">
            <v>ES-77961</v>
          </cell>
          <cell r="H812">
            <v>2134.48</v>
          </cell>
        </row>
        <row r="813">
          <cell r="C813" t="str">
            <v>ES-77911</v>
          </cell>
          <cell r="H813">
            <v>3079.31</v>
          </cell>
        </row>
        <row r="814">
          <cell r="C814" t="str">
            <v>ES-77891</v>
          </cell>
          <cell r="H814">
            <v>3152.59</v>
          </cell>
        </row>
        <row r="815">
          <cell r="C815" t="str">
            <v>ES-77631</v>
          </cell>
          <cell r="H815">
            <v>2890.52</v>
          </cell>
        </row>
        <row r="816">
          <cell r="C816" t="str">
            <v>ES-77571</v>
          </cell>
          <cell r="H816">
            <v>3178.45</v>
          </cell>
        </row>
        <row r="817">
          <cell r="C817" t="str">
            <v>ES-74014</v>
          </cell>
          <cell r="H817">
            <v>206.9</v>
          </cell>
        </row>
        <row r="818">
          <cell r="C818" t="str">
            <v>ES-74004</v>
          </cell>
          <cell r="H818">
            <v>206.9</v>
          </cell>
        </row>
        <row r="819">
          <cell r="C819" t="str">
            <v>ES-71671</v>
          </cell>
          <cell r="H819">
            <v>2200.86</v>
          </cell>
        </row>
        <row r="820">
          <cell r="C820" t="str">
            <v>ES-65024</v>
          </cell>
          <cell r="H820">
            <v>518.1</v>
          </cell>
        </row>
        <row r="821">
          <cell r="C821" t="str">
            <v>ES-65023</v>
          </cell>
          <cell r="H821">
            <v>1894.83</v>
          </cell>
        </row>
        <row r="822">
          <cell r="C822" t="str">
            <v>ES-65013</v>
          </cell>
          <cell r="H822">
            <v>1881.03</v>
          </cell>
        </row>
        <row r="823">
          <cell r="C823" t="str">
            <v>ES-65011</v>
          </cell>
          <cell r="H823">
            <v>7824.14</v>
          </cell>
        </row>
        <row r="824">
          <cell r="C824" t="str">
            <v>ES-64964</v>
          </cell>
          <cell r="H824">
            <v>824.14</v>
          </cell>
        </row>
        <row r="825">
          <cell r="C825" t="str">
            <v>ES-64911</v>
          </cell>
          <cell r="H825">
            <v>4320.6899999999996</v>
          </cell>
        </row>
        <row r="826">
          <cell r="C826" t="str">
            <v>ES-78140</v>
          </cell>
          <cell r="H826">
            <v>22778.45</v>
          </cell>
        </row>
        <row r="827">
          <cell r="C827" t="str">
            <v>ES-78130</v>
          </cell>
          <cell r="H827">
            <v>22127.59</v>
          </cell>
        </row>
        <row r="828">
          <cell r="C828" t="str">
            <v>IT-38-51</v>
          </cell>
          <cell r="H828">
            <v>1168.97</v>
          </cell>
        </row>
        <row r="829">
          <cell r="C829" t="str">
            <v>IT-34-41</v>
          </cell>
          <cell r="H829">
            <v>979.31</v>
          </cell>
        </row>
        <row r="830">
          <cell r="C830" t="str">
            <v>IT-17-84</v>
          </cell>
          <cell r="H830">
            <v>322.41000000000003</v>
          </cell>
        </row>
        <row r="831">
          <cell r="C831" t="str">
            <v>IT-17-80</v>
          </cell>
          <cell r="H831">
            <v>46800</v>
          </cell>
        </row>
        <row r="832">
          <cell r="C832" t="str">
            <v>IT-17-70</v>
          </cell>
          <cell r="H832">
            <v>49315.519999999997</v>
          </cell>
        </row>
        <row r="833">
          <cell r="C833" t="str">
            <v>IT-17-44</v>
          </cell>
          <cell r="H833">
            <v>306.02999999999997</v>
          </cell>
        </row>
        <row r="834">
          <cell r="C834" t="str">
            <v>IT-14-43</v>
          </cell>
          <cell r="H834">
            <v>1564.66</v>
          </cell>
        </row>
        <row r="835">
          <cell r="C835" t="str">
            <v>IT-13-81</v>
          </cell>
          <cell r="H835">
            <v>4081.03</v>
          </cell>
        </row>
        <row r="836">
          <cell r="C836" t="str">
            <v>IT-13-44</v>
          </cell>
          <cell r="H836">
            <v>237.07</v>
          </cell>
        </row>
        <row r="837">
          <cell r="C837" t="str">
            <v>IT-13-41</v>
          </cell>
          <cell r="H837">
            <v>3355.17</v>
          </cell>
        </row>
        <row r="838">
          <cell r="C838" t="str">
            <v>IT-102-51</v>
          </cell>
          <cell r="H838">
            <v>3694.83</v>
          </cell>
        </row>
        <row r="839">
          <cell r="C839" t="str">
            <v>G-31974</v>
          </cell>
          <cell r="H839">
            <v>137.93</v>
          </cell>
        </row>
        <row r="840">
          <cell r="C840" t="str">
            <v>G-31973</v>
          </cell>
          <cell r="H840">
            <v>454.31</v>
          </cell>
        </row>
        <row r="841">
          <cell r="C841" t="str">
            <v>G-31924</v>
          </cell>
          <cell r="H841">
            <v>137.93</v>
          </cell>
        </row>
        <row r="842">
          <cell r="C842" t="str">
            <v>G-31923</v>
          </cell>
          <cell r="H842">
            <v>454.31</v>
          </cell>
        </row>
        <row r="843">
          <cell r="C843" t="str">
            <v>G-31914</v>
          </cell>
          <cell r="H843">
            <v>137.93</v>
          </cell>
        </row>
        <row r="844">
          <cell r="C844" t="str">
            <v>G-31913</v>
          </cell>
          <cell r="H844">
            <v>454.31</v>
          </cell>
        </row>
        <row r="845">
          <cell r="C845" t="str">
            <v>G-31894</v>
          </cell>
          <cell r="H845">
            <v>137.93</v>
          </cell>
        </row>
        <row r="846">
          <cell r="C846" t="str">
            <v>G-31893</v>
          </cell>
          <cell r="H846">
            <v>454.31</v>
          </cell>
        </row>
        <row r="847">
          <cell r="C847" t="str">
            <v>G-31884</v>
          </cell>
          <cell r="H847">
            <v>137.93</v>
          </cell>
        </row>
        <row r="848">
          <cell r="C848" t="str">
            <v>G-31883</v>
          </cell>
          <cell r="H848">
            <v>454.31</v>
          </cell>
        </row>
        <row r="849">
          <cell r="C849" t="str">
            <v>G-31874</v>
          </cell>
          <cell r="H849">
            <v>137.93</v>
          </cell>
        </row>
        <row r="850">
          <cell r="C850" t="str">
            <v>G-31873</v>
          </cell>
          <cell r="H850">
            <v>454.31</v>
          </cell>
        </row>
        <row r="851">
          <cell r="C851" t="str">
            <v>G-31864</v>
          </cell>
          <cell r="H851">
            <v>137.93</v>
          </cell>
        </row>
        <row r="852">
          <cell r="C852" t="str">
            <v>G-31863</v>
          </cell>
          <cell r="H852">
            <v>454.31</v>
          </cell>
        </row>
        <row r="853">
          <cell r="C853" t="str">
            <v>G-31854</v>
          </cell>
          <cell r="H853">
            <v>137.93</v>
          </cell>
        </row>
        <row r="854">
          <cell r="C854" t="str">
            <v>G-31853</v>
          </cell>
          <cell r="H854">
            <v>454.31</v>
          </cell>
        </row>
        <row r="855">
          <cell r="C855" t="str">
            <v>G-31844</v>
          </cell>
          <cell r="H855">
            <v>137.93</v>
          </cell>
        </row>
        <row r="856">
          <cell r="C856" t="str">
            <v>G-31843</v>
          </cell>
          <cell r="H856">
            <v>454.31</v>
          </cell>
        </row>
        <row r="857">
          <cell r="C857" t="str">
            <v>G-31834</v>
          </cell>
          <cell r="H857">
            <v>137.93</v>
          </cell>
        </row>
        <row r="858">
          <cell r="C858" t="str">
            <v>G-31833</v>
          </cell>
          <cell r="H858">
            <v>454.31</v>
          </cell>
        </row>
        <row r="859">
          <cell r="C859" t="str">
            <v>G-31824</v>
          </cell>
          <cell r="H859">
            <v>137.93</v>
          </cell>
        </row>
        <row r="860">
          <cell r="C860" t="str">
            <v>G-31823</v>
          </cell>
          <cell r="H860">
            <v>454.31</v>
          </cell>
        </row>
        <row r="861">
          <cell r="C861" t="str">
            <v>G-31814</v>
          </cell>
          <cell r="H861">
            <v>137.93</v>
          </cell>
        </row>
        <row r="862">
          <cell r="C862" t="str">
            <v>G-31813</v>
          </cell>
          <cell r="H862">
            <v>454.31</v>
          </cell>
        </row>
        <row r="863">
          <cell r="C863" t="str">
            <v>G-31804</v>
          </cell>
          <cell r="H863">
            <v>137.93</v>
          </cell>
        </row>
        <row r="864">
          <cell r="C864" t="str">
            <v>G-31803</v>
          </cell>
          <cell r="H864">
            <v>454.31</v>
          </cell>
        </row>
        <row r="865">
          <cell r="C865" t="str">
            <v>G-31104</v>
          </cell>
          <cell r="H865">
            <v>137.93</v>
          </cell>
        </row>
        <row r="866">
          <cell r="C866" t="str">
            <v>G-31103</v>
          </cell>
          <cell r="H866">
            <v>454.31</v>
          </cell>
        </row>
        <row r="867">
          <cell r="C867" t="str">
            <v>ES-91554</v>
          </cell>
          <cell r="H867">
            <v>204.31</v>
          </cell>
        </row>
        <row r="868">
          <cell r="C868" t="str">
            <v>ES-91553</v>
          </cell>
          <cell r="H868">
            <v>681.9</v>
          </cell>
        </row>
        <row r="869">
          <cell r="C869" t="str">
            <v>ES-91544</v>
          </cell>
          <cell r="H869">
            <v>167.24</v>
          </cell>
        </row>
        <row r="870">
          <cell r="C870" t="str">
            <v>ES-91421</v>
          </cell>
          <cell r="H870">
            <v>3227.59</v>
          </cell>
        </row>
        <row r="871">
          <cell r="C871" t="str">
            <v>ES-91321</v>
          </cell>
          <cell r="H871">
            <v>3212.07</v>
          </cell>
        </row>
        <row r="872">
          <cell r="C872" t="str">
            <v>ES-91153</v>
          </cell>
          <cell r="H872">
            <v>735.34</v>
          </cell>
        </row>
        <row r="873">
          <cell r="C873" t="str">
            <v>ES-90833</v>
          </cell>
          <cell r="H873">
            <v>827.59</v>
          </cell>
        </row>
        <row r="874">
          <cell r="C874" t="str">
            <v>ES-90773</v>
          </cell>
          <cell r="H874">
            <v>827.59</v>
          </cell>
        </row>
        <row r="875">
          <cell r="C875" t="str">
            <v>ES-90703</v>
          </cell>
          <cell r="H875">
            <v>607.76</v>
          </cell>
        </row>
        <row r="876">
          <cell r="C876" t="str">
            <v>ES-78441</v>
          </cell>
          <cell r="H876">
            <v>1675</v>
          </cell>
        </row>
        <row r="877">
          <cell r="C877" t="str">
            <v>ES-78431</v>
          </cell>
          <cell r="H877">
            <v>1712.07</v>
          </cell>
        </row>
        <row r="878">
          <cell r="C878" t="str">
            <v>ES-78421</v>
          </cell>
          <cell r="H878">
            <v>1764.66</v>
          </cell>
        </row>
        <row r="879">
          <cell r="C879" t="str">
            <v>ES-78201</v>
          </cell>
          <cell r="H879">
            <v>1363.79</v>
          </cell>
        </row>
        <row r="880">
          <cell r="C880" t="str">
            <v>ES-78191</v>
          </cell>
          <cell r="H880">
            <v>1544.83</v>
          </cell>
        </row>
        <row r="881">
          <cell r="C881" t="str">
            <v>ES-78151</v>
          </cell>
          <cell r="H881">
            <v>2081.9</v>
          </cell>
        </row>
        <row r="882">
          <cell r="C882" t="str">
            <v>ES-78121</v>
          </cell>
          <cell r="H882">
            <v>1816.38</v>
          </cell>
        </row>
        <row r="883">
          <cell r="C883" t="str">
            <v>ES-78111</v>
          </cell>
          <cell r="H883">
            <v>1816.38</v>
          </cell>
        </row>
        <row r="884">
          <cell r="C884" t="str">
            <v>ES-76501</v>
          </cell>
          <cell r="H884">
            <v>1467.24</v>
          </cell>
        </row>
        <row r="885">
          <cell r="C885" t="str">
            <v>ES-76100</v>
          </cell>
          <cell r="H885">
            <v>34707.760000000002</v>
          </cell>
        </row>
        <row r="886">
          <cell r="C886" t="str">
            <v>ES-75661</v>
          </cell>
          <cell r="H886">
            <v>979.31</v>
          </cell>
        </row>
        <row r="887">
          <cell r="C887" t="str">
            <v>ES-73521</v>
          </cell>
          <cell r="H887">
            <v>979.31</v>
          </cell>
        </row>
        <row r="888">
          <cell r="C888" t="str">
            <v>ES-65613</v>
          </cell>
          <cell r="H888">
            <v>1465.52</v>
          </cell>
        </row>
        <row r="889">
          <cell r="C889" t="str">
            <v>ES-65583</v>
          </cell>
          <cell r="H889">
            <v>1333.62</v>
          </cell>
        </row>
        <row r="890">
          <cell r="C890" t="str">
            <v>ES-65581</v>
          </cell>
          <cell r="H890">
            <v>4981.8999999999996</v>
          </cell>
        </row>
        <row r="891">
          <cell r="C891" t="str">
            <v>ES-65543</v>
          </cell>
          <cell r="H891">
            <v>1625</v>
          </cell>
        </row>
        <row r="892">
          <cell r="C892" t="str">
            <v>ES-65371</v>
          </cell>
          <cell r="H892">
            <v>5691.38</v>
          </cell>
        </row>
        <row r="893">
          <cell r="C893" t="str">
            <v>ES-65361</v>
          </cell>
          <cell r="H893">
            <v>5716.38</v>
          </cell>
        </row>
        <row r="894">
          <cell r="C894" t="str">
            <v>ES-65323</v>
          </cell>
          <cell r="H894">
            <v>1132.76</v>
          </cell>
        </row>
        <row r="895">
          <cell r="C895" t="str">
            <v>ES-65321</v>
          </cell>
          <cell r="H895">
            <v>4781.03</v>
          </cell>
        </row>
        <row r="896">
          <cell r="C896" t="str">
            <v>ES-65311</v>
          </cell>
          <cell r="H896">
            <v>4859.4799999999996</v>
          </cell>
        </row>
        <row r="897">
          <cell r="C897" t="str">
            <v>ES-65294</v>
          </cell>
          <cell r="H897">
            <v>937.93</v>
          </cell>
        </row>
        <row r="898">
          <cell r="C898" t="str">
            <v>ES-65293</v>
          </cell>
          <cell r="H898">
            <v>2719.83</v>
          </cell>
        </row>
        <row r="899">
          <cell r="C899" t="str">
            <v>ES-65283</v>
          </cell>
          <cell r="H899">
            <v>1197.4100000000001</v>
          </cell>
        </row>
        <row r="900">
          <cell r="C900" t="str">
            <v>ES-65281</v>
          </cell>
          <cell r="H900">
            <v>3625</v>
          </cell>
        </row>
        <row r="901">
          <cell r="C901" t="str">
            <v>ES-65213</v>
          </cell>
          <cell r="H901">
            <v>1362.93</v>
          </cell>
        </row>
        <row r="902">
          <cell r="C902" t="str">
            <v>ES-65211</v>
          </cell>
          <cell r="H902">
            <v>5359.48</v>
          </cell>
        </row>
        <row r="903">
          <cell r="C903" t="str">
            <v>ES-65044</v>
          </cell>
          <cell r="H903">
            <v>738.79</v>
          </cell>
        </row>
        <row r="904">
          <cell r="C904" t="str">
            <v>ES-65033</v>
          </cell>
          <cell r="H904">
            <v>2153.4499999999998</v>
          </cell>
        </row>
        <row r="905">
          <cell r="C905" t="str">
            <v>ES-65031</v>
          </cell>
          <cell r="H905">
            <v>4811.21</v>
          </cell>
        </row>
        <row r="906">
          <cell r="C906" t="str">
            <v>ES-64994</v>
          </cell>
          <cell r="H906">
            <v>634.48</v>
          </cell>
        </row>
        <row r="907">
          <cell r="C907" t="str">
            <v>ES-64993</v>
          </cell>
          <cell r="H907">
            <v>3017.24</v>
          </cell>
        </row>
        <row r="908">
          <cell r="C908" t="str">
            <v>ES-64983</v>
          </cell>
          <cell r="H908">
            <v>1280.17</v>
          </cell>
        </row>
        <row r="909">
          <cell r="C909" t="str">
            <v>ES-64981</v>
          </cell>
          <cell r="H909">
            <v>15056.03</v>
          </cell>
        </row>
        <row r="910">
          <cell r="C910" t="str">
            <v>ES-64973</v>
          </cell>
          <cell r="H910">
            <v>3050</v>
          </cell>
        </row>
        <row r="911">
          <cell r="C911" t="str">
            <v>ES-64971</v>
          </cell>
          <cell r="H911">
            <v>14712.93</v>
          </cell>
        </row>
        <row r="912">
          <cell r="C912" t="str">
            <v>ES-64311</v>
          </cell>
          <cell r="H912">
            <v>6553.45</v>
          </cell>
        </row>
        <row r="913">
          <cell r="C913" t="str">
            <v>ES-64301</v>
          </cell>
          <cell r="H913">
            <v>7002.59</v>
          </cell>
        </row>
        <row r="914">
          <cell r="C914" t="str">
            <v>ES-63121</v>
          </cell>
          <cell r="H914">
            <v>28891.38</v>
          </cell>
        </row>
        <row r="915">
          <cell r="C915" t="str">
            <v>IGU-29304</v>
          </cell>
          <cell r="H915">
            <v>281.89999999999998</v>
          </cell>
        </row>
        <row r="916">
          <cell r="C916" t="str">
            <v>IGU-29303</v>
          </cell>
          <cell r="H916">
            <v>1036.21</v>
          </cell>
        </row>
        <row r="917">
          <cell r="C917" t="str">
            <v>IGU-17005</v>
          </cell>
          <cell r="H917">
            <v>150</v>
          </cell>
        </row>
        <row r="918">
          <cell r="C918" t="str">
            <v>IGU-17004</v>
          </cell>
          <cell r="H918">
            <v>291.38</v>
          </cell>
        </row>
        <row r="919">
          <cell r="C919" t="str">
            <v>IGU-17006</v>
          </cell>
          <cell r="H919">
            <v>102.59</v>
          </cell>
        </row>
        <row r="920">
          <cell r="C920" t="str">
            <v>IGU-17001</v>
          </cell>
          <cell r="H920">
            <v>4232.76</v>
          </cell>
        </row>
        <row r="921">
          <cell r="C921" t="str">
            <v>ES-90743</v>
          </cell>
          <cell r="H921">
            <v>750.86</v>
          </cell>
        </row>
        <row r="922">
          <cell r="C922" t="str">
            <v>ES-76241</v>
          </cell>
          <cell r="H922">
            <v>3366.38</v>
          </cell>
        </row>
        <row r="923">
          <cell r="C923" t="str">
            <v>ES-76204</v>
          </cell>
          <cell r="H923">
            <v>228.45</v>
          </cell>
        </row>
        <row r="924">
          <cell r="C924" t="str">
            <v>ES-76201</v>
          </cell>
          <cell r="H924">
            <v>3470.69</v>
          </cell>
        </row>
        <row r="925">
          <cell r="C925" t="str">
            <v>ES-64790</v>
          </cell>
          <cell r="H925">
            <v>80240.52</v>
          </cell>
        </row>
        <row r="926">
          <cell r="C926" t="str">
            <v>ES-64760</v>
          </cell>
          <cell r="H926">
            <v>76065.52</v>
          </cell>
        </row>
        <row r="927">
          <cell r="C927" t="str">
            <v>VG-50994</v>
          </cell>
          <cell r="H927">
            <v>107.76</v>
          </cell>
        </row>
        <row r="928">
          <cell r="C928" t="str">
            <v>VG-50993</v>
          </cell>
          <cell r="H928">
            <v>299.14</v>
          </cell>
        </row>
        <row r="929">
          <cell r="C929" t="str">
            <v>VG-50991</v>
          </cell>
          <cell r="H929">
            <v>1213.79</v>
          </cell>
        </row>
        <row r="930">
          <cell r="C930" t="str">
            <v>VG-50754</v>
          </cell>
          <cell r="H930">
            <v>107.76</v>
          </cell>
        </row>
        <row r="931">
          <cell r="C931" t="str">
            <v>VG-50753</v>
          </cell>
          <cell r="H931">
            <v>299.14</v>
          </cell>
        </row>
        <row r="932">
          <cell r="C932" t="str">
            <v>VG-50751</v>
          </cell>
          <cell r="H932">
            <v>1213.79</v>
          </cell>
        </row>
        <row r="933">
          <cell r="C933" t="str">
            <v>VG-50734</v>
          </cell>
          <cell r="H933">
            <v>107.76</v>
          </cell>
        </row>
        <row r="934">
          <cell r="C934" t="str">
            <v>VG-50733</v>
          </cell>
          <cell r="H934">
            <v>299.14</v>
          </cell>
        </row>
        <row r="935">
          <cell r="C935" t="str">
            <v>VG-50731</v>
          </cell>
          <cell r="H935">
            <v>1213.79</v>
          </cell>
        </row>
        <row r="936">
          <cell r="C936" t="str">
            <v>VG-50684</v>
          </cell>
          <cell r="H936">
            <v>107.76</v>
          </cell>
        </row>
        <row r="937">
          <cell r="C937" t="str">
            <v>VG-50683</v>
          </cell>
          <cell r="H937">
            <v>299.14</v>
          </cell>
        </row>
        <row r="938">
          <cell r="C938" t="str">
            <v>VG-50681</v>
          </cell>
          <cell r="H938">
            <v>1213.79</v>
          </cell>
        </row>
        <row r="939">
          <cell r="C939" t="str">
            <v>VG-50654</v>
          </cell>
          <cell r="H939">
            <v>107.76</v>
          </cell>
        </row>
        <row r="940">
          <cell r="C940" t="str">
            <v>VG-50653</v>
          </cell>
          <cell r="H940">
            <v>299.14</v>
          </cell>
        </row>
        <row r="941">
          <cell r="C941" t="str">
            <v>VG-50651</v>
          </cell>
          <cell r="H941">
            <v>1213.79</v>
          </cell>
        </row>
        <row r="942">
          <cell r="C942" t="str">
            <v>VG-50614</v>
          </cell>
          <cell r="H942">
            <v>107.76</v>
          </cell>
        </row>
        <row r="943">
          <cell r="C943" t="str">
            <v>VG-50613</v>
          </cell>
          <cell r="H943">
            <v>299.14</v>
          </cell>
        </row>
        <row r="944">
          <cell r="C944" t="str">
            <v>VG-50611</v>
          </cell>
          <cell r="H944">
            <v>1213.79</v>
          </cell>
        </row>
        <row r="945">
          <cell r="C945" t="str">
            <v>VG-50564</v>
          </cell>
          <cell r="H945">
            <v>107.76</v>
          </cell>
        </row>
        <row r="946">
          <cell r="C946" t="str">
            <v>VG-50563</v>
          </cell>
          <cell r="H946">
            <v>299.14</v>
          </cell>
        </row>
        <row r="947">
          <cell r="C947" t="str">
            <v>VG-50561</v>
          </cell>
          <cell r="H947">
            <v>1213.79</v>
          </cell>
        </row>
        <row r="948">
          <cell r="C948" t="str">
            <v>VG-50534</v>
          </cell>
          <cell r="H948">
            <v>107.76</v>
          </cell>
        </row>
        <row r="949">
          <cell r="C949" t="str">
            <v>VG-50533</v>
          </cell>
          <cell r="H949">
            <v>299.14</v>
          </cell>
        </row>
        <row r="950">
          <cell r="C950" t="str">
            <v>VG-50531</v>
          </cell>
          <cell r="H950">
            <v>1213.79</v>
          </cell>
        </row>
        <row r="951">
          <cell r="C951" t="str">
            <v>VG-50454</v>
          </cell>
          <cell r="H951">
            <v>107.76</v>
          </cell>
        </row>
        <row r="952">
          <cell r="C952" t="str">
            <v>VG-50453</v>
          </cell>
          <cell r="H952">
            <v>299.14</v>
          </cell>
        </row>
        <row r="953">
          <cell r="C953" t="str">
            <v>VG-50451</v>
          </cell>
          <cell r="H953">
            <v>1213.79</v>
          </cell>
        </row>
        <row r="954">
          <cell r="C954" t="str">
            <v>VG-50374</v>
          </cell>
          <cell r="H954">
            <v>107.76</v>
          </cell>
        </row>
        <row r="955">
          <cell r="C955" t="str">
            <v>VG-50373</v>
          </cell>
          <cell r="H955">
            <v>299.14</v>
          </cell>
        </row>
        <row r="956">
          <cell r="C956" t="str">
            <v>VG-50371</v>
          </cell>
          <cell r="H956">
            <v>1213.79</v>
          </cell>
        </row>
        <row r="957">
          <cell r="C957" t="str">
            <v>VG-50354</v>
          </cell>
          <cell r="H957">
            <v>107.76</v>
          </cell>
        </row>
        <row r="958">
          <cell r="C958" t="str">
            <v>VG-50353</v>
          </cell>
          <cell r="H958">
            <v>299.14</v>
          </cell>
        </row>
        <row r="959">
          <cell r="C959" t="str">
            <v>VG-50351</v>
          </cell>
          <cell r="H959">
            <v>1213.79</v>
          </cell>
        </row>
        <row r="960">
          <cell r="C960" t="str">
            <v>VG-50264</v>
          </cell>
          <cell r="H960">
            <v>107.76</v>
          </cell>
        </row>
        <row r="961">
          <cell r="C961" t="str">
            <v>VG-50263</v>
          </cell>
          <cell r="H961">
            <v>299.14</v>
          </cell>
        </row>
        <row r="962">
          <cell r="C962" t="str">
            <v>VG-50261</v>
          </cell>
          <cell r="H962">
            <v>1213.79</v>
          </cell>
        </row>
        <row r="963">
          <cell r="C963" t="str">
            <v>VG-50214</v>
          </cell>
          <cell r="H963">
            <v>107.76</v>
          </cell>
        </row>
        <row r="964">
          <cell r="C964" t="str">
            <v>VG-50213</v>
          </cell>
          <cell r="H964">
            <v>299.14</v>
          </cell>
        </row>
        <row r="965">
          <cell r="C965" t="str">
            <v>VG-50211</v>
          </cell>
          <cell r="H965">
            <v>1213.79</v>
          </cell>
        </row>
        <row r="966">
          <cell r="C966" t="str">
            <v>VG-50134</v>
          </cell>
          <cell r="H966">
            <v>107.76</v>
          </cell>
        </row>
        <row r="967">
          <cell r="C967" t="str">
            <v>VG-50133</v>
          </cell>
          <cell r="H967">
            <v>299.14</v>
          </cell>
        </row>
        <row r="968">
          <cell r="C968" t="str">
            <v>VG-50131</v>
          </cell>
          <cell r="H968">
            <v>1213.79</v>
          </cell>
        </row>
        <row r="969">
          <cell r="C969" t="str">
            <v>VG-50004</v>
          </cell>
          <cell r="H969">
            <v>107.76</v>
          </cell>
        </row>
        <row r="970">
          <cell r="C970" t="str">
            <v>VG-50003</v>
          </cell>
          <cell r="H970">
            <v>299.14</v>
          </cell>
        </row>
        <row r="971">
          <cell r="C971" t="str">
            <v>VG-50001</v>
          </cell>
          <cell r="H971">
            <v>1213.79</v>
          </cell>
        </row>
        <row r="972">
          <cell r="C972" t="str">
            <v>VG-30773</v>
          </cell>
          <cell r="H972">
            <v>219.83</v>
          </cell>
        </row>
        <row r="973">
          <cell r="C973" t="str">
            <v>VG-30771</v>
          </cell>
          <cell r="H973">
            <v>874.14</v>
          </cell>
        </row>
        <row r="974">
          <cell r="C974" t="str">
            <v>VG-30753</v>
          </cell>
          <cell r="H974">
            <v>219.83</v>
          </cell>
        </row>
        <row r="975">
          <cell r="C975" t="str">
            <v>VG-30751</v>
          </cell>
          <cell r="H975">
            <v>874.14</v>
          </cell>
        </row>
        <row r="976">
          <cell r="C976" t="str">
            <v>VG-30653</v>
          </cell>
          <cell r="H976">
            <v>219.83</v>
          </cell>
        </row>
        <row r="977">
          <cell r="C977" t="str">
            <v>VG-30651</v>
          </cell>
          <cell r="H977">
            <v>874.14</v>
          </cell>
        </row>
        <row r="978">
          <cell r="C978" t="str">
            <v>VG-30613</v>
          </cell>
          <cell r="H978">
            <v>219.83</v>
          </cell>
        </row>
        <row r="979">
          <cell r="C979" t="str">
            <v>VG-30611</v>
          </cell>
          <cell r="H979">
            <v>874.14</v>
          </cell>
        </row>
        <row r="980">
          <cell r="C980" t="str">
            <v>VG-30563</v>
          </cell>
          <cell r="H980">
            <v>237.07</v>
          </cell>
        </row>
        <row r="981">
          <cell r="C981" t="str">
            <v>VG-30561</v>
          </cell>
          <cell r="H981">
            <v>967.24</v>
          </cell>
        </row>
        <row r="982">
          <cell r="C982" t="str">
            <v>VG-30443</v>
          </cell>
          <cell r="H982">
            <v>219.83</v>
          </cell>
        </row>
        <row r="983">
          <cell r="C983" t="str">
            <v>VG-30441</v>
          </cell>
          <cell r="H983">
            <v>874.14</v>
          </cell>
        </row>
        <row r="984">
          <cell r="C984" t="str">
            <v>VG-30423</v>
          </cell>
          <cell r="H984">
            <v>219.83</v>
          </cell>
        </row>
        <row r="985">
          <cell r="C985" t="str">
            <v>VG-30421</v>
          </cell>
          <cell r="H985">
            <v>874.14</v>
          </cell>
        </row>
        <row r="986">
          <cell r="C986" t="str">
            <v>VG-30323</v>
          </cell>
          <cell r="H986">
            <v>219.83</v>
          </cell>
        </row>
        <row r="987">
          <cell r="C987" t="str">
            <v>VG-30321</v>
          </cell>
          <cell r="H987">
            <v>874.14</v>
          </cell>
        </row>
        <row r="988">
          <cell r="C988" t="str">
            <v>VG-30263</v>
          </cell>
          <cell r="H988">
            <v>237.07</v>
          </cell>
        </row>
        <row r="989">
          <cell r="C989" t="str">
            <v>VG-30261</v>
          </cell>
          <cell r="H989">
            <v>967.24</v>
          </cell>
        </row>
        <row r="990">
          <cell r="C990" t="str">
            <v>VG-30223</v>
          </cell>
          <cell r="H990">
            <v>219.83</v>
          </cell>
        </row>
        <row r="991">
          <cell r="C991" t="str">
            <v>VG-30221</v>
          </cell>
          <cell r="H991">
            <v>874.14</v>
          </cell>
        </row>
        <row r="992">
          <cell r="C992" t="str">
            <v>VG-30213</v>
          </cell>
          <cell r="H992">
            <v>219.83</v>
          </cell>
        </row>
        <row r="993">
          <cell r="C993" t="str">
            <v>VG-30211</v>
          </cell>
          <cell r="H993">
            <v>874.14</v>
          </cell>
        </row>
        <row r="994">
          <cell r="C994" t="str">
            <v>VG-30123</v>
          </cell>
          <cell r="H994">
            <v>219.83</v>
          </cell>
        </row>
        <row r="995">
          <cell r="C995" t="str">
            <v>VG-30121</v>
          </cell>
          <cell r="H995">
            <v>874.14</v>
          </cell>
        </row>
        <row r="996">
          <cell r="C996" t="str">
            <v>VG-30004</v>
          </cell>
          <cell r="H996">
            <v>80.17</v>
          </cell>
        </row>
        <row r="997">
          <cell r="C997" t="str">
            <v>VG-30003</v>
          </cell>
          <cell r="H997">
            <v>219.83</v>
          </cell>
        </row>
        <row r="998">
          <cell r="C998" t="str">
            <v>VG-30001</v>
          </cell>
          <cell r="H998">
            <v>874.14</v>
          </cell>
        </row>
        <row r="999">
          <cell r="C999" t="str">
            <v>TP-0256</v>
          </cell>
          <cell r="H999">
            <v>591.38</v>
          </cell>
        </row>
        <row r="1000">
          <cell r="C1000" t="str">
            <v>TP-0248</v>
          </cell>
          <cell r="H1000">
            <v>665.52</v>
          </cell>
        </row>
        <row r="1001">
          <cell r="C1001" t="str">
            <v>TP-0231</v>
          </cell>
          <cell r="H1001">
            <v>526.72</v>
          </cell>
        </row>
        <row r="1002">
          <cell r="C1002" t="str">
            <v>TP-0229</v>
          </cell>
          <cell r="H1002">
            <v>701.72</v>
          </cell>
        </row>
        <row r="1003">
          <cell r="C1003" t="str">
            <v>TP-0213</v>
          </cell>
          <cell r="H1003">
            <v>51.72</v>
          </cell>
        </row>
        <row r="1004">
          <cell r="C1004" t="str">
            <v>TP-0212</v>
          </cell>
          <cell r="H1004">
            <v>51.72</v>
          </cell>
        </row>
        <row r="1005">
          <cell r="C1005" t="str">
            <v>TP-0210</v>
          </cell>
          <cell r="H1005">
            <v>51.72</v>
          </cell>
        </row>
        <row r="1006">
          <cell r="C1006" t="str">
            <v>TP-0187</v>
          </cell>
          <cell r="H1006">
            <v>22.41</v>
          </cell>
        </row>
        <row r="1007">
          <cell r="C1007" t="str">
            <v>TP-0186</v>
          </cell>
          <cell r="H1007">
            <v>23.28</v>
          </cell>
        </row>
        <row r="1008">
          <cell r="C1008" t="str">
            <v>TP-0183</v>
          </cell>
          <cell r="H1008">
            <v>271.55</v>
          </cell>
        </row>
        <row r="1009">
          <cell r="C1009" t="str">
            <v>TP-0180</v>
          </cell>
          <cell r="H1009">
            <v>49.14</v>
          </cell>
        </row>
        <row r="1010">
          <cell r="C1010" t="str">
            <v>TP-0172</v>
          </cell>
          <cell r="H1010">
            <v>7.76</v>
          </cell>
        </row>
        <row r="1011">
          <cell r="C1011" t="str">
            <v>TP-0171</v>
          </cell>
          <cell r="H1011">
            <v>13.79</v>
          </cell>
        </row>
        <row r="1012">
          <cell r="C1012" t="str">
            <v>TP-0166</v>
          </cell>
          <cell r="H1012">
            <v>276.72000000000003</v>
          </cell>
        </row>
        <row r="1013">
          <cell r="C1013" t="str">
            <v>TP-0162</v>
          </cell>
          <cell r="H1013">
            <v>133.62</v>
          </cell>
        </row>
        <row r="1014">
          <cell r="C1014" t="str">
            <v>TP-0159</v>
          </cell>
          <cell r="H1014">
            <v>40.520000000000003</v>
          </cell>
        </row>
        <row r="1015">
          <cell r="C1015" t="str">
            <v>TP-0158</v>
          </cell>
          <cell r="H1015">
            <v>77.59</v>
          </cell>
        </row>
        <row r="1016">
          <cell r="C1016" t="str">
            <v>TP-0156</v>
          </cell>
          <cell r="H1016">
            <v>63.79</v>
          </cell>
        </row>
        <row r="1017">
          <cell r="C1017" t="str">
            <v>TP-0155</v>
          </cell>
          <cell r="H1017">
            <v>35.340000000000003</v>
          </cell>
        </row>
        <row r="1018">
          <cell r="C1018" t="str">
            <v>TP-0153</v>
          </cell>
          <cell r="H1018">
            <v>104.31</v>
          </cell>
        </row>
        <row r="1019">
          <cell r="C1019" t="str">
            <v>TP-0145</v>
          </cell>
          <cell r="H1019">
            <v>125</v>
          </cell>
        </row>
        <row r="1020">
          <cell r="C1020" t="str">
            <v>TP-0142</v>
          </cell>
          <cell r="H1020">
            <v>189.66</v>
          </cell>
        </row>
        <row r="1021">
          <cell r="C1021" t="str">
            <v>TP-0127</v>
          </cell>
          <cell r="H1021">
            <v>6.03</v>
          </cell>
        </row>
        <row r="1022">
          <cell r="C1022" t="str">
            <v>TP-0126</v>
          </cell>
          <cell r="H1022">
            <v>7.76</v>
          </cell>
        </row>
        <row r="1023">
          <cell r="C1023" t="str">
            <v>TP-0125</v>
          </cell>
          <cell r="H1023">
            <v>10.34</v>
          </cell>
        </row>
        <row r="1024">
          <cell r="C1024" t="str">
            <v>TP-0123</v>
          </cell>
          <cell r="H1024">
            <v>18.100000000000001</v>
          </cell>
        </row>
        <row r="1025">
          <cell r="C1025" t="str">
            <v>TP-0121</v>
          </cell>
          <cell r="H1025">
            <v>65.52</v>
          </cell>
        </row>
        <row r="1026">
          <cell r="C1026" t="str">
            <v>TP-0119</v>
          </cell>
          <cell r="H1026">
            <v>151.72</v>
          </cell>
        </row>
        <row r="1027">
          <cell r="C1027" t="str">
            <v>TP-0109</v>
          </cell>
          <cell r="H1027">
            <v>23.28</v>
          </cell>
        </row>
        <row r="1028">
          <cell r="C1028" t="str">
            <v>TP-0108</v>
          </cell>
          <cell r="H1028">
            <v>29.31</v>
          </cell>
        </row>
        <row r="1029">
          <cell r="C1029" t="str">
            <v>TP-0106</v>
          </cell>
          <cell r="H1029">
            <v>20.69</v>
          </cell>
        </row>
        <row r="1030">
          <cell r="C1030" t="str">
            <v>TP-0105</v>
          </cell>
          <cell r="H1030">
            <v>14.66</v>
          </cell>
        </row>
        <row r="1031">
          <cell r="C1031" t="str">
            <v>TP-0103</v>
          </cell>
          <cell r="H1031">
            <v>138.79</v>
          </cell>
        </row>
        <row r="1032">
          <cell r="C1032" t="str">
            <v>TP-0094</v>
          </cell>
          <cell r="H1032">
            <v>56.9</v>
          </cell>
        </row>
        <row r="1033">
          <cell r="C1033" t="str">
            <v>TP-0088</v>
          </cell>
          <cell r="H1033">
            <v>54.31</v>
          </cell>
        </row>
        <row r="1034">
          <cell r="C1034" t="str">
            <v>TP-0076</v>
          </cell>
          <cell r="H1034">
            <v>1840.52</v>
          </cell>
        </row>
        <row r="1035">
          <cell r="C1035" t="str">
            <v>TP-0044</v>
          </cell>
          <cell r="H1035">
            <v>1675</v>
          </cell>
        </row>
        <row r="1036">
          <cell r="C1036" t="str">
            <v>TP-0042</v>
          </cell>
          <cell r="H1036">
            <v>72.41</v>
          </cell>
        </row>
        <row r="1037">
          <cell r="C1037" t="str">
            <v>TP-0035</v>
          </cell>
          <cell r="H1037">
            <v>136.21</v>
          </cell>
        </row>
        <row r="1038">
          <cell r="C1038" t="str">
            <v>TP-0031</v>
          </cell>
          <cell r="H1038">
            <v>108.62</v>
          </cell>
        </row>
        <row r="1039">
          <cell r="C1039" t="str">
            <v>TP-0027</v>
          </cell>
          <cell r="H1039">
            <v>271.55</v>
          </cell>
        </row>
        <row r="1040">
          <cell r="C1040" t="str">
            <v>TP-0020</v>
          </cell>
          <cell r="H1040">
            <v>111.21</v>
          </cell>
        </row>
        <row r="1041">
          <cell r="C1041" t="str">
            <v>TH-0517</v>
          </cell>
          <cell r="H1041">
            <v>4.3099999999999996</v>
          </cell>
        </row>
        <row r="1042">
          <cell r="C1042" t="str">
            <v>TH-0512</v>
          </cell>
          <cell r="H1042">
            <v>36.21</v>
          </cell>
        </row>
        <row r="1043">
          <cell r="C1043" t="str">
            <v>TH-0510</v>
          </cell>
          <cell r="H1043">
            <v>23.28</v>
          </cell>
        </row>
        <row r="1044">
          <cell r="C1044" t="str">
            <v>TH-0503</v>
          </cell>
          <cell r="H1044">
            <v>4.3099999999999996</v>
          </cell>
        </row>
        <row r="1045">
          <cell r="C1045" t="str">
            <v>TH-0501</v>
          </cell>
          <cell r="H1045">
            <v>148.28</v>
          </cell>
        </row>
        <row r="1046">
          <cell r="C1046" t="str">
            <v>TH-0500</v>
          </cell>
          <cell r="H1046">
            <v>35.340000000000003</v>
          </cell>
        </row>
        <row r="1047">
          <cell r="C1047" t="str">
            <v>TH-0495</v>
          </cell>
          <cell r="H1047">
            <v>31.03</v>
          </cell>
        </row>
        <row r="1048">
          <cell r="C1048" t="str">
            <v>TH-0486</v>
          </cell>
          <cell r="H1048">
            <v>51.72</v>
          </cell>
        </row>
        <row r="1049">
          <cell r="C1049" t="str">
            <v>TH-0485</v>
          </cell>
          <cell r="H1049">
            <v>55.17</v>
          </cell>
        </row>
        <row r="1050">
          <cell r="C1050" t="str">
            <v>TH-0484</v>
          </cell>
          <cell r="H1050">
            <v>40.520000000000003</v>
          </cell>
        </row>
        <row r="1051">
          <cell r="C1051" t="str">
            <v>TH-0371</v>
          </cell>
          <cell r="H1051">
            <v>44.83</v>
          </cell>
        </row>
        <row r="1052">
          <cell r="C1052" t="str">
            <v>TH-0361</v>
          </cell>
          <cell r="H1052">
            <v>50</v>
          </cell>
        </row>
        <row r="1053">
          <cell r="C1053" t="str">
            <v>TH-0360</v>
          </cell>
          <cell r="H1053">
            <v>66.38</v>
          </cell>
        </row>
        <row r="1054">
          <cell r="C1054" t="str">
            <v>TH-0235</v>
          </cell>
          <cell r="H1054">
            <v>9.48</v>
          </cell>
        </row>
        <row r="1055">
          <cell r="C1055" t="str">
            <v>TH-0220</v>
          </cell>
          <cell r="H1055">
            <v>23.28</v>
          </cell>
        </row>
        <row r="1056">
          <cell r="C1056" t="str">
            <v>TH-0216</v>
          </cell>
          <cell r="H1056">
            <v>66.38</v>
          </cell>
        </row>
        <row r="1057">
          <cell r="C1057" t="str">
            <v>TH-0198</v>
          </cell>
          <cell r="H1057">
            <v>36.21</v>
          </cell>
        </row>
        <row r="1058">
          <cell r="C1058" t="str">
            <v>TH-0182</v>
          </cell>
          <cell r="H1058">
            <v>24.14</v>
          </cell>
        </row>
        <row r="1059">
          <cell r="C1059" t="str">
            <v>TH-0117</v>
          </cell>
          <cell r="H1059">
            <v>31.03</v>
          </cell>
        </row>
        <row r="1060">
          <cell r="C1060" t="str">
            <v>TH-0115</v>
          </cell>
          <cell r="H1060">
            <v>38.79</v>
          </cell>
        </row>
        <row r="1061">
          <cell r="C1061" t="str">
            <v>TH-0114</v>
          </cell>
          <cell r="H1061">
            <v>30.17</v>
          </cell>
        </row>
        <row r="1062">
          <cell r="C1062" t="str">
            <v>TH-0108</v>
          </cell>
          <cell r="H1062">
            <v>55.17</v>
          </cell>
        </row>
        <row r="1063">
          <cell r="C1063" t="str">
            <v>TH-0103</v>
          </cell>
          <cell r="H1063">
            <v>44.83</v>
          </cell>
        </row>
        <row r="1064">
          <cell r="C1064" t="str">
            <v>TH-0102</v>
          </cell>
          <cell r="H1064">
            <v>44.83</v>
          </cell>
        </row>
        <row r="1065">
          <cell r="C1065" t="str">
            <v>TH-0095</v>
          </cell>
          <cell r="H1065">
            <v>39.659999999999997</v>
          </cell>
        </row>
        <row r="1066">
          <cell r="C1066" t="str">
            <v>TH-0094</v>
          </cell>
          <cell r="H1066">
            <v>39.659999999999997</v>
          </cell>
        </row>
        <row r="1067">
          <cell r="C1067" t="str">
            <v>TH-0089</v>
          </cell>
          <cell r="H1067">
            <v>58.62</v>
          </cell>
        </row>
        <row r="1068">
          <cell r="C1068" t="str">
            <v>TH-0088</v>
          </cell>
          <cell r="H1068">
            <v>35.340000000000003</v>
          </cell>
        </row>
        <row r="1069">
          <cell r="C1069" t="str">
            <v>TH-0086</v>
          </cell>
          <cell r="H1069">
            <v>10.34</v>
          </cell>
        </row>
        <row r="1070">
          <cell r="C1070" t="str">
            <v>TH-0083</v>
          </cell>
          <cell r="H1070">
            <v>93.1</v>
          </cell>
        </row>
        <row r="1071">
          <cell r="C1071" t="str">
            <v>TH-0081</v>
          </cell>
          <cell r="H1071">
            <v>44.83</v>
          </cell>
        </row>
        <row r="1072">
          <cell r="C1072" t="str">
            <v>TH-0073</v>
          </cell>
          <cell r="H1072">
            <v>91.38</v>
          </cell>
        </row>
        <row r="1073">
          <cell r="C1073" t="str">
            <v>TH-0045</v>
          </cell>
          <cell r="H1073">
            <v>268.10000000000002</v>
          </cell>
        </row>
        <row r="1074">
          <cell r="C1074" t="str">
            <v>TH-0043</v>
          </cell>
          <cell r="H1074">
            <v>47.41</v>
          </cell>
        </row>
        <row r="1075">
          <cell r="C1075" t="str">
            <v>TH-0035</v>
          </cell>
          <cell r="H1075">
            <v>42.24</v>
          </cell>
        </row>
        <row r="1076">
          <cell r="C1076" t="str">
            <v>TH-0034</v>
          </cell>
          <cell r="H1076">
            <v>42.24</v>
          </cell>
        </row>
        <row r="1077">
          <cell r="C1077" t="str">
            <v>TH-0032</v>
          </cell>
          <cell r="H1077">
            <v>43.1</v>
          </cell>
        </row>
        <row r="1078">
          <cell r="C1078" t="str">
            <v>TH-0031</v>
          </cell>
          <cell r="H1078">
            <v>43.1</v>
          </cell>
        </row>
        <row r="1079">
          <cell r="C1079" t="str">
            <v>TH-0024</v>
          </cell>
          <cell r="H1079">
            <v>18.100000000000001</v>
          </cell>
        </row>
        <row r="1080">
          <cell r="C1080" t="str">
            <v>TH-0021</v>
          </cell>
          <cell r="H1080">
            <v>32.76</v>
          </cell>
        </row>
        <row r="1081">
          <cell r="C1081" t="str">
            <v>TH-0020</v>
          </cell>
          <cell r="H1081">
            <v>67.239999999999995</v>
          </cell>
        </row>
        <row r="1082">
          <cell r="C1082" t="str">
            <v>TH-0004</v>
          </cell>
          <cell r="H1082">
            <v>164.66</v>
          </cell>
        </row>
        <row r="1083">
          <cell r="C1083" t="str">
            <v>TH-0001</v>
          </cell>
          <cell r="H1083">
            <v>70.69</v>
          </cell>
        </row>
        <row r="1084">
          <cell r="C1084" t="str">
            <v>TC-0003</v>
          </cell>
          <cell r="H1084">
            <v>2058.62</v>
          </cell>
        </row>
        <row r="1085">
          <cell r="C1085" t="str">
            <v>T-13743</v>
          </cell>
          <cell r="H1085">
            <v>870.69</v>
          </cell>
        </row>
        <row r="1086">
          <cell r="C1086" t="str">
            <v>T-13741</v>
          </cell>
          <cell r="H1086">
            <v>3615.52</v>
          </cell>
        </row>
        <row r="1087">
          <cell r="C1087" t="str">
            <v>T-13740</v>
          </cell>
          <cell r="H1087">
            <v>37958.620000000003</v>
          </cell>
        </row>
        <row r="1088">
          <cell r="C1088" t="str">
            <v>T-13731</v>
          </cell>
          <cell r="H1088">
            <v>3387.93</v>
          </cell>
        </row>
        <row r="1089">
          <cell r="C1089" t="str">
            <v>T-13730</v>
          </cell>
          <cell r="H1089">
            <v>35555.17</v>
          </cell>
        </row>
        <row r="1090">
          <cell r="C1090" t="str">
            <v>T-13721</v>
          </cell>
          <cell r="H1090">
            <v>3618.1</v>
          </cell>
        </row>
        <row r="1091">
          <cell r="C1091" t="str">
            <v>T-13541</v>
          </cell>
          <cell r="H1091">
            <v>3162.93</v>
          </cell>
        </row>
        <row r="1092">
          <cell r="C1092" t="str">
            <v>T-13001</v>
          </cell>
          <cell r="H1092">
            <v>2499.14</v>
          </cell>
        </row>
        <row r="1093">
          <cell r="C1093" t="str">
            <v>STR-5970451</v>
          </cell>
          <cell r="H1093">
            <v>8103.45</v>
          </cell>
        </row>
        <row r="1094">
          <cell r="C1094" t="str">
            <v>STR-5960111</v>
          </cell>
          <cell r="H1094">
            <v>8103.45</v>
          </cell>
        </row>
        <row r="1095">
          <cell r="C1095" t="str">
            <v>STR-5590101</v>
          </cell>
          <cell r="H1095">
            <v>7225.86</v>
          </cell>
        </row>
        <row r="1096">
          <cell r="C1096" t="str">
            <v>STR-5590041</v>
          </cell>
          <cell r="H1096">
            <v>7225.86</v>
          </cell>
        </row>
        <row r="1097">
          <cell r="C1097" t="str">
            <v>STR-5570111</v>
          </cell>
          <cell r="H1097">
            <v>7225.86</v>
          </cell>
        </row>
        <row r="1098">
          <cell r="C1098" t="str">
            <v>STR-5560261</v>
          </cell>
          <cell r="H1098">
            <v>7225.86</v>
          </cell>
        </row>
        <row r="1099">
          <cell r="C1099" t="str">
            <v>STR-5550091</v>
          </cell>
          <cell r="H1099">
            <v>7225.86</v>
          </cell>
        </row>
        <row r="1100">
          <cell r="C1100" t="str">
            <v>STI-860573</v>
          </cell>
          <cell r="H1100">
            <v>1080.17</v>
          </cell>
        </row>
        <row r="1101">
          <cell r="C1101" t="str">
            <v>STI-59803</v>
          </cell>
          <cell r="H1101">
            <v>2147.41</v>
          </cell>
        </row>
        <row r="1102">
          <cell r="C1102" t="str">
            <v>STI-59801</v>
          </cell>
          <cell r="H1102">
            <v>7717.24</v>
          </cell>
        </row>
        <row r="1103">
          <cell r="C1103" t="str">
            <v>STI-5970021</v>
          </cell>
          <cell r="H1103">
            <v>8103.45</v>
          </cell>
        </row>
        <row r="1104">
          <cell r="C1104" t="str">
            <v>STI-5970011</v>
          </cell>
          <cell r="H1104">
            <v>8103.45</v>
          </cell>
        </row>
        <row r="1105">
          <cell r="C1105" t="str">
            <v>STI-5960063</v>
          </cell>
          <cell r="H1105">
            <v>2254.31</v>
          </cell>
        </row>
        <row r="1106">
          <cell r="C1106" t="str">
            <v>STI-5960051</v>
          </cell>
          <cell r="H1106">
            <v>8103.45</v>
          </cell>
        </row>
        <row r="1107">
          <cell r="C1107" t="str">
            <v>STI-5960043</v>
          </cell>
          <cell r="H1107">
            <v>2254.31</v>
          </cell>
        </row>
        <row r="1108">
          <cell r="C1108" t="str">
            <v>STI-5960033</v>
          </cell>
          <cell r="H1108">
            <v>2254.31</v>
          </cell>
        </row>
        <row r="1109">
          <cell r="C1109" t="str">
            <v>STI-5960021</v>
          </cell>
          <cell r="H1109">
            <v>8103.45</v>
          </cell>
        </row>
        <row r="1110">
          <cell r="C1110" t="str">
            <v>STI-5960013</v>
          </cell>
          <cell r="H1110">
            <v>2254.31</v>
          </cell>
        </row>
        <row r="1111">
          <cell r="C1111" t="str">
            <v>STI-5950023</v>
          </cell>
          <cell r="H1111">
            <v>2254.31</v>
          </cell>
        </row>
        <row r="1112">
          <cell r="C1112" t="str">
            <v>STI-5950011</v>
          </cell>
          <cell r="H1112">
            <v>8103.45</v>
          </cell>
        </row>
        <row r="1113">
          <cell r="C1113" t="str">
            <v>STI-5930013</v>
          </cell>
          <cell r="H1113">
            <v>2254.31</v>
          </cell>
        </row>
        <row r="1114">
          <cell r="C1114" t="str">
            <v>STI-5920013</v>
          </cell>
          <cell r="H1114">
            <v>2254.31</v>
          </cell>
        </row>
        <row r="1115">
          <cell r="C1115" t="str">
            <v>STI-5920011</v>
          </cell>
          <cell r="H1115">
            <v>8103.45</v>
          </cell>
        </row>
        <row r="1116">
          <cell r="C1116" t="str">
            <v>STI-5910031</v>
          </cell>
          <cell r="H1116">
            <v>8103.45</v>
          </cell>
        </row>
        <row r="1117">
          <cell r="C1117" t="str">
            <v>STI-5910023</v>
          </cell>
          <cell r="H1117">
            <v>2254.31</v>
          </cell>
        </row>
        <row r="1118">
          <cell r="C1118" t="str">
            <v>STI-5910013</v>
          </cell>
          <cell r="H1118">
            <v>2254.31</v>
          </cell>
        </row>
        <row r="1119">
          <cell r="C1119" t="str">
            <v>STI-59003</v>
          </cell>
          <cell r="H1119">
            <v>2147.41</v>
          </cell>
        </row>
        <row r="1120">
          <cell r="C1120" t="str">
            <v>STI-59001</v>
          </cell>
          <cell r="H1120">
            <v>7717.24</v>
          </cell>
        </row>
        <row r="1121">
          <cell r="C1121" t="str">
            <v>STI-55803</v>
          </cell>
          <cell r="H1121">
            <v>2154.31</v>
          </cell>
        </row>
        <row r="1122">
          <cell r="C1122" t="str">
            <v>STI-55801</v>
          </cell>
          <cell r="H1122">
            <v>6881.9</v>
          </cell>
        </row>
        <row r="1123">
          <cell r="C1123" t="str">
            <v>VG-30754</v>
          </cell>
          <cell r="H1123">
            <v>80.17</v>
          </cell>
        </row>
        <row r="1124">
          <cell r="C1124" t="str">
            <v>TH-0513</v>
          </cell>
          <cell r="H1124">
            <v>68.97</v>
          </cell>
        </row>
        <row r="1125">
          <cell r="C1125" t="str">
            <v>TH-0511</v>
          </cell>
          <cell r="H1125">
            <v>14.66</v>
          </cell>
        </row>
        <row r="1126">
          <cell r="C1126" t="str">
            <v>TH-0509</v>
          </cell>
          <cell r="H1126">
            <v>45.69</v>
          </cell>
        </row>
        <row r="1127">
          <cell r="C1127" t="str">
            <v>TH-0508</v>
          </cell>
          <cell r="H1127">
            <v>20.69</v>
          </cell>
        </row>
        <row r="1128">
          <cell r="C1128" t="str">
            <v>TH-0505</v>
          </cell>
          <cell r="H1128">
            <v>13.79</v>
          </cell>
        </row>
        <row r="1129">
          <cell r="C1129" t="str">
            <v>TH-0502</v>
          </cell>
          <cell r="H1129">
            <v>23.28</v>
          </cell>
        </row>
        <row r="1130">
          <cell r="C1130" t="str">
            <v>TH-0488</v>
          </cell>
          <cell r="H1130">
            <v>15.52</v>
          </cell>
        </row>
        <row r="1131">
          <cell r="C1131" t="str">
            <v>TH-0482</v>
          </cell>
          <cell r="H1131">
            <v>60.34</v>
          </cell>
        </row>
        <row r="1132">
          <cell r="C1132" t="str">
            <v>TH-0466</v>
          </cell>
          <cell r="H1132">
            <v>17.239999999999998</v>
          </cell>
        </row>
        <row r="1133">
          <cell r="C1133" t="str">
            <v>TH-0374</v>
          </cell>
          <cell r="H1133">
            <v>64.66</v>
          </cell>
        </row>
        <row r="1134">
          <cell r="C1134" t="str">
            <v>TH-0373</v>
          </cell>
          <cell r="H1134">
            <v>87.93</v>
          </cell>
        </row>
        <row r="1135">
          <cell r="C1135" t="str">
            <v>TH-0370</v>
          </cell>
          <cell r="H1135">
            <v>40.520000000000003</v>
          </cell>
        </row>
        <row r="1136">
          <cell r="C1136" t="str">
            <v>TH-0369</v>
          </cell>
          <cell r="H1136">
            <v>56.03</v>
          </cell>
        </row>
        <row r="1137">
          <cell r="C1137" t="str">
            <v>TH-0359</v>
          </cell>
          <cell r="H1137">
            <v>63.79</v>
          </cell>
        </row>
        <row r="1138">
          <cell r="C1138" t="str">
            <v>TH-0297</v>
          </cell>
          <cell r="H1138">
            <v>31.9</v>
          </cell>
        </row>
        <row r="1139">
          <cell r="C1139" t="str">
            <v>TH-0295</v>
          </cell>
          <cell r="H1139">
            <v>23.28</v>
          </cell>
        </row>
        <row r="1140">
          <cell r="C1140" t="str">
            <v>TH-0285</v>
          </cell>
          <cell r="H1140">
            <v>126.72</v>
          </cell>
        </row>
        <row r="1141">
          <cell r="C1141" t="str">
            <v>TH-0284</v>
          </cell>
          <cell r="H1141">
            <v>93.97</v>
          </cell>
        </row>
        <row r="1142">
          <cell r="C1142" t="str">
            <v>TH-0243</v>
          </cell>
          <cell r="H1142">
            <v>13.79</v>
          </cell>
        </row>
        <row r="1143">
          <cell r="C1143" t="str">
            <v>TH-0242</v>
          </cell>
          <cell r="H1143">
            <v>13.79</v>
          </cell>
        </row>
        <row r="1144">
          <cell r="C1144" t="str">
            <v>TH-0229</v>
          </cell>
          <cell r="H1144">
            <v>6.03</v>
          </cell>
        </row>
        <row r="1145">
          <cell r="C1145" t="str">
            <v>TH-0213</v>
          </cell>
          <cell r="H1145">
            <v>31.9</v>
          </cell>
        </row>
        <row r="1146">
          <cell r="C1146" t="str">
            <v>TH-0209</v>
          </cell>
          <cell r="H1146">
            <v>39.659999999999997</v>
          </cell>
        </row>
        <row r="1147">
          <cell r="C1147" t="str">
            <v>TH-0208</v>
          </cell>
          <cell r="H1147">
            <v>39.659999999999997</v>
          </cell>
        </row>
        <row r="1148">
          <cell r="C1148" t="str">
            <v>TH-0207</v>
          </cell>
          <cell r="H1148">
            <v>39.659999999999997</v>
          </cell>
        </row>
        <row r="1149">
          <cell r="C1149" t="str">
            <v>TH-0206</v>
          </cell>
          <cell r="H1149">
            <v>38.79</v>
          </cell>
        </row>
        <row r="1150">
          <cell r="C1150" t="str">
            <v>TH-0200</v>
          </cell>
          <cell r="H1150">
            <v>106.03</v>
          </cell>
        </row>
        <row r="1151">
          <cell r="C1151" t="str">
            <v>TH-0197</v>
          </cell>
          <cell r="H1151">
            <v>82.76</v>
          </cell>
        </row>
        <row r="1152">
          <cell r="C1152" t="str">
            <v>TH-0194</v>
          </cell>
          <cell r="H1152">
            <v>176.72</v>
          </cell>
        </row>
        <row r="1153">
          <cell r="C1153" t="str">
            <v>TH-0192</v>
          </cell>
          <cell r="H1153">
            <v>488.79</v>
          </cell>
        </row>
        <row r="1154">
          <cell r="C1154" t="str">
            <v>TH-0186</v>
          </cell>
          <cell r="H1154">
            <v>62.93</v>
          </cell>
        </row>
        <row r="1155">
          <cell r="C1155" t="str">
            <v>TH-0181</v>
          </cell>
          <cell r="H1155">
            <v>62.93</v>
          </cell>
        </row>
        <row r="1156">
          <cell r="C1156" t="str">
            <v>TH-0174</v>
          </cell>
          <cell r="H1156">
            <v>20.69</v>
          </cell>
        </row>
        <row r="1157">
          <cell r="C1157" t="str">
            <v>TH-0173</v>
          </cell>
          <cell r="H1157">
            <v>15.52</v>
          </cell>
        </row>
        <row r="1158">
          <cell r="C1158" t="str">
            <v>TH-0140</v>
          </cell>
          <cell r="H1158">
            <v>156.9</v>
          </cell>
        </row>
        <row r="1159">
          <cell r="C1159" t="str">
            <v>TH-0124</v>
          </cell>
          <cell r="H1159">
            <v>20.69</v>
          </cell>
        </row>
        <row r="1160">
          <cell r="C1160" t="str">
            <v>TH-0123</v>
          </cell>
          <cell r="H1160">
            <v>17.239999999999998</v>
          </cell>
        </row>
        <row r="1161">
          <cell r="C1161" t="str">
            <v>TH-0116</v>
          </cell>
          <cell r="H1161">
            <v>23.28</v>
          </cell>
        </row>
        <row r="1162">
          <cell r="C1162" t="str">
            <v>TH-0111</v>
          </cell>
          <cell r="H1162">
            <v>111.21</v>
          </cell>
        </row>
        <row r="1163">
          <cell r="C1163" t="str">
            <v>TH-0109</v>
          </cell>
          <cell r="H1163">
            <v>93.1</v>
          </cell>
        </row>
        <row r="1164">
          <cell r="C1164" t="str">
            <v>TH-0085</v>
          </cell>
          <cell r="H1164">
            <v>87.93</v>
          </cell>
        </row>
        <row r="1165">
          <cell r="C1165" t="str">
            <v>TH-0084</v>
          </cell>
          <cell r="H1165">
            <v>105.17</v>
          </cell>
        </row>
        <row r="1166">
          <cell r="C1166" t="str">
            <v>TH-0082</v>
          </cell>
          <cell r="H1166">
            <v>30.17</v>
          </cell>
        </row>
        <row r="1167">
          <cell r="C1167" t="str">
            <v>TH-0080</v>
          </cell>
          <cell r="H1167">
            <v>44.83</v>
          </cell>
        </row>
        <row r="1168">
          <cell r="C1168" t="str">
            <v>TH-0079</v>
          </cell>
          <cell r="H1168">
            <v>15.52</v>
          </cell>
        </row>
        <row r="1169">
          <cell r="C1169" t="str">
            <v>TH-0078</v>
          </cell>
          <cell r="H1169">
            <v>44.83</v>
          </cell>
        </row>
        <row r="1170">
          <cell r="C1170" t="str">
            <v>TH-0072</v>
          </cell>
          <cell r="H1170">
            <v>54.31</v>
          </cell>
        </row>
        <row r="1171">
          <cell r="C1171" t="str">
            <v>TH-0048</v>
          </cell>
          <cell r="H1171">
            <v>43.97</v>
          </cell>
        </row>
        <row r="1172">
          <cell r="C1172" t="str">
            <v>TH-0047</v>
          </cell>
          <cell r="H1172">
            <v>66.38</v>
          </cell>
        </row>
        <row r="1173">
          <cell r="C1173" t="str">
            <v>TH-0033</v>
          </cell>
          <cell r="H1173">
            <v>38.79</v>
          </cell>
        </row>
        <row r="1174">
          <cell r="C1174" t="str">
            <v>TH-0015</v>
          </cell>
          <cell r="H1174">
            <v>147.41</v>
          </cell>
        </row>
        <row r="1175">
          <cell r="C1175" t="str">
            <v>TH-0012</v>
          </cell>
          <cell r="H1175">
            <v>171.55</v>
          </cell>
        </row>
        <row r="1176">
          <cell r="C1176" t="str">
            <v>TH-0011</v>
          </cell>
          <cell r="H1176">
            <v>42.24</v>
          </cell>
        </row>
        <row r="1177">
          <cell r="C1177" t="str">
            <v>TH-0007</v>
          </cell>
          <cell r="H1177">
            <v>23.28</v>
          </cell>
        </row>
        <row r="1178">
          <cell r="C1178" t="str">
            <v>TH-0005</v>
          </cell>
          <cell r="H1178">
            <v>63.79</v>
          </cell>
        </row>
        <row r="1179">
          <cell r="C1179" t="str">
            <v>TH-0002</v>
          </cell>
          <cell r="H1179">
            <v>118.1</v>
          </cell>
        </row>
        <row r="1180">
          <cell r="C1180" t="str">
            <v>T-L3180</v>
          </cell>
          <cell r="H1180">
            <v>25747.41</v>
          </cell>
        </row>
        <row r="1181">
          <cell r="C1181" t="str">
            <v>T-14981</v>
          </cell>
          <cell r="H1181">
            <v>3221.55</v>
          </cell>
        </row>
        <row r="1182">
          <cell r="C1182" t="str">
            <v>T-14980</v>
          </cell>
          <cell r="H1182">
            <v>32193.97</v>
          </cell>
        </row>
        <row r="1183">
          <cell r="C1183" t="str">
            <v>T-14723</v>
          </cell>
          <cell r="H1183">
            <v>739.66</v>
          </cell>
        </row>
        <row r="1184">
          <cell r="C1184" t="str">
            <v>T-14721</v>
          </cell>
          <cell r="H1184">
            <v>3197.41</v>
          </cell>
        </row>
        <row r="1185">
          <cell r="C1185" t="str">
            <v>T-14720</v>
          </cell>
          <cell r="H1185">
            <v>30582.76</v>
          </cell>
        </row>
        <row r="1186">
          <cell r="C1186" t="str">
            <v>T-14561</v>
          </cell>
          <cell r="H1186">
            <v>2988.79</v>
          </cell>
        </row>
        <row r="1187">
          <cell r="C1187" t="str">
            <v>T-14560</v>
          </cell>
          <cell r="H1187">
            <v>29901.72</v>
          </cell>
        </row>
        <row r="1188">
          <cell r="C1188" t="str">
            <v>T-14261</v>
          </cell>
          <cell r="H1188">
            <v>2879.31</v>
          </cell>
        </row>
        <row r="1189">
          <cell r="C1189" t="str">
            <v>T-14021</v>
          </cell>
          <cell r="H1189">
            <v>3399.14</v>
          </cell>
        </row>
        <row r="1190">
          <cell r="C1190" t="str">
            <v>T-14020</v>
          </cell>
          <cell r="H1190">
            <v>33972.410000000003</v>
          </cell>
        </row>
        <row r="1191">
          <cell r="C1191" t="str">
            <v>STR-1790101</v>
          </cell>
          <cell r="H1191">
            <v>4637.07</v>
          </cell>
        </row>
        <row r="1192">
          <cell r="C1192" t="str">
            <v>STI-860574</v>
          </cell>
          <cell r="H1192">
            <v>212.93</v>
          </cell>
        </row>
        <row r="1193">
          <cell r="C1193" t="str">
            <v>9124-41</v>
          </cell>
          <cell r="H1193">
            <v>824.14</v>
          </cell>
        </row>
        <row r="1194">
          <cell r="C1194" t="str">
            <v>9124-40</v>
          </cell>
          <cell r="H1194">
            <v>507.76</v>
          </cell>
        </row>
        <row r="1195">
          <cell r="C1195" t="str">
            <v>9124-39</v>
          </cell>
          <cell r="H1195">
            <v>900</v>
          </cell>
        </row>
        <row r="1196">
          <cell r="C1196" t="str">
            <v>9124-38</v>
          </cell>
          <cell r="H1196">
            <v>1024.1400000000001</v>
          </cell>
        </row>
        <row r="1197">
          <cell r="C1197" t="str">
            <v>9124-37</v>
          </cell>
          <cell r="H1197">
            <v>208.62</v>
          </cell>
        </row>
        <row r="1198">
          <cell r="C1198" t="str">
            <v>9124-36</v>
          </cell>
          <cell r="H1198">
            <v>137.07</v>
          </cell>
        </row>
        <row r="1199">
          <cell r="C1199" t="str">
            <v>9124-35</v>
          </cell>
          <cell r="H1199">
            <v>33.619999999999997</v>
          </cell>
        </row>
        <row r="1200">
          <cell r="C1200" t="str">
            <v>9124-34</v>
          </cell>
          <cell r="H1200">
            <v>31.03</v>
          </cell>
        </row>
        <row r="1201">
          <cell r="C1201" t="str">
            <v>9124-33</v>
          </cell>
          <cell r="H1201">
            <v>21.55</v>
          </cell>
        </row>
        <row r="1202">
          <cell r="C1202" t="str">
            <v>9124-32</v>
          </cell>
          <cell r="H1202">
            <v>52.59</v>
          </cell>
        </row>
        <row r="1203">
          <cell r="C1203" t="str">
            <v>9124-31</v>
          </cell>
          <cell r="H1203">
            <v>30.17</v>
          </cell>
        </row>
        <row r="1204">
          <cell r="C1204" t="str">
            <v>9124-30</v>
          </cell>
          <cell r="H1204">
            <v>45.69</v>
          </cell>
        </row>
        <row r="1205">
          <cell r="C1205" t="str">
            <v>9124-28</v>
          </cell>
          <cell r="H1205">
            <v>25</v>
          </cell>
        </row>
        <row r="1206">
          <cell r="C1206" t="str">
            <v>9124-27</v>
          </cell>
          <cell r="H1206">
            <v>37.07</v>
          </cell>
        </row>
        <row r="1207">
          <cell r="C1207" t="str">
            <v>9124-26</v>
          </cell>
          <cell r="H1207">
            <v>159.47999999999999</v>
          </cell>
        </row>
        <row r="1208">
          <cell r="C1208" t="str">
            <v>9124-25</v>
          </cell>
          <cell r="H1208">
            <v>44.83</v>
          </cell>
        </row>
        <row r="1209">
          <cell r="C1209" t="str">
            <v>9124-24</v>
          </cell>
          <cell r="H1209">
            <v>202.59</v>
          </cell>
        </row>
        <row r="1210">
          <cell r="C1210" t="str">
            <v>9124-23</v>
          </cell>
          <cell r="H1210">
            <v>79.31</v>
          </cell>
        </row>
        <row r="1211">
          <cell r="C1211" t="str">
            <v>9124-22</v>
          </cell>
          <cell r="H1211">
            <v>66.38</v>
          </cell>
        </row>
        <row r="1212">
          <cell r="C1212" t="str">
            <v>9124-21</v>
          </cell>
          <cell r="H1212">
            <v>56.03</v>
          </cell>
        </row>
        <row r="1213">
          <cell r="C1213" t="str">
            <v>9124-20</v>
          </cell>
          <cell r="H1213">
            <v>65.52</v>
          </cell>
        </row>
        <row r="1214">
          <cell r="C1214" t="str">
            <v>9124-18</v>
          </cell>
          <cell r="H1214">
            <v>51.72</v>
          </cell>
        </row>
        <row r="1215">
          <cell r="C1215" t="str">
            <v>9124-17</v>
          </cell>
          <cell r="H1215">
            <v>47.41</v>
          </cell>
        </row>
        <row r="1216">
          <cell r="C1216" t="str">
            <v>9124-16</v>
          </cell>
          <cell r="H1216">
            <v>94.83</v>
          </cell>
        </row>
        <row r="1217">
          <cell r="C1217" t="str">
            <v>9124-15</v>
          </cell>
          <cell r="H1217">
            <v>80.17</v>
          </cell>
        </row>
        <row r="1218">
          <cell r="C1218" t="str">
            <v>9124-14</v>
          </cell>
          <cell r="H1218">
            <v>70.69</v>
          </cell>
        </row>
        <row r="1219">
          <cell r="C1219" t="str">
            <v>9124-13</v>
          </cell>
          <cell r="H1219">
            <v>75</v>
          </cell>
        </row>
        <row r="1220">
          <cell r="C1220" t="str">
            <v>9124-12</v>
          </cell>
          <cell r="H1220">
            <v>67.239999999999995</v>
          </cell>
        </row>
        <row r="1221">
          <cell r="C1221" t="str">
            <v>9124-11</v>
          </cell>
          <cell r="H1221">
            <v>63.79</v>
          </cell>
        </row>
        <row r="1222">
          <cell r="C1222" t="str">
            <v>9124-10</v>
          </cell>
          <cell r="H1222">
            <v>89.66</v>
          </cell>
        </row>
        <row r="1223">
          <cell r="C1223" t="str">
            <v>9124-09</v>
          </cell>
          <cell r="H1223">
            <v>75.86</v>
          </cell>
        </row>
        <row r="1224">
          <cell r="C1224" t="str">
            <v>9124-08</v>
          </cell>
          <cell r="H1224">
            <v>45.69</v>
          </cell>
        </row>
        <row r="1225">
          <cell r="C1225" t="str">
            <v>9124-07</v>
          </cell>
          <cell r="H1225">
            <v>50.86</v>
          </cell>
        </row>
        <row r="1226">
          <cell r="C1226" t="str">
            <v>9124-06</v>
          </cell>
          <cell r="H1226">
            <v>45.69</v>
          </cell>
        </row>
        <row r="1227">
          <cell r="C1227" t="str">
            <v>9124-05</v>
          </cell>
          <cell r="H1227">
            <v>40.520000000000003</v>
          </cell>
        </row>
        <row r="1228">
          <cell r="C1228" t="str">
            <v>9124-04</v>
          </cell>
          <cell r="H1228">
            <v>33.619999999999997</v>
          </cell>
        </row>
        <row r="1229">
          <cell r="C1229" t="str">
            <v>9124-03</v>
          </cell>
          <cell r="H1229">
            <v>47.41</v>
          </cell>
        </row>
        <row r="1230">
          <cell r="C1230" t="str">
            <v>9124-02</v>
          </cell>
          <cell r="H1230">
            <v>40.520000000000003</v>
          </cell>
        </row>
        <row r="1231">
          <cell r="C1231" t="str">
            <v>9124-01</v>
          </cell>
          <cell r="H1231">
            <v>32.76</v>
          </cell>
        </row>
        <row r="1232">
          <cell r="C1232" t="str">
            <v>9121-PR</v>
          </cell>
          <cell r="H1232">
            <v>51.72</v>
          </cell>
        </row>
        <row r="1233">
          <cell r="C1233" t="str">
            <v>9121-PP</v>
          </cell>
          <cell r="H1233">
            <v>98.28</v>
          </cell>
        </row>
        <row r="1234">
          <cell r="C1234" t="str">
            <v>9121-9</v>
          </cell>
          <cell r="H1234">
            <v>137.93</v>
          </cell>
        </row>
        <row r="1235">
          <cell r="C1235" t="str">
            <v>9103-PRO</v>
          </cell>
          <cell r="H1235">
            <v>0.01</v>
          </cell>
        </row>
        <row r="1236">
          <cell r="C1236" t="str">
            <v>9047-12</v>
          </cell>
          <cell r="H1236">
            <v>881.03</v>
          </cell>
        </row>
        <row r="1237">
          <cell r="C1237" t="str">
            <v>9047-11</v>
          </cell>
          <cell r="H1237">
            <v>1642.24</v>
          </cell>
        </row>
        <row r="1238">
          <cell r="C1238" t="str">
            <v>9047-10</v>
          </cell>
          <cell r="H1238">
            <v>7078.45</v>
          </cell>
        </row>
        <row r="1239">
          <cell r="C1239" t="str">
            <v>9047-09</v>
          </cell>
          <cell r="H1239">
            <v>412.07</v>
          </cell>
        </row>
        <row r="1240">
          <cell r="C1240" t="str">
            <v>9047-08</v>
          </cell>
          <cell r="H1240">
            <v>770.69</v>
          </cell>
        </row>
        <row r="1241">
          <cell r="C1241" t="str">
            <v>9047-07</v>
          </cell>
          <cell r="H1241">
            <v>440.52</v>
          </cell>
        </row>
        <row r="1242">
          <cell r="C1242" t="str">
            <v>9047-06</v>
          </cell>
          <cell r="H1242">
            <v>6414.66</v>
          </cell>
        </row>
        <row r="1243">
          <cell r="C1243" t="str">
            <v>9047-05</v>
          </cell>
          <cell r="H1243">
            <v>629.30999999999995</v>
          </cell>
        </row>
        <row r="1244">
          <cell r="C1244" t="str">
            <v>9047-04</v>
          </cell>
          <cell r="H1244">
            <v>755.17</v>
          </cell>
        </row>
        <row r="1245">
          <cell r="C1245" t="str">
            <v>9047-03</v>
          </cell>
          <cell r="H1245">
            <v>5918.97</v>
          </cell>
        </row>
        <row r="1246">
          <cell r="C1246" t="str">
            <v>9047-02</v>
          </cell>
          <cell r="H1246">
            <v>605.16999999999996</v>
          </cell>
        </row>
        <row r="1247">
          <cell r="C1247" t="str">
            <v>9047-01</v>
          </cell>
          <cell r="H1247">
            <v>2831.9</v>
          </cell>
        </row>
        <row r="1248">
          <cell r="C1248" t="str">
            <v>9045-13</v>
          </cell>
          <cell r="H1248">
            <v>1001.72</v>
          </cell>
        </row>
        <row r="1249">
          <cell r="C1249" t="str">
            <v>9045-12</v>
          </cell>
          <cell r="H1249">
            <v>7314.66</v>
          </cell>
        </row>
        <row r="1250">
          <cell r="C1250" t="str">
            <v>9045-11</v>
          </cell>
          <cell r="H1250">
            <v>2961.21</v>
          </cell>
        </row>
        <row r="1251">
          <cell r="C1251" t="str">
            <v>9045-10</v>
          </cell>
          <cell r="H1251">
            <v>6675.86</v>
          </cell>
        </row>
        <row r="1252">
          <cell r="C1252" t="str">
            <v>9045-09</v>
          </cell>
          <cell r="H1252">
            <v>6453.45</v>
          </cell>
        </row>
        <row r="1253">
          <cell r="C1253" t="str">
            <v>9045-08</v>
          </cell>
          <cell r="H1253">
            <v>13599.14</v>
          </cell>
        </row>
        <row r="1254">
          <cell r="C1254" t="str">
            <v>9045-07</v>
          </cell>
          <cell r="H1254">
            <v>4286.21</v>
          </cell>
        </row>
        <row r="1255">
          <cell r="C1255" t="str">
            <v>9045-06</v>
          </cell>
          <cell r="H1255">
            <v>3808.62</v>
          </cell>
        </row>
        <row r="1256">
          <cell r="C1256" t="str">
            <v>9045-05</v>
          </cell>
          <cell r="H1256">
            <v>11697.41</v>
          </cell>
        </row>
        <row r="1257">
          <cell r="C1257" t="str">
            <v>9045-04</v>
          </cell>
          <cell r="H1257">
            <v>12879.31</v>
          </cell>
        </row>
        <row r="1258">
          <cell r="C1258" t="str">
            <v>9045-03</v>
          </cell>
          <cell r="H1258">
            <v>4061.21</v>
          </cell>
        </row>
        <row r="1259">
          <cell r="C1259" t="str">
            <v>9045-02</v>
          </cell>
          <cell r="H1259">
            <v>2770.69</v>
          </cell>
        </row>
        <row r="1260">
          <cell r="C1260" t="str">
            <v>9045-01</v>
          </cell>
          <cell r="H1260">
            <v>3808.62</v>
          </cell>
        </row>
        <row r="1261">
          <cell r="C1261" t="str">
            <v>9039-SF</v>
          </cell>
          <cell r="H1261">
            <v>0.01</v>
          </cell>
        </row>
        <row r="1262">
          <cell r="C1262" t="str">
            <v>9039-PC</v>
          </cell>
          <cell r="H1262">
            <v>0.01</v>
          </cell>
        </row>
        <row r="1263">
          <cell r="C1263" t="str">
            <v>9039-NBK</v>
          </cell>
          <cell r="H1263">
            <v>0.01</v>
          </cell>
        </row>
        <row r="1264">
          <cell r="C1264" t="str">
            <v>9039-ETI2</v>
          </cell>
          <cell r="H1264">
            <v>0.01</v>
          </cell>
        </row>
        <row r="1265">
          <cell r="C1265" t="str">
            <v>9039-ETI</v>
          </cell>
          <cell r="H1265">
            <v>0.01</v>
          </cell>
        </row>
        <row r="1266">
          <cell r="C1266" t="str">
            <v>9039-DMO</v>
          </cell>
          <cell r="H1266">
            <v>0.01</v>
          </cell>
        </row>
        <row r="1267">
          <cell r="C1267" t="str">
            <v>9039-BD</v>
          </cell>
          <cell r="H1267">
            <v>0.01</v>
          </cell>
        </row>
        <row r="1268">
          <cell r="C1268" t="str">
            <v>9037-07</v>
          </cell>
          <cell r="H1268">
            <v>6559.48</v>
          </cell>
        </row>
        <row r="1269">
          <cell r="C1269" t="str">
            <v>9037-06</v>
          </cell>
          <cell r="H1269">
            <v>162.07</v>
          </cell>
        </row>
        <row r="1270">
          <cell r="C1270" t="str">
            <v>9037-05</v>
          </cell>
          <cell r="H1270">
            <v>2116.38</v>
          </cell>
        </row>
        <row r="1271">
          <cell r="C1271" t="str">
            <v>9037-04</v>
          </cell>
          <cell r="H1271">
            <v>2240.52</v>
          </cell>
        </row>
        <row r="1272">
          <cell r="C1272" t="str">
            <v>9037-03</v>
          </cell>
          <cell r="H1272">
            <v>1787.93</v>
          </cell>
        </row>
        <row r="1273">
          <cell r="C1273" t="str">
            <v>9037-02</v>
          </cell>
          <cell r="H1273">
            <v>2881.9</v>
          </cell>
        </row>
        <row r="1274">
          <cell r="C1274" t="str">
            <v>9037-01</v>
          </cell>
          <cell r="H1274">
            <v>1557.76</v>
          </cell>
        </row>
        <row r="1275">
          <cell r="C1275" t="str">
            <v>9030-R</v>
          </cell>
          <cell r="H1275">
            <v>156127.59</v>
          </cell>
        </row>
        <row r="1276">
          <cell r="C1276" t="str">
            <v>6786-20</v>
          </cell>
          <cell r="H1276">
            <v>34.479999999999997</v>
          </cell>
        </row>
        <row r="1277">
          <cell r="C1277" t="str">
            <v>6786-15</v>
          </cell>
          <cell r="H1277">
            <v>18.100000000000001</v>
          </cell>
        </row>
        <row r="1278">
          <cell r="C1278" t="str">
            <v>6786-10</v>
          </cell>
          <cell r="H1278">
            <v>18.97</v>
          </cell>
        </row>
        <row r="1279">
          <cell r="C1279" t="str">
            <v>6785-40</v>
          </cell>
          <cell r="H1279">
            <v>93.97</v>
          </cell>
        </row>
        <row r="1280">
          <cell r="C1280" t="str">
            <v>6785-15</v>
          </cell>
          <cell r="H1280">
            <v>38.79</v>
          </cell>
        </row>
        <row r="1281">
          <cell r="C1281" t="str">
            <v>6785-10</v>
          </cell>
          <cell r="H1281">
            <v>5.17</v>
          </cell>
        </row>
        <row r="1282">
          <cell r="C1282" t="str">
            <v>6784-30</v>
          </cell>
          <cell r="H1282">
            <v>5.17</v>
          </cell>
        </row>
        <row r="1283">
          <cell r="C1283" t="str">
            <v>6784-20</v>
          </cell>
          <cell r="H1283">
            <v>5.17</v>
          </cell>
        </row>
        <row r="1284">
          <cell r="C1284" t="str">
            <v>6784-10</v>
          </cell>
          <cell r="H1284">
            <v>5.17</v>
          </cell>
        </row>
        <row r="1285">
          <cell r="C1285" t="str">
            <v>6783-30</v>
          </cell>
          <cell r="H1285">
            <v>36.21</v>
          </cell>
        </row>
        <row r="1286">
          <cell r="C1286" t="str">
            <v>6783-25</v>
          </cell>
          <cell r="H1286">
            <v>37.07</v>
          </cell>
        </row>
        <row r="1287">
          <cell r="C1287" t="str">
            <v>6783-20</v>
          </cell>
          <cell r="H1287">
            <v>34.479999999999997</v>
          </cell>
        </row>
        <row r="1288">
          <cell r="C1288" t="str">
            <v>6783-15</v>
          </cell>
          <cell r="H1288">
            <v>18.100000000000001</v>
          </cell>
        </row>
        <row r="1289">
          <cell r="C1289" t="str">
            <v>6782-60</v>
          </cell>
          <cell r="H1289">
            <v>18.100000000000001</v>
          </cell>
        </row>
        <row r="1290">
          <cell r="C1290" t="str">
            <v>6782-30</v>
          </cell>
          <cell r="H1290">
            <v>7.76</v>
          </cell>
        </row>
        <row r="1291">
          <cell r="C1291" t="str">
            <v>6782-20</v>
          </cell>
          <cell r="H1291">
            <v>7.76</v>
          </cell>
        </row>
        <row r="1292">
          <cell r="C1292" t="str">
            <v>6780-60</v>
          </cell>
          <cell r="H1292">
            <v>18.100000000000001</v>
          </cell>
        </row>
        <row r="1293">
          <cell r="C1293" t="str">
            <v>6780-20</v>
          </cell>
          <cell r="H1293">
            <v>7.76</v>
          </cell>
        </row>
        <row r="1294">
          <cell r="C1294" t="str">
            <v>6780-15</v>
          </cell>
          <cell r="H1294">
            <v>7.76</v>
          </cell>
        </row>
        <row r="1295">
          <cell r="C1295" t="str">
            <v>6780-10</v>
          </cell>
          <cell r="H1295">
            <v>7.76</v>
          </cell>
        </row>
        <row r="1296">
          <cell r="C1296" t="str">
            <v>6768-60</v>
          </cell>
          <cell r="H1296">
            <v>97.41</v>
          </cell>
        </row>
        <row r="1297">
          <cell r="C1297" t="str">
            <v>6768-50</v>
          </cell>
          <cell r="H1297">
            <v>80.17</v>
          </cell>
        </row>
        <row r="1298">
          <cell r="C1298" t="str">
            <v>6768-40</v>
          </cell>
          <cell r="H1298">
            <v>60.34</v>
          </cell>
        </row>
        <row r="1299">
          <cell r="C1299" t="str">
            <v>6768-30</v>
          </cell>
          <cell r="H1299">
            <v>40.520000000000003</v>
          </cell>
        </row>
        <row r="1300">
          <cell r="C1300" t="str">
            <v>6768-25</v>
          </cell>
          <cell r="H1300">
            <v>27.59</v>
          </cell>
        </row>
        <row r="1301">
          <cell r="C1301" t="str">
            <v>6768-20</v>
          </cell>
          <cell r="H1301">
            <v>23.28</v>
          </cell>
        </row>
        <row r="1302">
          <cell r="C1302" t="str">
            <v>6768-15</v>
          </cell>
          <cell r="H1302">
            <v>19.829999999999998</v>
          </cell>
        </row>
        <row r="1303">
          <cell r="C1303" t="str">
            <v>6767-60</v>
          </cell>
          <cell r="H1303">
            <v>205.17</v>
          </cell>
        </row>
        <row r="1304">
          <cell r="C1304" t="str">
            <v>6767-50</v>
          </cell>
          <cell r="H1304">
            <v>154.31</v>
          </cell>
        </row>
        <row r="1305">
          <cell r="C1305" t="str">
            <v>6767-40</v>
          </cell>
          <cell r="H1305">
            <v>122.41</v>
          </cell>
        </row>
        <row r="1306">
          <cell r="C1306" t="str">
            <v>6767-30</v>
          </cell>
          <cell r="H1306">
            <v>90.52</v>
          </cell>
        </row>
        <row r="1307">
          <cell r="C1307" t="str">
            <v>6767-25</v>
          </cell>
          <cell r="H1307">
            <v>71.55</v>
          </cell>
        </row>
        <row r="1308">
          <cell r="C1308" t="str">
            <v>6767-20</v>
          </cell>
          <cell r="H1308">
            <v>52.59</v>
          </cell>
        </row>
        <row r="1309">
          <cell r="C1309" t="str">
            <v>6767-15</v>
          </cell>
          <cell r="H1309">
            <v>33.619999999999997</v>
          </cell>
        </row>
        <row r="1310">
          <cell r="C1310" t="str">
            <v>6767-10</v>
          </cell>
          <cell r="H1310">
            <v>25.86</v>
          </cell>
        </row>
        <row r="1311">
          <cell r="C1311" t="str">
            <v>6767-05</v>
          </cell>
          <cell r="H1311">
            <v>21.55</v>
          </cell>
        </row>
        <row r="1312">
          <cell r="C1312" t="str">
            <v>6766-60</v>
          </cell>
          <cell r="H1312">
            <v>84.48</v>
          </cell>
        </row>
        <row r="1313">
          <cell r="C1313" t="str">
            <v>6766-50</v>
          </cell>
          <cell r="H1313">
            <v>73.28</v>
          </cell>
        </row>
        <row r="1314">
          <cell r="C1314" t="str">
            <v>6766-40</v>
          </cell>
          <cell r="H1314">
            <v>64.66</v>
          </cell>
        </row>
        <row r="1315">
          <cell r="C1315" t="str">
            <v>6766-30</v>
          </cell>
          <cell r="H1315">
            <v>37.93</v>
          </cell>
        </row>
        <row r="1316">
          <cell r="C1316" t="str">
            <v>6766-25</v>
          </cell>
          <cell r="H1316">
            <v>31.9</v>
          </cell>
        </row>
        <row r="1317">
          <cell r="C1317" t="str">
            <v>6766-20</v>
          </cell>
          <cell r="H1317">
            <v>27.59</v>
          </cell>
        </row>
        <row r="1318">
          <cell r="C1318" t="str">
            <v>6766-15</v>
          </cell>
          <cell r="H1318">
            <v>21.55</v>
          </cell>
        </row>
        <row r="1319">
          <cell r="C1319" t="str">
            <v>6766-10</v>
          </cell>
          <cell r="H1319">
            <v>14.66</v>
          </cell>
        </row>
        <row r="1320">
          <cell r="C1320" t="str">
            <v>6766-05</v>
          </cell>
          <cell r="H1320">
            <v>10.34</v>
          </cell>
        </row>
        <row r="1321">
          <cell r="C1321" t="str">
            <v>6765-01</v>
          </cell>
          <cell r="H1321">
            <v>46.55</v>
          </cell>
        </row>
        <row r="1322">
          <cell r="C1322" t="str">
            <v>6764-50</v>
          </cell>
          <cell r="H1322">
            <v>37.07</v>
          </cell>
        </row>
        <row r="1323">
          <cell r="C1323" t="str">
            <v>6764-05</v>
          </cell>
          <cell r="H1323">
            <v>193.1</v>
          </cell>
        </row>
        <row r="1324">
          <cell r="C1324" t="str">
            <v>6764-04</v>
          </cell>
          <cell r="H1324">
            <v>111.21</v>
          </cell>
        </row>
        <row r="1325">
          <cell r="C1325" t="str">
            <v>6764-03</v>
          </cell>
          <cell r="H1325">
            <v>21.55</v>
          </cell>
        </row>
        <row r="1326">
          <cell r="C1326" t="str">
            <v>6764-02</v>
          </cell>
          <cell r="H1326">
            <v>30.17</v>
          </cell>
        </row>
        <row r="1327">
          <cell r="C1327" t="str">
            <v>6764-01</v>
          </cell>
          <cell r="H1327">
            <v>37.07</v>
          </cell>
        </row>
        <row r="1328">
          <cell r="C1328" t="str">
            <v>6763-60</v>
          </cell>
          <cell r="H1328">
            <v>62.07</v>
          </cell>
        </row>
        <row r="1329">
          <cell r="C1329" t="str">
            <v>6763-50</v>
          </cell>
          <cell r="H1329">
            <v>54.31</v>
          </cell>
        </row>
        <row r="1330">
          <cell r="C1330" t="str">
            <v>6763-40</v>
          </cell>
          <cell r="H1330">
            <v>62.93</v>
          </cell>
        </row>
        <row r="1331">
          <cell r="C1331" t="str">
            <v>6763-30</v>
          </cell>
          <cell r="H1331">
            <v>27.59</v>
          </cell>
        </row>
        <row r="1332">
          <cell r="C1332" t="str">
            <v>6763-25</v>
          </cell>
          <cell r="H1332">
            <v>25.86</v>
          </cell>
        </row>
        <row r="1333">
          <cell r="C1333" t="str">
            <v>6763-20</v>
          </cell>
          <cell r="H1333">
            <v>23.28</v>
          </cell>
        </row>
        <row r="1334">
          <cell r="C1334" t="str">
            <v>6763-15</v>
          </cell>
          <cell r="H1334">
            <v>18.100000000000001</v>
          </cell>
        </row>
        <row r="1335">
          <cell r="C1335" t="str">
            <v>6763-10</v>
          </cell>
          <cell r="H1335">
            <v>12.93</v>
          </cell>
        </row>
        <row r="1336">
          <cell r="C1336" t="str">
            <v>6763-05</v>
          </cell>
          <cell r="H1336">
            <v>8.6199999999999992</v>
          </cell>
        </row>
        <row r="1337">
          <cell r="C1337" t="str">
            <v>6762-20</v>
          </cell>
          <cell r="H1337">
            <v>41.38</v>
          </cell>
        </row>
        <row r="1338">
          <cell r="C1338" t="str">
            <v>6762-10</v>
          </cell>
          <cell r="H1338">
            <v>24.14</v>
          </cell>
        </row>
        <row r="1339">
          <cell r="C1339" t="str">
            <v>6762-05</v>
          </cell>
          <cell r="H1339">
            <v>18.97</v>
          </cell>
        </row>
        <row r="1340">
          <cell r="C1340" t="str">
            <v>6761-50</v>
          </cell>
          <cell r="H1340">
            <v>84.48</v>
          </cell>
        </row>
        <row r="1341">
          <cell r="C1341" t="str">
            <v>6761-05</v>
          </cell>
          <cell r="H1341">
            <v>10.34</v>
          </cell>
        </row>
        <row r="1342">
          <cell r="C1342" t="str">
            <v>6760-60</v>
          </cell>
          <cell r="H1342">
            <v>171.55</v>
          </cell>
        </row>
        <row r="1343">
          <cell r="C1343" t="str">
            <v>6760-50</v>
          </cell>
          <cell r="H1343">
            <v>133.62</v>
          </cell>
        </row>
        <row r="1344">
          <cell r="C1344" t="str">
            <v>6760-40</v>
          </cell>
          <cell r="H1344">
            <v>116.38</v>
          </cell>
        </row>
        <row r="1345">
          <cell r="C1345" t="str">
            <v>6760-30</v>
          </cell>
          <cell r="H1345">
            <v>81.900000000000006</v>
          </cell>
        </row>
        <row r="1346">
          <cell r="C1346" t="str">
            <v>6700-30</v>
          </cell>
          <cell r="H1346">
            <v>112.93</v>
          </cell>
        </row>
        <row r="1347">
          <cell r="C1347" t="str">
            <v>508-N</v>
          </cell>
          <cell r="H1347">
            <v>0.01</v>
          </cell>
        </row>
        <row r="1348">
          <cell r="C1348" t="str">
            <v>506-N</v>
          </cell>
          <cell r="H1348">
            <v>0.01</v>
          </cell>
        </row>
        <row r="1349">
          <cell r="C1349" t="str">
            <v>505-N</v>
          </cell>
          <cell r="H1349">
            <v>0.01</v>
          </cell>
        </row>
        <row r="1350">
          <cell r="C1350" t="str">
            <v>493-N</v>
          </cell>
          <cell r="H1350">
            <v>0.01</v>
          </cell>
        </row>
        <row r="1351">
          <cell r="C1351" t="str">
            <v>490-N</v>
          </cell>
          <cell r="H1351">
            <v>0.01</v>
          </cell>
        </row>
        <row r="1352">
          <cell r="C1352" t="str">
            <v>387-N</v>
          </cell>
          <cell r="H1352">
            <v>0.01</v>
          </cell>
        </row>
        <row r="1353">
          <cell r="C1353" t="str">
            <v>386-N</v>
          </cell>
          <cell r="H1353">
            <v>0.01</v>
          </cell>
        </row>
        <row r="1354">
          <cell r="C1354" t="str">
            <v>360-N</v>
          </cell>
          <cell r="H1354">
            <v>1.72</v>
          </cell>
        </row>
        <row r="1355">
          <cell r="C1355" t="str">
            <v>343-N</v>
          </cell>
          <cell r="H1355">
            <v>108.62</v>
          </cell>
        </row>
        <row r="1356">
          <cell r="C1356" t="str">
            <v>342-N</v>
          </cell>
          <cell r="H1356">
            <v>3.45</v>
          </cell>
        </row>
        <row r="1357">
          <cell r="C1357" t="str">
            <v>341-N</v>
          </cell>
          <cell r="H1357">
            <v>4.3099999999999996</v>
          </cell>
        </row>
        <row r="1358">
          <cell r="C1358" t="str">
            <v>340-N</v>
          </cell>
          <cell r="H1358">
            <v>6.03</v>
          </cell>
        </row>
        <row r="1359">
          <cell r="C1359" t="str">
            <v>311-N</v>
          </cell>
          <cell r="H1359">
            <v>90.52</v>
          </cell>
        </row>
        <row r="1360">
          <cell r="C1360" t="str">
            <v>305-N</v>
          </cell>
          <cell r="H1360">
            <v>9.48</v>
          </cell>
        </row>
        <row r="1361">
          <cell r="C1361" t="str">
            <v>0919-AU</v>
          </cell>
          <cell r="H1361">
            <v>140.52000000000001</v>
          </cell>
        </row>
        <row r="1362">
          <cell r="C1362" t="str">
            <v>0819-V</v>
          </cell>
          <cell r="H1362">
            <v>0.01</v>
          </cell>
        </row>
        <row r="1363">
          <cell r="C1363" t="str">
            <v>0819-P</v>
          </cell>
          <cell r="H1363">
            <v>0.01</v>
          </cell>
        </row>
        <row r="1364">
          <cell r="C1364" t="str">
            <v>0819-M</v>
          </cell>
          <cell r="H1364">
            <v>0.01</v>
          </cell>
        </row>
        <row r="1365">
          <cell r="C1365" t="str">
            <v>0819-INT</v>
          </cell>
          <cell r="H1365">
            <v>0.01</v>
          </cell>
        </row>
        <row r="1366">
          <cell r="C1366" t="str">
            <v>0819-I</v>
          </cell>
          <cell r="H1366">
            <v>0.01</v>
          </cell>
        </row>
        <row r="1367">
          <cell r="C1367" t="str">
            <v>0819-E</v>
          </cell>
          <cell r="H1367">
            <v>0.01</v>
          </cell>
        </row>
        <row r="1368">
          <cell r="C1368" t="str">
            <v>0819-AC</v>
          </cell>
          <cell r="H1368">
            <v>0.01</v>
          </cell>
        </row>
        <row r="1369">
          <cell r="C1369" t="str">
            <v>0803-L</v>
          </cell>
          <cell r="H1369">
            <v>1959.48</v>
          </cell>
        </row>
        <row r="1370">
          <cell r="C1370" t="str">
            <v>0801-L</v>
          </cell>
          <cell r="H1370">
            <v>1971.55</v>
          </cell>
        </row>
        <row r="1371">
          <cell r="C1371" t="str">
            <v>0800-I</v>
          </cell>
          <cell r="H1371">
            <v>907.76</v>
          </cell>
        </row>
        <row r="1372">
          <cell r="C1372" t="str">
            <v>0739-COP</v>
          </cell>
          <cell r="H1372">
            <v>0.01</v>
          </cell>
        </row>
        <row r="1373">
          <cell r="C1373" t="str">
            <v>0739-COM</v>
          </cell>
          <cell r="H1373">
            <v>0.01</v>
          </cell>
        </row>
        <row r="1374">
          <cell r="C1374" t="str">
            <v>0726-ACC</v>
          </cell>
          <cell r="H1374">
            <v>0.01</v>
          </cell>
        </row>
        <row r="1375">
          <cell r="C1375" t="str">
            <v>0725-VIN</v>
          </cell>
          <cell r="H1375">
            <v>0.01</v>
          </cell>
        </row>
        <row r="1376">
          <cell r="C1376" t="str">
            <v>0725-IMP</v>
          </cell>
          <cell r="H1376">
            <v>0.01</v>
          </cell>
        </row>
        <row r="1377">
          <cell r="C1377" t="str">
            <v>0725-ESM</v>
          </cell>
          <cell r="H1377">
            <v>0.01</v>
          </cell>
        </row>
        <row r="1378">
          <cell r="C1378" t="str">
            <v>0725-AUT</v>
          </cell>
          <cell r="H1378">
            <v>0.01</v>
          </cell>
        </row>
        <row r="1379">
          <cell r="C1379" t="str">
            <v>0688-02</v>
          </cell>
          <cell r="H1379">
            <v>716.38</v>
          </cell>
        </row>
        <row r="1380">
          <cell r="C1380" t="str">
            <v>0688-01</v>
          </cell>
          <cell r="H1380">
            <v>1938.79</v>
          </cell>
        </row>
        <row r="1381">
          <cell r="C1381" t="str">
            <v>0687-00</v>
          </cell>
          <cell r="H1381">
            <v>566.38</v>
          </cell>
        </row>
        <row r="1382">
          <cell r="C1382" t="str">
            <v>0686-03</v>
          </cell>
          <cell r="H1382">
            <v>195.69</v>
          </cell>
        </row>
        <row r="1383">
          <cell r="C1383" t="str">
            <v>0686-02</v>
          </cell>
          <cell r="H1383">
            <v>195.69</v>
          </cell>
        </row>
        <row r="1384">
          <cell r="C1384" t="str">
            <v>0686-01</v>
          </cell>
          <cell r="H1384">
            <v>195.69</v>
          </cell>
        </row>
        <row r="1385">
          <cell r="C1385" t="str">
            <v>0685-08</v>
          </cell>
          <cell r="H1385">
            <v>195.69</v>
          </cell>
        </row>
        <row r="1386">
          <cell r="C1386" t="str">
            <v>0685-07</v>
          </cell>
          <cell r="H1386">
            <v>195.69</v>
          </cell>
        </row>
        <row r="1387">
          <cell r="C1387" t="str">
            <v>0685-02</v>
          </cell>
          <cell r="H1387">
            <v>195.69</v>
          </cell>
        </row>
        <row r="1388">
          <cell r="C1388" t="str">
            <v>0685-01</v>
          </cell>
          <cell r="H1388">
            <v>195.69</v>
          </cell>
        </row>
        <row r="1389">
          <cell r="C1389" t="str">
            <v>0684-08</v>
          </cell>
          <cell r="H1389">
            <v>195.69</v>
          </cell>
        </row>
        <row r="1390">
          <cell r="C1390" t="str">
            <v>0684-07</v>
          </cell>
          <cell r="H1390">
            <v>195.69</v>
          </cell>
        </row>
        <row r="1391">
          <cell r="C1391" t="str">
            <v>0684-06</v>
          </cell>
          <cell r="H1391">
            <v>195.69</v>
          </cell>
        </row>
        <row r="1392">
          <cell r="C1392" t="str">
            <v>0684-05</v>
          </cell>
          <cell r="H1392">
            <v>195.69</v>
          </cell>
        </row>
        <row r="1393">
          <cell r="C1393" t="str">
            <v>0684-02</v>
          </cell>
          <cell r="H1393">
            <v>195.69</v>
          </cell>
        </row>
        <row r="1394">
          <cell r="C1394" t="str">
            <v>0684-01</v>
          </cell>
          <cell r="H1394">
            <v>195.69</v>
          </cell>
        </row>
        <row r="1395">
          <cell r="C1395" t="str">
            <v>0683-08</v>
          </cell>
          <cell r="H1395">
            <v>195.69</v>
          </cell>
        </row>
        <row r="1396">
          <cell r="C1396" t="str">
            <v>0683-07</v>
          </cell>
          <cell r="H1396">
            <v>195.69</v>
          </cell>
        </row>
        <row r="1397">
          <cell r="C1397" t="str">
            <v>0683-04</v>
          </cell>
          <cell r="H1397">
            <v>195.69</v>
          </cell>
        </row>
        <row r="1398">
          <cell r="C1398" t="str">
            <v>0683-03</v>
          </cell>
          <cell r="H1398">
            <v>195.69</v>
          </cell>
        </row>
        <row r="1399">
          <cell r="C1399" t="str">
            <v>0683-02</v>
          </cell>
          <cell r="H1399">
            <v>195.69</v>
          </cell>
        </row>
        <row r="1400">
          <cell r="C1400" t="str">
            <v>0683-01</v>
          </cell>
          <cell r="H1400">
            <v>195.69</v>
          </cell>
        </row>
        <row r="1401">
          <cell r="C1401" t="str">
            <v>0682-04</v>
          </cell>
          <cell r="H1401">
            <v>195.69</v>
          </cell>
        </row>
        <row r="1402">
          <cell r="C1402" t="str">
            <v>0682-03</v>
          </cell>
          <cell r="H1402">
            <v>195.69</v>
          </cell>
        </row>
        <row r="1403">
          <cell r="C1403" t="str">
            <v>0682-02</v>
          </cell>
          <cell r="H1403">
            <v>195.69</v>
          </cell>
        </row>
        <row r="1404">
          <cell r="C1404" t="str">
            <v>0682-01</v>
          </cell>
          <cell r="H1404">
            <v>195.69</v>
          </cell>
        </row>
        <row r="1405">
          <cell r="C1405" t="str">
            <v>0680-06</v>
          </cell>
          <cell r="H1405">
            <v>195.69</v>
          </cell>
        </row>
        <row r="1406">
          <cell r="C1406" t="str">
            <v>0680-05</v>
          </cell>
          <cell r="H1406">
            <v>195.69</v>
          </cell>
        </row>
        <row r="1407">
          <cell r="C1407" t="str">
            <v>0620-21</v>
          </cell>
          <cell r="H1407">
            <v>598.28</v>
          </cell>
        </row>
        <row r="1408">
          <cell r="C1408" t="str">
            <v>0620-20</v>
          </cell>
          <cell r="H1408">
            <v>598.28</v>
          </cell>
        </row>
        <row r="1409">
          <cell r="C1409" t="str">
            <v>0620-19</v>
          </cell>
          <cell r="H1409">
            <v>598.28</v>
          </cell>
        </row>
        <row r="1410">
          <cell r="C1410" t="str">
            <v>0620-18</v>
          </cell>
          <cell r="H1410">
            <v>450</v>
          </cell>
        </row>
        <row r="1411">
          <cell r="C1411" t="str">
            <v>0620-17</v>
          </cell>
          <cell r="H1411">
            <v>450</v>
          </cell>
        </row>
        <row r="1412">
          <cell r="C1412" t="str">
            <v>0620-16</v>
          </cell>
          <cell r="H1412">
            <v>450</v>
          </cell>
        </row>
        <row r="1413">
          <cell r="C1413" t="str">
            <v>0620-15</v>
          </cell>
          <cell r="H1413">
            <v>450</v>
          </cell>
        </row>
        <row r="1414">
          <cell r="C1414" t="str">
            <v>0620-14</v>
          </cell>
          <cell r="H1414">
            <v>450</v>
          </cell>
        </row>
        <row r="1415">
          <cell r="C1415" t="str">
            <v>0620-11</v>
          </cell>
          <cell r="H1415">
            <v>302.58999999999997</v>
          </cell>
        </row>
        <row r="1416">
          <cell r="C1416" t="str">
            <v>0620-09</v>
          </cell>
          <cell r="H1416">
            <v>302.58999999999997</v>
          </cell>
        </row>
        <row r="1417">
          <cell r="C1417" t="str">
            <v>0620-08</v>
          </cell>
          <cell r="H1417">
            <v>302.58999999999997</v>
          </cell>
        </row>
        <row r="1418">
          <cell r="C1418" t="str">
            <v>0620-05</v>
          </cell>
          <cell r="H1418">
            <v>150.86000000000001</v>
          </cell>
        </row>
        <row r="1419">
          <cell r="C1419" t="str">
            <v>0620-03</v>
          </cell>
          <cell r="H1419">
            <v>150.86000000000001</v>
          </cell>
        </row>
        <row r="1420">
          <cell r="C1420" t="str">
            <v>0620-01</v>
          </cell>
          <cell r="H1420">
            <v>150.86000000000001</v>
          </cell>
        </row>
        <row r="1421">
          <cell r="C1421" t="str">
            <v>0419-25</v>
          </cell>
          <cell r="H1421">
            <v>6.03</v>
          </cell>
        </row>
        <row r="1422">
          <cell r="C1422" t="str">
            <v>0416-25</v>
          </cell>
          <cell r="H1422">
            <v>6.03</v>
          </cell>
        </row>
        <row r="1423">
          <cell r="C1423" t="str">
            <v>0415-25</v>
          </cell>
          <cell r="H1423">
            <v>6.03</v>
          </cell>
        </row>
        <row r="1424">
          <cell r="C1424" t="str">
            <v>0405-25</v>
          </cell>
          <cell r="H1424">
            <v>6.03</v>
          </cell>
        </row>
        <row r="1425">
          <cell r="C1425" t="str">
            <v>0324-2</v>
          </cell>
          <cell r="H1425">
            <v>0.01</v>
          </cell>
        </row>
        <row r="1426">
          <cell r="C1426" t="str">
            <v>0321-25</v>
          </cell>
          <cell r="H1426">
            <v>6.03</v>
          </cell>
        </row>
        <row r="1427">
          <cell r="C1427" t="str">
            <v>0282-25</v>
          </cell>
          <cell r="H1427">
            <v>6.03</v>
          </cell>
        </row>
        <row r="1428">
          <cell r="C1428" t="str">
            <v>358919</v>
          </cell>
          <cell r="H1428">
            <v>270.69</v>
          </cell>
        </row>
        <row r="1429">
          <cell r="C1429" t="str">
            <v>352724</v>
          </cell>
          <cell r="H1429">
            <v>285.33999999999997</v>
          </cell>
        </row>
        <row r="1430">
          <cell r="C1430" t="str">
            <v>314098</v>
          </cell>
          <cell r="H1430">
            <v>350</v>
          </cell>
        </row>
        <row r="1431">
          <cell r="C1431" t="str">
            <v>314097</v>
          </cell>
          <cell r="H1431">
            <v>350</v>
          </cell>
        </row>
        <row r="1432">
          <cell r="C1432" t="str">
            <v>313552</v>
          </cell>
          <cell r="H1432">
            <v>300.86</v>
          </cell>
        </row>
        <row r="1433">
          <cell r="C1433" t="str">
            <v>313529</v>
          </cell>
          <cell r="H1433">
            <v>295.69</v>
          </cell>
        </row>
        <row r="1434">
          <cell r="C1434" t="str">
            <v>313522</v>
          </cell>
          <cell r="H1434">
            <v>237.07</v>
          </cell>
        </row>
        <row r="1435">
          <cell r="C1435" t="str">
            <v>313518</v>
          </cell>
          <cell r="H1435">
            <v>290.52</v>
          </cell>
        </row>
        <row r="1436">
          <cell r="C1436" t="str">
            <v>313500</v>
          </cell>
          <cell r="H1436">
            <v>303.45</v>
          </cell>
        </row>
        <row r="1437">
          <cell r="C1437" t="str">
            <v>272073</v>
          </cell>
          <cell r="H1437">
            <v>256.02999999999997</v>
          </cell>
        </row>
        <row r="1438">
          <cell r="C1438" t="str">
            <v>272072</v>
          </cell>
          <cell r="H1438">
            <v>260.33999999999997</v>
          </cell>
        </row>
        <row r="1439">
          <cell r="C1439" t="str">
            <v>272071</v>
          </cell>
          <cell r="H1439">
            <v>263.79000000000002</v>
          </cell>
        </row>
        <row r="1440">
          <cell r="C1440" t="str">
            <v>272070</v>
          </cell>
          <cell r="H1440">
            <v>216.38</v>
          </cell>
        </row>
        <row r="1441">
          <cell r="C1441" t="str">
            <v>272069</v>
          </cell>
          <cell r="H1441">
            <v>260.33999999999997</v>
          </cell>
        </row>
        <row r="1442">
          <cell r="C1442" t="str">
            <v>272057</v>
          </cell>
          <cell r="H1442">
            <v>230.17</v>
          </cell>
        </row>
        <row r="1443">
          <cell r="C1443" t="str">
            <v>272049</v>
          </cell>
          <cell r="H1443">
            <v>220.69</v>
          </cell>
        </row>
        <row r="1444">
          <cell r="C1444" t="str">
            <v>251591</v>
          </cell>
          <cell r="H1444">
            <v>240.52</v>
          </cell>
        </row>
        <row r="1445">
          <cell r="C1445" t="str">
            <v>241526</v>
          </cell>
          <cell r="H1445">
            <v>240.52</v>
          </cell>
        </row>
        <row r="1446">
          <cell r="C1446" t="str">
            <v>89108</v>
          </cell>
          <cell r="H1446">
            <v>7.76</v>
          </cell>
        </row>
        <row r="1447">
          <cell r="C1447" t="str">
            <v>85235</v>
          </cell>
          <cell r="H1447">
            <v>115.52</v>
          </cell>
        </row>
        <row r="1448">
          <cell r="C1448" t="str">
            <v>79451</v>
          </cell>
          <cell r="H1448">
            <v>1383.62</v>
          </cell>
        </row>
        <row r="1449">
          <cell r="C1449" t="str">
            <v>79401</v>
          </cell>
          <cell r="H1449">
            <v>2394.83</v>
          </cell>
        </row>
        <row r="1450">
          <cell r="C1450" t="str">
            <v>79393</v>
          </cell>
          <cell r="H1450">
            <v>122.41</v>
          </cell>
        </row>
        <row r="1451">
          <cell r="C1451" t="str">
            <v>79383</v>
          </cell>
          <cell r="H1451">
            <v>910.34</v>
          </cell>
        </row>
        <row r="1452">
          <cell r="C1452" t="str">
            <v>79234</v>
          </cell>
          <cell r="H1452">
            <v>163.79</v>
          </cell>
        </row>
        <row r="1453">
          <cell r="C1453" t="str">
            <v>79099</v>
          </cell>
          <cell r="H1453">
            <v>65.52</v>
          </cell>
        </row>
        <row r="1454">
          <cell r="C1454" t="str">
            <v>76004</v>
          </cell>
          <cell r="H1454">
            <v>268.97000000000003</v>
          </cell>
        </row>
        <row r="1455">
          <cell r="C1455" t="str">
            <v>76003</v>
          </cell>
          <cell r="H1455">
            <v>964.66</v>
          </cell>
        </row>
        <row r="1456">
          <cell r="C1456" t="str">
            <v>9103-E9</v>
          </cell>
          <cell r="H1456">
            <v>53.45</v>
          </cell>
        </row>
        <row r="1457">
          <cell r="C1457" t="str">
            <v>9102-BE</v>
          </cell>
          <cell r="H1457">
            <v>39.659999999999997</v>
          </cell>
        </row>
        <row r="1458">
          <cell r="C1458" t="str">
            <v>6701-60</v>
          </cell>
          <cell r="H1458">
            <v>159.47999999999999</v>
          </cell>
        </row>
        <row r="1459">
          <cell r="C1459" t="str">
            <v>6701-50</v>
          </cell>
          <cell r="H1459">
            <v>133.62</v>
          </cell>
        </row>
        <row r="1460">
          <cell r="C1460" t="str">
            <v>6701-40</v>
          </cell>
          <cell r="H1460">
            <v>112.07</v>
          </cell>
        </row>
        <row r="1461">
          <cell r="C1461" t="str">
            <v>6700-05</v>
          </cell>
          <cell r="H1461">
            <v>30.17</v>
          </cell>
        </row>
        <row r="1462">
          <cell r="C1462" t="str">
            <v>0419-19</v>
          </cell>
          <cell r="H1462">
            <v>0.86</v>
          </cell>
        </row>
        <row r="1463">
          <cell r="C1463" t="str">
            <v>0416-19</v>
          </cell>
          <cell r="H1463">
            <v>14.66</v>
          </cell>
        </row>
        <row r="1464">
          <cell r="C1464" t="str">
            <v>0415-19</v>
          </cell>
          <cell r="H1464">
            <v>14.66</v>
          </cell>
        </row>
        <row r="1465">
          <cell r="C1465" t="str">
            <v>0414-N</v>
          </cell>
          <cell r="H1465">
            <v>12.93</v>
          </cell>
        </row>
        <row r="1466">
          <cell r="C1466" t="str">
            <v>0405-19</v>
          </cell>
          <cell r="H1466">
            <v>38.79</v>
          </cell>
        </row>
        <row r="1467">
          <cell r="C1467" t="str">
            <v>0282-19</v>
          </cell>
          <cell r="H1467">
            <v>15.52</v>
          </cell>
        </row>
        <row r="1468">
          <cell r="C1468" t="str">
            <v>272126</v>
          </cell>
          <cell r="H1468">
            <v>285.33999999999997</v>
          </cell>
        </row>
        <row r="1469">
          <cell r="C1469" t="str">
            <v>89930</v>
          </cell>
          <cell r="H1469">
            <v>0.86</v>
          </cell>
        </row>
        <row r="1470">
          <cell r="C1470" t="str">
            <v>89072</v>
          </cell>
          <cell r="H1470">
            <v>84.48</v>
          </cell>
        </row>
        <row r="1471">
          <cell r="C1471" t="str">
            <v>89023</v>
          </cell>
          <cell r="H1471">
            <v>21.55</v>
          </cell>
        </row>
        <row r="1472">
          <cell r="C1472" t="str">
            <v>89022</v>
          </cell>
          <cell r="H1472">
            <v>42.24</v>
          </cell>
        </row>
        <row r="1473">
          <cell r="C1473" t="str">
            <v>89025</v>
          </cell>
          <cell r="H1473">
            <v>12.07</v>
          </cell>
        </row>
        <row r="1474">
          <cell r="C1474" t="str">
            <v>0429-19</v>
          </cell>
          <cell r="H1474">
            <v>0.86</v>
          </cell>
        </row>
        <row r="1475">
          <cell r="C1475" t="str">
            <v>89109</v>
          </cell>
          <cell r="H1475">
            <v>5.17</v>
          </cell>
        </row>
        <row r="1476">
          <cell r="C1476" t="str">
            <v>89107</v>
          </cell>
          <cell r="H1476">
            <v>11.21</v>
          </cell>
        </row>
        <row r="1477">
          <cell r="C1477" t="str">
            <v>89045</v>
          </cell>
          <cell r="H1477">
            <v>21.55</v>
          </cell>
        </row>
        <row r="1478">
          <cell r="C1478" t="str">
            <v>76021</v>
          </cell>
          <cell r="H1478">
            <v>4062.93</v>
          </cell>
        </row>
        <row r="1479">
          <cell r="C1479" t="str">
            <v>76020</v>
          </cell>
          <cell r="H1479">
            <v>40625.86</v>
          </cell>
        </row>
        <row r="1480">
          <cell r="C1480" t="str">
            <v>89951-B</v>
          </cell>
          <cell r="H1480">
            <v>75</v>
          </cell>
        </row>
        <row r="1481">
          <cell r="C1481" t="str">
            <v>89959</v>
          </cell>
          <cell r="H1481">
            <v>75</v>
          </cell>
        </row>
        <row r="1482">
          <cell r="C1482" t="str">
            <v>89953</v>
          </cell>
          <cell r="H1482">
            <v>75</v>
          </cell>
        </row>
        <row r="1483">
          <cell r="C1483" t="str">
            <v>89948</v>
          </cell>
          <cell r="H1483">
            <v>75</v>
          </cell>
        </row>
        <row r="1484">
          <cell r="C1484" t="str">
            <v>89942</v>
          </cell>
          <cell r="H1484">
            <v>75</v>
          </cell>
        </row>
        <row r="1485">
          <cell r="C1485" t="str">
            <v>89936</v>
          </cell>
          <cell r="H1485">
            <v>75</v>
          </cell>
        </row>
        <row r="1486">
          <cell r="C1486" t="str">
            <v>89913</v>
          </cell>
          <cell r="H1486">
            <v>196.55</v>
          </cell>
        </row>
        <row r="1487">
          <cell r="C1487" t="str">
            <v>89912</v>
          </cell>
          <cell r="H1487">
            <v>42.24</v>
          </cell>
        </row>
        <row r="1488">
          <cell r="C1488" t="str">
            <v>89030</v>
          </cell>
          <cell r="H1488">
            <v>87.07</v>
          </cell>
        </row>
        <row r="1489">
          <cell r="C1489" t="str">
            <v>89677</v>
          </cell>
          <cell r="H1489">
            <v>7.76</v>
          </cell>
        </row>
        <row r="1490">
          <cell r="C1490" t="str">
            <v>89104</v>
          </cell>
          <cell r="H1490">
            <v>168.1</v>
          </cell>
        </row>
        <row r="1491">
          <cell r="C1491" t="str">
            <v>ES-62833</v>
          </cell>
          <cell r="H1491">
            <v>2387.9299999999998</v>
          </cell>
        </row>
        <row r="1492">
          <cell r="C1492" t="str">
            <v>ES-62673</v>
          </cell>
          <cell r="H1492">
            <v>1674.14</v>
          </cell>
        </row>
        <row r="1493">
          <cell r="C1493" t="str">
            <v>ES-62663</v>
          </cell>
          <cell r="H1493">
            <v>1676.72</v>
          </cell>
        </row>
        <row r="1494">
          <cell r="C1494" t="str">
            <v>ES-62643</v>
          </cell>
          <cell r="H1494">
            <v>1306.03</v>
          </cell>
        </row>
        <row r="1495">
          <cell r="C1495" t="str">
            <v>ES-62623</v>
          </cell>
          <cell r="H1495">
            <v>2111.21</v>
          </cell>
        </row>
        <row r="1496">
          <cell r="C1496" t="str">
            <v>ES-62613</v>
          </cell>
          <cell r="H1496">
            <v>1706.03</v>
          </cell>
        </row>
        <row r="1497">
          <cell r="C1497" t="str">
            <v>ES-62603</v>
          </cell>
          <cell r="H1497">
            <v>3156.9</v>
          </cell>
        </row>
        <row r="1498">
          <cell r="C1498" t="str">
            <v>ES-62563</v>
          </cell>
          <cell r="H1498">
            <v>1612.07</v>
          </cell>
        </row>
        <row r="1499">
          <cell r="C1499" t="str">
            <v>ES-62553</v>
          </cell>
          <cell r="H1499">
            <v>1956.9</v>
          </cell>
        </row>
        <row r="1500">
          <cell r="C1500" t="str">
            <v>ES-62543</v>
          </cell>
          <cell r="H1500">
            <v>2487.0700000000002</v>
          </cell>
        </row>
        <row r="1501">
          <cell r="C1501" t="str">
            <v>ES-62533</v>
          </cell>
          <cell r="H1501">
            <v>2553.4499999999998</v>
          </cell>
        </row>
        <row r="1502">
          <cell r="C1502" t="str">
            <v>ES-62523</v>
          </cell>
          <cell r="H1502">
            <v>1612.07</v>
          </cell>
        </row>
        <row r="1503">
          <cell r="C1503" t="str">
            <v>ES-62521</v>
          </cell>
          <cell r="H1503">
            <v>11864.66</v>
          </cell>
        </row>
        <row r="1504">
          <cell r="C1504" t="str">
            <v>ES-62513</v>
          </cell>
          <cell r="H1504">
            <v>1718.1</v>
          </cell>
        </row>
        <row r="1505">
          <cell r="C1505" t="str">
            <v>ES-62511</v>
          </cell>
          <cell r="H1505">
            <v>7276.72</v>
          </cell>
        </row>
        <row r="1506">
          <cell r="C1506" t="str">
            <v>ES-62461</v>
          </cell>
          <cell r="H1506">
            <v>10898.28</v>
          </cell>
        </row>
        <row r="1507">
          <cell r="C1507" t="str">
            <v>ES-62453</v>
          </cell>
          <cell r="H1507">
            <v>2153.4499999999998</v>
          </cell>
        </row>
        <row r="1508">
          <cell r="C1508" t="str">
            <v>ES-62181</v>
          </cell>
          <cell r="H1508">
            <v>9010.34</v>
          </cell>
        </row>
        <row r="1509">
          <cell r="C1509" t="str">
            <v>ES-62001</v>
          </cell>
          <cell r="H1509">
            <v>5674.14</v>
          </cell>
        </row>
        <row r="1510">
          <cell r="C1510" t="str">
            <v>ES-61811</v>
          </cell>
          <cell r="H1510">
            <v>7271.55</v>
          </cell>
        </row>
        <row r="1511">
          <cell r="C1511" t="str">
            <v>ES-61801</v>
          </cell>
          <cell r="H1511">
            <v>8357.76</v>
          </cell>
        </row>
        <row r="1512">
          <cell r="C1512" t="str">
            <v>ES-61781</v>
          </cell>
          <cell r="H1512">
            <v>8357.76</v>
          </cell>
        </row>
        <row r="1513">
          <cell r="C1513" t="str">
            <v>ES-61744</v>
          </cell>
          <cell r="H1513">
            <v>216.38</v>
          </cell>
        </row>
        <row r="1514">
          <cell r="C1514" t="str">
            <v>ES-61711</v>
          </cell>
          <cell r="H1514">
            <v>5071.55</v>
          </cell>
        </row>
        <row r="1515">
          <cell r="C1515" t="str">
            <v>ES-61683</v>
          </cell>
          <cell r="H1515">
            <v>2387.9299999999998</v>
          </cell>
        </row>
        <row r="1516">
          <cell r="C1516" t="str">
            <v>ES-61626</v>
          </cell>
          <cell r="H1516">
            <v>128.44999999999999</v>
          </cell>
        </row>
        <row r="1517">
          <cell r="C1517" t="str">
            <v>ES-61537</v>
          </cell>
          <cell r="H1517">
            <v>62.93</v>
          </cell>
        </row>
        <row r="1518">
          <cell r="C1518" t="str">
            <v>ES-61171</v>
          </cell>
          <cell r="H1518">
            <v>8453.4500000000007</v>
          </cell>
        </row>
        <row r="1519">
          <cell r="C1519" t="str">
            <v>ES-61161</v>
          </cell>
          <cell r="H1519">
            <v>8453.4500000000007</v>
          </cell>
        </row>
        <row r="1520">
          <cell r="C1520" t="str">
            <v>ES-61083</v>
          </cell>
          <cell r="H1520">
            <v>1790.52</v>
          </cell>
        </row>
        <row r="1521">
          <cell r="C1521" t="str">
            <v>ES-61071</v>
          </cell>
          <cell r="H1521">
            <v>8102.59</v>
          </cell>
        </row>
        <row r="1522">
          <cell r="C1522" t="str">
            <v>ES-47054</v>
          </cell>
          <cell r="H1522">
            <v>200.86</v>
          </cell>
        </row>
        <row r="1523">
          <cell r="C1523" t="str">
            <v>ES-47053</v>
          </cell>
          <cell r="H1523">
            <v>791.38</v>
          </cell>
        </row>
        <row r="1524">
          <cell r="C1524" t="str">
            <v>ES-47025</v>
          </cell>
          <cell r="H1524">
            <v>88.79</v>
          </cell>
        </row>
        <row r="1525">
          <cell r="C1525" t="str">
            <v>ES-47024</v>
          </cell>
          <cell r="H1525">
            <v>177.59</v>
          </cell>
        </row>
        <row r="1526">
          <cell r="C1526" t="str">
            <v>ES-47021</v>
          </cell>
          <cell r="H1526">
            <v>1865.52</v>
          </cell>
        </row>
        <row r="1527">
          <cell r="C1527" t="str">
            <v>ES-46944</v>
          </cell>
          <cell r="H1527">
            <v>235.34</v>
          </cell>
        </row>
        <row r="1528">
          <cell r="C1528" t="str">
            <v>ES-46943</v>
          </cell>
          <cell r="H1528">
            <v>863.79</v>
          </cell>
        </row>
        <row r="1529">
          <cell r="C1529" t="str">
            <v>ES-46941</v>
          </cell>
          <cell r="H1529">
            <v>3070.69</v>
          </cell>
        </row>
        <row r="1530">
          <cell r="C1530" t="str">
            <v>ES-46934</v>
          </cell>
          <cell r="H1530">
            <v>248.28</v>
          </cell>
        </row>
        <row r="1531">
          <cell r="C1531" t="str">
            <v>ES-46933</v>
          </cell>
          <cell r="H1531">
            <v>854.31</v>
          </cell>
        </row>
        <row r="1532">
          <cell r="C1532" t="str">
            <v>ES-46931</v>
          </cell>
          <cell r="H1532">
            <v>3501.72</v>
          </cell>
        </row>
        <row r="1533">
          <cell r="C1533" t="str">
            <v>ES-46876</v>
          </cell>
          <cell r="H1533">
            <v>88.79</v>
          </cell>
        </row>
        <row r="1534">
          <cell r="C1534" t="str">
            <v>ES-46875</v>
          </cell>
          <cell r="H1534">
            <v>135.34</v>
          </cell>
        </row>
        <row r="1535">
          <cell r="C1535" t="str">
            <v>ES-46873</v>
          </cell>
          <cell r="H1535">
            <v>611.21</v>
          </cell>
        </row>
        <row r="1536">
          <cell r="C1536" t="str">
            <v>ES-46773</v>
          </cell>
          <cell r="H1536">
            <v>602.59</v>
          </cell>
        </row>
        <row r="1537">
          <cell r="C1537" t="str">
            <v>ES-46771</v>
          </cell>
          <cell r="H1537">
            <v>2488.79</v>
          </cell>
        </row>
        <row r="1538">
          <cell r="C1538" t="str">
            <v>ES-46763</v>
          </cell>
          <cell r="H1538">
            <v>746.55</v>
          </cell>
        </row>
        <row r="1539">
          <cell r="C1539" t="str">
            <v>ES-46761</v>
          </cell>
          <cell r="H1539">
            <v>2794.83</v>
          </cell>
        </row>
        <row r="1540">
          <cell r="C1540" t="str">
            <v>ES-46753</v>
          </cell>
          <cell r="H1540">
            <v>622.41</v>
          </cell>
        </row>
        <row r="1541">
          <cell r="C1541" t="str">
            <v>ES-46751</v>
          </cell>
          <cell r="H1541">
            <v>2568.9699999999998</v>
          </cell>
        </row>
        <row r="1542">
          <cell r="C1542" t="str">
            <v>ES-46743</v>
          </cell>
          <cell r="H1542">
            <v>616.38</v>
          </cell>
        </row>
        <row r="1543">
          <cell r="C1543" t="str">
            <v>ES-46741</v>
          </cell>
          <cell r="H1543">
            <v>2547.41</v>
          </cell>
        </row>
        <row r="1544">
          <cell r="C1544" t="str">
            <v>ES-46733</v>
          </cell>
          <cell r="H1544">
            <v>635.34</v>
          </cell>
        </row>
        <row r="1545">
          <cell r="C1545" t="str">
            <v>ES-46731</v>
          </cell>
          <cell r="H1545">
            <v>2623.28</v>
          </cell>
        </row>
        <row r="1546">
          <cell r="C1546" t="str">
            <v>ES-46723</v>
          </cell>
          <cell r="H1546">
            <v>689.66</v>
          </cell>
        </row>
        <row r="1547">
          <cell r="C1547" t="str">
            <v>ES-46721</v>
          </cell>
          <cell r="H1547">
            <v>2849.14</v>
          </cell>
        </row>
        <row r="1548">
          <cell r="C1548" t="str">
            <v>ES-46711</v>
          </cell>
          <cell r="H1548">
            <v>2935.34</v>
          </cell>
        </row>
        <row r="1549">
          <cell r="C1549" t="str">
            <v>ES-46703</v>
          </cell>
          <cell r="H1549">
            <v>709.48</v>
          </cell>
        </row>
        <row r="1550">
          <cell r="C1550" t="str">
            <v>ES-46701</v>
          </cell>
          <cell r="H1550">
            <v>2928.45</v>
          </cell>
        </row>
        <row r="1551">
          <cell r="C1551" t="str">
            <v>ES-46641</v>
          </cell>
          <cell r="H1551">
            <v>4752.59</v>
          </cell>
        </row>
        <row r="1552">
          <cell r="C1552" t="str">
            <v>ES-46621</v>
          </cell>
          <cell r="H1552">
            <v>3705.17</v>
          </cell>
        </row>
        <row r="1553">
          <cell r="C1553" t="str">
            <v>ES-46551</v>
          </cell>
          <cell r="H1553">
            <v>4086.21</v>
          </cell>
        </row>
        <row r="1554">
          <cell r="C1554" t="str">
            <v>ES-46530</v>
          </cell>
          <cell r="H1554">
            <v>38957.760000000002</v>
          </cell>
        </row>
        <row r="1555">
          <cell r="C1555" t="str">
            <v>ES-46413</v>
          </cell>
          <cell r="H1555">
            <v>1843.1</v>
          </cell>
        </row>
        <row r="1556">
          <cell r="C1556" t="str">
            <v>ES-46331</v>
          </cell>
          <cell r="H1556">
            <v>3888.79</v>
          </cell>
        </row>
        <row r="1557">
          <cell r="C1557" t="str">
            <v>ES-46311</v>
          </cell>
          <cell r="H1557">
            <v>1605.17</v>
          </cell>
        </row>
        <row r="1558">
          <cell r="C1558" t="str">
            <v>ES-46240</v>
          </cell>
          <cell r="H1558">
            <v>29943.97</v>
          </cell>
        </row>
        <row r="1559">
          <cell r="C1559" t="str">
            <v>ES-46200</v>
          </cell>
          <cell r="H1559">
            <v>48206.03</v>
          </cell>
        </row>
        <row r="1560">
          <cell r="C1560" t="str">
            <v>ES-45980</v>
          </cell>
          <cell r="H1560">
            <v>30070.69</v>
          </cell>
        </row>
        <row r="1561">
          <cell r="C1561" t="str">
            <v>ES-45881</v>
          </cell>
          <cell r="H1561">
            <v>3415.52</v>
          </cell>
        </row>
        <row r="1562">
          <cell r="C1562" t="str">
            <v>ES-45871</v>
          </cell>
          <cell r="H1562">
            <v>1469.83</v>
          </cell>
        </row>
        <row r="1563">
          <cell r="C1563" t="str">
            <v>ES-45761</v>
          </cell>
          <cell r="H1563">
            <v>2932.76</v>
          </cell>
        </row>
        <row r="1564">
          <cell r="C1564" t="str">
            <v>ES-45381</v>
          </cell>
          <cell r="H1564">
            <v>5070.6899999999996</v>
          </cell>
        </row>
        <row r="1565">
          <cell r="C1565" t="str">
            <v>ES-45370</v>
          </cell>
          <cell r="H1565">
            <v>28678.45</v>
          </cell>
        </row>
        <row r="1566">
          <cell r="C1566" t="str">
            <v>ES-45321</v>
          </cell>
          <cell r="H1566">
            <v>6407.76</v>
          </cell>
        </row>
        <row r="1567">
          <cell r="C1567" t="str">
            <v>ES-45235</v>
          </cell>
          <cell r="H1567">
            <v>106.03</v>
          </cell>
        </row>
        <row r="1568">
          <cell r="C1568" t="str">
            <v>ES-45234</v>
          </cell>
          <cell r="H1568">
            <v>212.93</v>
          </cell>
        </row>
        <row r="1569">
          <cell r="C1569" t="str">
            <v>ES-45233</v>
          </cell>
          <cell r="H1569">
            <v>782.76</v>
          </cell>
        </row>
        <row r="1570">
          <cell r="C1570" t="str">
            <v>ES-45231</v>
          </cell>
          <cell r="H1570">
            <v>3436.21</v>
          </cell>
        </row>
        <row r="1571">
          <cell r="C1571" t="str">
            <v>ES-44821</v>
          </cell>
          <cell r="H1571">
            <v>5568.97</v>
          </cell>
        </row>
        <row r="1572">
          <cell r="C1572" t="str">
            <v>ES-44801</v>
          </cell>
          <cell r="H1572">
            <v>7311.21</v>
          </cell>
        </row>
        <row r="1573">
          <cell r="C1573" t="str">
            <v>ES-44791</v>
          </cell>
          <cell r="H1573">
            <v>4991.38</v>
          </cell>
        </row>
        <row r="1574">
          <cell r="C1574" t="str">
            <v>ES-44734</v>
          </cell>
          <cell r="H1574">
            <v>278.45</v>
          </cell>
        </row>
        <row r="1575">
          <cell r="C1575" t="str">
            <v>ES-44601</v>
          </cell>
          <cell r="H1575">
            <v>4236.21</v>
          </cell>
        </row>
        <row r="1576">
          <cell r="C1576" t="str">
            <v>ES-44540</v>
          </cell>
          <cell r="H1576">
            <v>32770.69</v>
          </cell>
        </row>
        <row r="1577">
          <cell r="C1577" t="str">
            <v>ES-43951</v>
          </cell>
          <cell r="H1577">
            <v>4526.72</v>
          </cell>
        </row>
        <row r="1578">
          <cell r="C1578" t="str">
            <v>ES-43430</v>
          </cell>
          <cell r="H1578">
            <v>26562.07</v>
          </cell>
        </row>
        <row r="1579">
          <cell r="C1579" t="str">
            <v>ES-43313</v>
          </cell>
          <cell r="H1579">
            <v>642.24</v>
          </cell>
        </row>
        <row r="1580">
          <cell r="C1580" t="str">
            <v>ES-43171</v>
          </cell>
          <cell r="H1580">
            <v>5097.41</v>
          </cell>
        </row>
        <row r="1581">
          <cell r="C1581" t="str">
            <v>ES-43010</v>
          </cell>
          <cell r="H1581">
            <v>30289.66</v>
          </cell>
        </row>
        <row r="1582">
          <cell r="C1582" t="str">
            <v>ES-42870</v>
          </cell>
          <cell r="H1582">
            <v>30387.07</v>
          </cell>
        </row>
        <row r="1583">
          <cell r="C1583" t="str">
            <v>ES-42260</v>
          </cell>
          <cell r="H1583">
            <v>36531.9</v>
          </cell>
        </row>
        <row r="1584">
          <cell r="C1584" t="str">
            <v>ES-42021</v>
          </cell>
          <cell r="H1584">
            <v>3089.66</v>
          </cell>
        </row>
        <row r="1585">
          <cell r="C1585" t="str">
            <v>ES-41571</v>
          </cell>
          <cell r="H1585">
            <v>6982.76</v>
          </cell>
        </row>
        <row r="1586">
          <cell r="C1586" t="str">
            <v>ES-41524</v>
          </cell>
          <cell r="H1586">
            <v>210.34</v>
          </cell>
        </row>
        <row r="1587">
          <cell r="C1587" t="str">
            <v>ES-41221</v>
          </cell>
          <cell r="H1587">
            <v>2007.76</v>
          </cell>
        </row>
        <row r="1588">
          <cell r="C1588" t="str">
            <v>ES-41141</v>
          </cell>
          <cell r="H1588">
            <v>3821.55</v>
          </cell>
        </row>
        <row r="1589">
          <cell r="C1589" t="str">
            <v>ES-40421</v>
          </cell>
          <cell r="H1589">
            <v>6939.66</v>
          </cell>
        </row>
        <row r="1590">
          <cell r="C1590" t="str">
            <v>ES-09423</v>
          </cell>
          <cell r="H1590">
            <v>920.69</v>
          </cell>
        </row>
        <row r="1591">
          <cell r="C1591" t="str">
            <v>ES-09311</v>
          </cell>
          <cell r="H1591">
            <v>3775.86</v>
          </cell>
        </row>
        <row r="1592">
          <cell r="C1592" t="str">
            <v>ES-09271</v>
          </cell>
          <cell r="H1592">
            <v>4239.66</v>
          </cell>
        </row>
        <row r="1593">
          <cell r="C1593" t="str">
            <v>ES-09231</v>
          </cell>
          <cell r="H1593">
            <v>4679.3100000000004</v>
          </cell>
        </row>
        <row r="1594">
          <cell r="C1594" t="str">
            <v>ES-09221</v>
          </cell>
          <cell r="H1594">
            <v>710.34</v>
          </cell>
        </row>
        <row r="1595">
          <cell r="C1595" t="str">
            <v>ES-09190</v>
          </cell>
          <cell r="H1595">
            <v>29665.52</v>
          </cell>
        </row>
        <row r="1596">
          <cell r="C1596" t="str">
            <v>ES-09160</v>
          </cell>
          <cell r="H1596">
            <v>23952.59</v>
          </cell>
        </row>
        <row r="1597">
          <cell r="C1597" t="str">
            <v>ES-09120</v>
          </cell>
          <cell r="H1597">
            <v>32648.28</v>
          </cell>
        </row>
        <row r="1598">
          <cell r="C1598" t="str">
            <v>ES-09110</v>
          </cell>
          <cell r="H1598">
            <v>41756.9</v>
          </cell>
        </row>
        <row r="1599">
          <cell r="C1599" t="str">
            <v>ES-09100</v>
          </cell>
          <cell r="H1599">
            <v>35576.720000000001</v>
          </cell>
        </row>
        <row r="1600">
          <cell r="C1600" t="str">
            <v>ES-09091</v>
          </cell>
          <cell r="H1600">
            <v>3525.86</v>
          </cell>
        </row>
        <row r="1601">
          <cell r="C1601" t="str">
            <v>ES-09070</v>
          </cell>
          <cell r="H1601">
            <v>37556.9</v>
          </cell>
        </row>
        <row r="1602">
          <cell r="C1602" t="str">
            <v>ES-09050</v>
          </cell>
          <cell r="H1602">
            <v>21805.17</v>
          </cell>
        </row>
        <row r="1603">
          <cell r="C1603" t="str">
            <v>ES-09041</v>
          </cell>
          <cell r="H1603">
            <v>812.07</v>
          </cell>
        </row>
        <row r="1604">
          <cell r="C1604" t="str">
            <v>ES-09021</v>
          </cell>
          <cell r="H1604">
            <v>100.86</v>
          </cell>
        </row>
        <row r="1605">
          <cell r="C1605" t="str">
            <v>ES-09001</v>
          </cell>
          <cell r="H1605">
            <v>2040.52</v>
          </cell>
        </row>
        <row r="1606">
          <cell r="C1606" t="str">
            <v>ES-08961</v>
          </cell>
          <cell r="H1606">
            <v>4602.59</v>
          </cell>
        </row>
        <row r="1607">
          <cell r="C1607" t="str">
            <v>ES-08921</v>
          </cell>
          <cell r="H1607">
            <v>5562.93</v>
          </cell>
        </row>
        <row r="1608">
          <cell r="C1608" t="str">
            <v>ES-08891</v>
          </cell>
          <cell r="H1608">
            <v>4525.8599999999997</v>
          </cell>
        </row>
        <row r="1609">
          <cell r="C1609" t="str">
            <v>ES-08841</v>
          </cell>
          <cell r="H1609">
            <v>4283.62</v>
          </cell>
        </row>
        <row r="1610">
          <cell r="C1610" t="str">
            <v>ES-08830</v>
          </cell>
          <cell r="H1610">
            <v>51869.83</v>
          </cell>
        </row>
        <row r="1611">
          <cell r="C1611" t="str">
            <v>ES-08811</v>
          </cell>
          <cell r="H1611">
            <v>5322.41</v>
          </cell>
        </row>
        <row r="1612">
          <cell r="C1612" t="str">
            <v>ES-08770</v>
          </cell>
          <cell r="H1612">
            <v>47434.48</v>
          </cell>
        </row>
        <row r="1613">
          <cell r="C1613" t="str">
            <v>ES-08760</v>
          </cell>
          <cell r="H1613">
            <v>19889.66</v>
          </cell>
        </row>
        <row r="1614">
          <cell r="C1614" t="str">
            <v>ES-08750</v>
          </cell>
          <cell r="H1614">
            <v>51169.83</v>
          </cell>
        </row>
        <row r="1615">
          <cell r="C1615" t="str">
            <v>ES-08741</v>
          </cell>
          <cell r="H1615">
            <v>5027.59</v>
          </cell>
        </row>
        <row r="1616">
          <cell r="C1616" t="str">
            <v>ES-08684</v>
          </cell>
          <cell r="H1616">
            <v>273.27999999999997</v>
          </cell>
        </row>
        <row r="1617">
          <cell r="C1617" t="str">
            <v>ES-08683</v>
          </cell>
          <cell r="H1617">
            <v>1103.45</v>
          </cell>
        </row>
        <row r="1618">
          <cell r="C1618" t="str">
            <v>ES-08681</v>
          </cell>
          <cell r="H1618">
            <v>4368.97</v>
          </cell>
        </row>
        <row r="1619">
          <cell r="C1619" t="str">
            <v>ES-08661</v>
          </cell>
          <cell r="H1619">
            <v>5014.66</v>
          </cell>
        </row>
        <row r="1620">
          <cell r="C1620" t="str">
            <v>ES-08644</v>
          </cell>
          <cell r="H1620">
            <v>728.45</v>
          </cell>
        </row>
        <row r="1621">
          <cell r="C1621" t="str">
            <v>ES-08570</v>
          </cell>
          <cell r="H1621">
            <v>56955.17</v>
          </cell>
        </row>
        <row r="1622">
          <cell r="C1622" t="str">
            <v>ES-08520</v>
          </cell>
          <cell r="H1622">
            <v>50097.41</v>
          </cell>
        </row>
        <row r="1623">
          <cell r="C1623" t="str">
            <v>ES-08441</v>
          </cell>
          <cell r="H1623">
            <v>4104.3100000000004</v>
          </cell>
        </row>
        <row r="1624">
          <cell r="C1624" t="str">
            <v>ES-08403</v>
          </cell>
          <cell r="H1624">
            <v>628.45000000000005</v>
          </cell>
        </row>
        <row r="1625">
          <cell r="C1625" t="str">
            <v>ES-08391</v>
          </cell>
          <cell r="H1625">
            <v>2167.2399999999998</v>
          </cell>
        </row>
        <row r="1626">
          <cell r="C1626" t="str">
            <v>ES-08373</v>
          </cell>
          <cell r="H1626">
            <v>550.86</v>
          </cell>
        </row>
        <row r="1627">
          <cell r="C1627" t="str">
            <v>ES-08371</v>
          </cell>
          <cell r="H1627">
            <v>2560.34</v>
          </cell>
        </row>
        <row r="1628">
          <cell r="C1628" t="str">
            <v>ES-08370</v>
          </cell>
          <cell r="H1628">
            <v>22449.14</v>
          </cell>
        </row>
        <row r="1629">
          <cell r="C1629" t="str">
            <v>ES-08341</v>
          </cell>
          <cell r="H1629">
            <v>3265.52</v>
          </cell>
        </row>
        <row r="1630">
          <cell r="C1630" t="str">
            <v>ES-08311</v>
          </cell>
          <cell r="H1630">
            <v>2782.76</v>
          </cell>
        </row>
        <row r="1631">
          <cell r="C1631" t="str">
            <v>ES-08302</v>
          </cell>
          <cell r="H1631">
            <v>1669.83</v>
          </cell>
        </row>
        <row r="1632">
          <cell r="C1632" t="str">
            <v>ES-08291</v>
          </cell>
          <cell r="H1632">
            <v>4012.07</v>
          </cell>
        </row>
        <row r="1633">
          <cell r="C1633" t="str">
            <v>ES-08271</v>
          </cell>
          <cell r="H1633">
            <v>3342.24</v>
          </cell>
        </row>
        <row r="1634">
          <cell r="C1634" t="str">
            <v>ES-08150</v>
          </cell>
          <cell r="H1634">
            <v>27381.03</v>
          </cell>
        </row>
        <row r="1635">
          <cell r="C1635" t="str">
            <v>ES-07852</v>
          </cell>
          <cell r="H1635">
            <v>1143.0999999999999</v>
          </cell>
        </row>
        <row r="1636">
          <cell r="C1636" t="str">
            <v>ES-07842</v>
          </cell>
          <cell r="H1636">
            <v>1724.14</v>
          </cell>
        </row>
        <row r="1637">
          <cell r="C1637" t="str">
            <v>ES-07710</v>
          </cell>
          <cell r="H1637">
            <v>18687.93</v>
          </cell>
        </row>
        <row r="1638">
          <cell r="C1638" t="str">
            <v>ES-07691</v>
          </cell>
          <cell r="H1638">
            <v>2812.07</v>
          </cell>
        </row>
        <row r="1639">
          <cell r="C1639" t="str">
            <v>ES-07613</v>
          </cell>
          <cell r="H1639">
            <v>1115.52</v>
          </cell>
        </row>
        <row r="1640">
          <cell r="C1640" t="str">
            <v>ES-07580</v>
          </cell>
          <cell r="H1640">
            <v>35174.14</v>
          </cell>
        </row>
        <row r="1641">
          <cell r="C1641" t="str">
            <v>ES-07500</v>
          </cell>
          <cell r="H1641">
            <v>19918.97</v>
          </cell>
        </row>
        <row r="1642">
          <cell r="C1642" t="str">
            <v>ES-07120</v>
          </cell>
          <cell r="H1642">
            <v>28462.07</v>
          </cell>
        </row>
        <row r="1643">
          <cell r="C1643" t="str">
            <v>ES-07031</v>
          </cell>
          <cell r="H1643">
            <v>3785.34</v>
          </cell>
        </row>
        <row r="1644">
          <cell r="C1644" t="str">
            <v>ES-06810</v>
          </cell>
          <cell r="H1644">
            <v>27379.31</v>
          </cell>
        </row>
        <row r="1645">
          <cell r="C1645" t="str">
            <v>ES-06730</v>
          </cell>
          <cell r="H1645">
            <v>28293.97</v>
          </cell>
        </row>
        <row r="1646">
          <cell r="C1646" t="str">
            <v>ES-06644</v>
          </cell>
          <cell r="H1646">
            <v>374.14</v>
          </cell>
        </row>
        <row r="1647">
          <cell r="C1647" t="str">
            <v>ES-06571</v>
          </cell>
          <cell r="H1647">
            <v>5312.07</v>
          </cell>
        </row>
        <row r="1648">
          <cell r="C1648" t="str">
            <v>ES-06570</v>
          </cell>
          <cell r="H1648">
            <v>52409.48</v>
          </cell>
        </row>
        <row r="1649">
          <cell r="C1649" t="str">
            <v>ES-06523</v>
          </cell>
          <cell r="H1649">
            <v>1170.69</v>
          </cell>
        </row>
        <row r="1650">
          <cell r="C1650" t="str">
            <v>ES-06360</v>
          </cell>
          <cell r="H1650">
            <v>29318.1</v>
          </cell>
        </row>
        <row r="1651">
          <cell r="C1651" t="str">
            <v>ES-06341</v>
          </cell>
          <cell r="H1651">
            <v>2965.52</v>
          </cell>
        </row>
        <row r="1652">
          <cell r="C1652" t="str">
            <v>ES-06231</v>
          </cell>
          <cell r="H1652">
            <v>2145.69</v>
          </cell>
        </row>
        <row r="1653">
          <cell r="C1653" t="str">
            <v>ES-06230</v>
          </cell>
          <cell r="H1653">
            <v>20722.41</v>
          </cell>
        </row>
        <row r="1654">
          <cell r="C1654" t="str">
            <v>ES-06181</v>
          </cell>
          <cell r="H1654">
            <v>3248.28</v>
          </cell>
        </row>
        <row r="1655">
          <cell r="C1655" t="str">
            <v>ES-06171</v>
          </cell>
          <cell r="H1655">
            <v>2911.21</v>
          </cell>
        </row>
        <row r="1656">
          <cell r="C1656" t="str">
            <v>ES-06161</v>
          </cell>
          <cell r="H1656">
            <v>2301.7199999999998</v>
          </cell>
        </row>
        <row r="1657">
          <cell r="C1657" t="str">
            <v>ES-05931</v>
          </cell>
          <cell r="H1657">
            <v>4540.5200000000004</v>
          </cell>
        </row>
        <row r="1658">
          <cell r="C1658" t="str">
            <v>ES-05791</v>
          </cell>
          <cell r="H1658">
            <v>4338.79</v>
          </cell>
        </row>
        <row r="1659">
          <cell r="C1659" t="str">
            <v>ES-05701</v>
          </cell>
          <cell r="H1659">
            <v>3232.76</v>
          </cell>
        </row>
        <row r="1660">
          <cell r="C1660" t="str">
            <v>ES-05693</v>
          </cell>
          <cell r="H1660">
            <v>1170.69</v>
          </cell>
        </row>
        <row r="1661">
          <cell r="C1661" t="str">
            <v>ES-05620</v>
          </cell>
          <cell r="H1661">
            <v>42628.45</v>
          </cell>
        </row>
        <row r="1662">
          <cell r="C1662" t="str">
            <v>ES-05573</v>
          </cell>
          <cell r="H1662">
            <v>1170.69</v>
          </cell>
        </row>
        <row r="1663">
          <cell r="C1663" t="str">
            <v>ES-05531</v>
          </cell>
          <cell r="H1663">
            <v>3980.17</v>
          </cell>
        </row>
        <row r="1664">
          <cell r="C1664" t="str">
            <v>ES-05513</v>
          </cell>
          <cell r="H1664">
            <v>965.52</v>
          </cell>
        </row>
        <row r="1665">
          <cell r="C1665" t="str">
            <v>ES-05350</v>
          </cell>
          <cell r="H1665">
            <v>41981.9</v>
          </cell>
        </row>
        <row r="1666">
          <cell r="C1666" t="str">
            <v>ES-05260</v>
          </cell>
          <cell r="H1666">
            <v>43653.45</v>
          </cell>
        </row>
        <row r="1667">
          <cell r="C1667" t="str">
            <v>ES-05230</v>
          </cell>
          <cell r="H1667">
            <v>37647.410000000003</v>
          </cell>
        </row>
        <row r="1668">
          <cell r="C1668" t="str">
            <v>ES-05193</v>
          </cell>
          <cell r="H1668">
            <v>1170.69</v>
          </cell>
        </row>
        <row r="1669">
          <cell r="C1669" t="str">
            <v>ES-05131</v>
          </cell>
          <cell r="H1669">
            <v>3222.41</v>
          </cell>
        </row>
        <row r="1670">
          <cell r="C1670" t="str">
            <v>ES-05124</v>
          </cell>
          <cell r="H1670">
            <v>232.76</v>
          </cell>
        </row>
        <row r="1671">
          <cell r="C1671" t="str">
            <v>ES-05123</v>
          </cell>
          <cell r="H1671">
            <v>771.55</v>
          </cell>
        </row>
        <row r="1672">
          <cell r="C1672" t="str">
            <v>ES-05121</v>
          </cell>
          <cell r="H1672">
            <v>3262.07</v>
          </cell>
        </row>
        <row r="1673">
          <cell r="C1673" t="str">
            <v>ES-05120</v>
          </cell>
          <cell r="H1673">
            <v>32900</v>
          </cell>
        </row>
        <row r="1674">
          <cell r="C1674" t="str">
            <v>ES-05114</v>
          </cell>
          <cell r="H1674">
            <v>231.9</v>
          </cell>
        </row>
        <row r="1675">
          <cell r="C1675" t="str">
            <v>ES-05113</v>
          </cell>
          <cell r="H1675">
            <v>771.55</v>
          </cell>
        </row>
        <row r="1676">
          <cell r="C1676" t="str">
            <v>ES-05111</v>
          </cell>
          <cell r="H1676">
            <v>3262.07</v>
          </cell>
        </row>
        <row r="1677">
          <cell r="C1677" t="str">
            <v>ES-05110</v>
          </cell>
          <cell r="H1677">
            <v>32900</v>
          </cell>
        </row>
        <row r="1678">
          <cell r="C1678" t="str">
            <v>ES-05063</v>
          </cell>
          <cell r="H1678">
            <v>1170.69</v>
          </cell>
        </row>
        <row r="1679">
          <cell r="C1679" t="str">
            <v>ES-05030</v>
          </cell>
          <cell r="H1679">
            <v>29957.759999999998</v>
          </cell>
        </row>
        <row r="1680">
          <cell r="C1680" t="str">
            <v>ES-04803</v>
          </cell>
          <cell r="H1680">
            <v>1170.69</v>
          </cell>
        </row>
        <row r="1681">
          <cell r="C1681" t="str">
            <v>ES-04740</v>
          </cell>
          <cell r="H1681">
            <v>23440.52</v>
          </cell>
        </row>
        <row r="1682">
          <cell r="C1682" t="str">
            <v>ES-04713</v>
          </cell>
          <cell r="H1682">
            <v>1170.69</v>
          </cell>
        </row>
        <row r="1683">
          <cell r="C1683" t="str">
            <v>ES-04703</v>
          </cell>
          <cell r="H1683">
            <v>1170.69</v>
          </cell>
        </row>
        <row r="1684">
          <cell r="C1684" t="str">
            <v>ES-04651</v>
          </cell>
          <cell r="H1684">
            <v>3766.38</v>
          </cell>
        </row>
        <row r="1685">
          <cell r="C1685" t="str">
            <v>ES-04441</v>
          </cell>
          <cell r="H1685">
            <v>2355.17</v>
          </cell>
        </row>
        <row r="1686">
          <cell r="C1686" t="str">
            <v>ES-04411</v>
          </cell>
          <cell r="H1686">
            <v>3066.38</v>
          </cell>
        </row>
        <row r="1687">
          <cell r="C1687" t="str">
            <v>ES-04403</v>
          </cell>
          <cell r="H1687">
            <v>1170.69</v>
          </cell>
        </row>
        <row r="1688">
          <cell r="C1688" t="str">
            <v>ES-04371</v>
          </cell>
          <cell r="H1688">
            <v>2095.69</v>
          </cell>
        </row>
        <row r="1689">
          <cell r="C1689" t="str">
            <v>ES-04370</v>
          </cell>
          <cell r="H1689">
            <v>17150</v>
          </cell>
        </row>
        <row r="1690">
          <cell r="C1690" t="str">
            <v>ES-04343</v>
          </cell>
          <cell r="H1690">
            <v>1170.69</v>
          </cell>
        </row>
        <row r="1691">
          <cell r="C1691" t="str">
            <v>ES-04243</v>
          </cell>
          <cell r="H1691">
            <v>1170.69</v>
          </cell>
        </row>
        <row r="1692">
          <cell r="C1692" t="str">
            <v>ES-04173</v>
          </cell>
          <cell r="H1692">
            <v>1170.69</v>
          </cell>
        </row>
        <row r="1693">
          <cell r="C1693" t="str">
            <v>ES-04133</v>
          </cell>
          <cell r="H1693">
            <v>1170.69</v>
          </cell>
        </row>
        <row r="1694">
          <cell r="C1694" t="str">
            <v>ES-04113</v>
          </cell>
          <cell r="H1694">
            <v>1170.69</v>
          </cell>
        </row>
        <row r="1695">
          <cell r="C1695" t="str">
            <v>ES-04103</v>
          </cell>
          <cell r="H1695">
            <v>1170.69</v>
          </cell>
        </row>
        <row r="1696">
          <cell r="C1696" t="str">
            <v>ES-04013</v>
          </cell>
          <cell r="H1696">
            <v>1170.69</v>
          </cell>
        </row>
        <row r="1697">
          <cell r="C1697" t="str">
            <v>ES-03990</v>
          </cell>
          <cell r="H1697">
            <v>45502.59</v>
          </cell>
        </row>
        <row r="1698">
          <cell r="C1698" t="str">
            <v>ES-03883</v>
          </cell>
          <cell r="H1698">
            <v>1170.69</v>
          </cell>
        </row>
        <row r="1699">
          <cell r="C1699" t="str">
            <v>ES-43551</v>
          </cell>
          <cell r="H1699">
            <v>3073.28</v>
          </cell>
        </row>
        <row r="1700">
          <cell r="C1700" t="str">
            <v>ES-03781</v>
          </cell>
          <cell r="H1700">
            <v>5338.79</v>
          </cell>
        </row>
        <row r="1701">
          <cell r="C1701" t="str">
            <v>ES-47061</v>
          </cell>
          <cell r="H1701">
            <v>2918.97</v>
          </cell>
        </row>
        <row r="1702">
          <cell r="C1702" t="str">
            <v>ES-47026</v>
          </cell>
          <cell r="H1702">
            <v>65.52</v>
          </cell>
        </row>
        <row r="1703">
          <cell r="C1703" t="str">
            <v>ES-46971</v>
          </cell>
          <cell r="H1703">
            <v>2035.34</v>
          </cell>
        </row>
        <row r="1704">
          <cell r="C1704" t="str">
            <v>ES-46874</v>
          </cell>
          <cell r="H1704">
            <v>224.14</v>
          </cell>
        </row>
        <row r="1705">
          <cell r="C1705" t="str">
            <v>ES-46861</v>
          </cell>
          <cell r="H1705">
            <v>3209.48</v>
          </cell>
        </row>
        <row r="1706">
          <cell r="C1706" t="str">
            <v>ES-46781</v>
          </cell>
          <cell r="H1706">
            <v>2923.28</v>
          </cell>
        </row>
        <row r="1707">
          <cell r="C1707" t="str">
            <v>ES-46780</v>
          </cell>
          <cell r="H1707">
            <v>29055.17</v>
          </cell>
        </row>
        <row r="1708">
          <cell r="C1708" t="str">
            <v>ES-46130</v>
          </cell>
          <cell r="H1708">
            <v>30247.41</v>
          </cell>
        </row>
        <row r="1709">
          <cell r="C1709" t="str">
            <v>ES-45931</v>
          </cell>
          <cell r="H1709">
            <v>1893.97</v>
          </cell>
        </row>
        <row r="1710">
          <cell r="C1710" t="str">
            <v>ES-45901</v>
          </cell>
          <cell r="H1710">
            <v>3763.79</v>
          </cell>
        </row>
        <row r="1711">
          <cell r="C1711" t="str">
            <v>ES-45204</v>
          </cell>
          <cell r="H1711">
            <v>169.83</v>
          </cell>
        </row>
        <row r="1712">
          <cell r="C1712" t="str">
            <v>ES-09361</v>
          </cell>
          <cell r="H1712">
            <v>4020.69</v>
          </cell>
        </row>
        <row r="1713">
          <cell r="C1713" t="str">
            <v>ES-09321</v>
          </cell>
          <cell r="H1713">
            <v>3068.97</v>
          </cell>
        </row>
        <row r="1714">
          <cell r="C1714" t="str">
            <v>ES-09151</v>
          </cell>
          <cell r="H1714">
            <v>3474.14</v>
          </cell>
        </row>
        <row r="1715">
          <cell r="C1715" t="str">
            <v>ES-08651</v>
          </cell>
          <cell r="H1715">
            <v>4441.38</v>
          </cell>
        </row>
        <row r="1716">
          <cell r="C1716" t="str">
            <v>ES-08563</v>
          </cell>
          <cell r="H1716">
            <v>505.17</v>
          </cell>
        </row>
        <row r="1717">
          <cell r="C1717" t="str">
            <v>ES-08561</v>
          </cell>
          <cell r="H1717">
            <v>2085.34</v>
          </cell>
        </row>
        <row r="1718">
          <cell r="C1718" t="str">
            <v>ES-08494</v>
          </cell>
          <cell r="H1718">
            <v>225</v>
          </cell>
        </row>
        <row r="1719">
          <cell r="C1719" t="str">
            <v>ES-08493</v>
          </cell>
          <cell r="H1719">
            <v>795.69</v>
          </cell>
        </row>
        <row r="1720">
          <cell r="C1720" t="str">
            <v>ES-08491</v>
          </cell>
          <cell r="H1720">
            <v>3300</v>
          </cell>
        </row>
        <row r="1721">
          <cell r="C1721" t="str">
            <v>ES-08483</v>
          </cell>
          <cell r="H1721">
            <v>798.28</v>
          </cell>
        </row>
        <row r="1722">
          <cell r="C1722" t="str">
            <v>ES-08481</v>
          </cell>
          <cell r="H1722">
            <v>3297.41</v>
          </cell>
        </row>
        <row r="1723">
          <cell r="C1723" t="str">
            <v>ES-08471</v>
          </cell>
          <cell r="H1723">
            <v>3297.41</v>
          </cell>
        </row>
        <row r="1724">
          <cell r="C1724" t="str">
            <v>ES-08453</v>
          </cell>
          <cell r="H1724">
            <v>798.28</v>
          </cell>
        </row>
        <row r="1725">
          <cell r="C1725" t="str">
            <v>ES-08451</v>
          </cell>
          <cell r="H1725">
            <v>3297.41</v>
          </cell>
        </row>
        <row r="1726">
          <cell r="C1726" t="str">
            <v>ES-08404</v>
          </cell>
          <cell r="H1726">
            <v>225</v>
          </cell>
        </row>
        <row r="1727">
          <cell r="C1727" t="str">
            <v>ES-08401</v>
          </cell>
          <cell r="H1727">
            <v>3106.9</v>
          </cell>
        </row>
        <row r="1728">
          <cell r="C1728" t="str">
            <v>ES-08393</v>
          </cell>
          <cell r="H1728">
            <v>525</v>
          </cell>
        </row>
        <row r="1729">
          <cell r="C1729" t="str">
            <v>ES-08374</v>
          </cell>
          <cell r="H1729">
            <v>144.83000000000001</v>
          </cell>
        </row>
        <row r="1730">
          <cell r="C1730" t="str">
            <v>ES-08343</v>
          </cell>
          <cell r="H1730">
            <v>505.17</v>
          </cell>
        </row>
        <row r="1731">
          <cell r="C1731" t="str">
            <v>ES-08314</v>
          </cell>
          <cell r="H1731">
            <v>144.83000000000001</v>
          </cell>
        </row>
        <row r="1732">
          <cell r="C1732" t="str">
            <v>ES-08313</v>
          </cell>
          <cell r="H1732">
            <v>514.66</v>
          </cell>
        </row>
        <row r="1733">
          <cell r="C1733" t="str">
            <v>ES-07721</v>
          </cell>
          <cell r="H1733">
            <v>2827.59</v>
          </cell>
        </row>
        <row r="1734">
          <cell r="C1734" t="str">
            <v>ES-07720</v>
          </cell>
          <cell r="H1734">
            <v>32300.86</v>
          </cell>
        </row>
        <row r="1735">
          <cell r="C1735" t="str">
            <v>ES-45236</v>
          </cell>
          <cell r="H1735">
            <v>81.900000000000006</v>
          </cell>
        </row>
        <row r="1736">
          <cell r="C1736" t="str">
            <v>ES-09580</v>
          </cell>
          <cell r="H1736">
            <v>33416.379999999997</v>
          </cell>
        </row>
        <row r="1737">
          <cell r="C1737" t="str">
            <v>ES-08473</v>
          </cell>
          <cell r="H1737">
            <v>768.1</v>
          </cell>
        </row>
        <row r="1738">
          <cell r="C1738" t="str">
            <v>ES-09603</v>
          </cell>
          <cell r="H1738">
            <v>624.14</v>
          </cell>
        </row>
        <row r="1739">
          <cell r="C1739" t="str">
            <v>ES-09601</v>
          </cell>
          <cell r="H1739">
            <v>3073.28</v>
          </cell>
        </row>
        <row r="1740">
          <cell r="C1740" t="str">
            <v>ES-09600</v>
          </cell>
          <cell r="H1740">
            <v>26437.07</v>
          </cell>
        </row>
        <row r="1741">
          <cell r="C1741" t="str">
            <v>ES-08440</v>
          </cell>
          <cell r="H1741">
            <v>43051.72</v>
          </cell>
        </row>
        <row r="1742">
          <cell r="C1742" t="str">
            <v>ES-09771</v>
          </cell>
          <cell r="H1742">
            <v>2576.7199999999998</v>
          </cell>
        </row>
        <row r="1743">
          <cell r="C1743" t="str">
            <v>ES-09770</v>
          </cell>
          <cell r="H1743">
            <v>24862.07</v>
          </cell>
        </row>
        <row r="1744">
          <cell r="C1744" t="str">
            <v>ES-09631</v>
          </cell>
          <cell r="H1744">
            <v>3826.72</v>
          </cell>
        </row>
        <row r="1745">
          <cell r="C1745" t="str">
            <v>ES-09630</v>
          </cell>
          <cell r="H1745">
            <v>40744.83</v>
          </cell>
        </row>
        <row r="1746">
          <cell r="C1746" t="str">
            <v>ES-0962TB</v>
          </cell>
          <cell r="H1746">
            <v>204489.66</v>
          </cell>
        </row>
        <row r="1747">
          <cell r="C1747" t="str">
            <v>ES-09621</v>
          </cell>
          <cell r="H1747">
            <v>3948.28</v>
          </cell>
        </row>
        <row r="1748">
          <cell r="C1748" t="str">
            <v>ES-09620</v>
          </cell>
          <cell r="H1748">
            <v>42031.9</v>
          </cell>
        </row>
        <row r="1749">
          <cell r="C1749" t="str">
            <v>ES-08001</v>
          </cell>
          <cell r="H1749">
            <v>1459.48</v>
          </cell>
        </row>
        <row r="1750">
          <cell r="C1750" t="str">
            <v>ES-08000</v>
          </cell>
          <cell r="H1750">
            <v>15802.59</v>
          </cell>
        </row>
        <row r="1751">
          <cell r="C1751" t="str">
            <v>ES-47101</v>
          </cell>
          <cell r="H1751">
            <v>3246.55</v>
          </cell>
        </row>
        <row r="1752">
          <cell r="C1752" t="str">
            <v>ES-47081</v>
          </cell>
          <cell r="H1752">
            <v>2912.07</v>
          </cell>
        </row>
        <row r="1753">
          <cell r="C1753" t="str">
            <v>ES-47051</v>
          </cell>
          <cell r="H1753">
            <v>3281.9</v>
          </cell>
        </row>
        <row r="1754">
          <cell r="C1754" t="str">
            <v>ES-47023</v>
          </cell>
          <cell r="H1754">
            <v>550.86</v>
          </cell>
        </row>
        <row r="1755">
          <cell r="C1755" t="str">
            <v>ES-47011</v>
          </cell>
          <cell r="H1755">
            <v>2456.0300000000002</v>
          </cell>
        </row>
        <row r="1756">
          <cell r="C1756" t="str">
            <v>ES-46991</v>
          </cell>
          <cell r="H1756">
            <v>3499.14</v>
          </cell>
        </row>
        <row r="1757">
          <cell r="C1757" t="str">
            <v>ES-46990</v>
          </cell>
          <cell r="H1757">
            <v>37312.93</v>
          </cell>
        </row>
        <row r="1758">
          <cell r="C1758" t="str">
            <v>ES-46981</v>
          </cell>
          <cell r="H1758">
            <v>3512.07</v>
          </cell>
        </row>
        <row r="1759">
          <cell r="C1759" t="str">
            <v>ES-46951</v>
          </cell>
          <cell r="H1759">
            <v>3364.66</v>
          </cell>
        </row>
        <row r="1760">
          <cell r="C1760" t="str">
            <v>ES-46950</v>
          </cell>
          <cell r="H1760">
            <v>33646.550000000003</v>
          </cell>
        </row>
        <row r="1761">
          <cell r="C1761" t="str">
            <v>ES-46851</v>
          </cell>
          <cell r="H1761">
            <v>2855.17</v>
          </cell>
        </row>
        <row r="1762">
          <cell r="C1762" t="str">
            <v>ES-46830</v>
          </cell>
          <cell r="H1762">
            <v>36085.339999999997</v>
          </cell>
        </row>
        <row r="1763">
          <cell r="C1763" t="str">
            <v>ES-46811</v>
          </cell>
          <cell r="H1763">
            <v>5419.83</v>
          </cell>
        </row>
        <row r="1764">
          <cell r="C1764" t="str">
            <v>ES-46801</v>
          </cell>
          <cell r="H1764">
            <v>3346.55</v>
          </cell>
        </row>
        <row r="1765">
          <cell r="C1765" t="str">
            <v>ES-46680</v>
          </cell>
          <cell r="H1765">
            <v>31864.66</v>
          </cell>
        </row>
        <row r="1766">
          <cell r="C1766" t="str">
            <v>ES-46521</v>
          </cell>
          <cell r="H1766">
            <v>4425</v>
          </cell>
        </row>
        <row r="1767">
          <cell r="C1767" t="str">
            <v>ES-46381</v>
          </cell>
          <cell r="H1767">
            <v>4226.72</v>
          </cell>
        </row>
        <row r="1768">
          <cell r="C1768" t="str">
            <v>ES-46140</v>
          </cell>
          <cell r="H1768">
            <v>57175.86</v>
          </cell>
        </row>
        <row r="1769">
          <cell r="C1769" t="str">
            <v>ES-45861</v>
          </cell>
          <cell r="H1769">
            <v>3136.21</v>
          </cell>
        </row>
        <row r="1770">
          <cell r="C1770" t="str">
            <v>ES-45751</v>
          </cell>
          <cell r="H1770">
            <v>2864.66</v>
          </cell>
        </row>
        <row r="1771">
          <cell r="C1771" t="str">
            <v>ES-45731</v>
          </cell>
          <cell r="H1771">
            <v>1965.52</v>
          </cell>
        </row>
        <row r="1772">
          <cell r="C1772" t="str">
            <v>ES-45721</v>
          </cell>
          <cell r="H1772">
            <v>1929.31</v>
          </cell>
        </row>
        <row r="1773">
          <cell r="C1773" t="str">
            <v>ES-45711</v>
          </cell>
          <cell r="H1773">
            <v>1628.45</v>
          </cell>
        </row>
        <row r="1774">
          <cell r="C1774" t="str">
            <v>ES-45531</v>
          </cell>
          <cell r="H1774">
            <v>2162.9299999999998</v>
          </cell>
        </row>
        <row r="1775">
          <cell r="C1775" t="str">
            <v>ES-45511</v>
          </cell>
          <cell r="H1775">
            <v>2425</v>
          </cell>
        </row>
        <row r="1776">
          <cell r="C1776" t="str">
            <v>ES-45471</v>
          </cell>
          <cell r="H1776">
            <v>1125.8599999999999</v>
          </cell>
        </row>
        <row r="1777">
          <cell r="C1777" t="str">
            <v>ES-45461</v>
          </cell>
          <cell r="H1777">
            <v>2471.5500000000002</v>
          </cell>
        </row>
        <row r="1778">
          <cell r="C1778" t="str">
            <v>ES-45401</v>
          </cell>
          <cell r="H1778">
            <v>2497.41</v>
          </cell>
        </row>
        <row r="1779">
          <cell r="C1779" t="str">
            <v>ES-45391</v>
          </cell>
          <cell r="H1779">
            <v>1440.52</v>
          </cell>
        </row>
        <row r="1780">
          <cell r="C1780" t="str">
            <v>ES-45311</v>
          </cell>
          <cell r="H1780">
            <v>2586.21</v>
          </cell>
        </row>
        <row r="1781">
          <cell r="C1781" t="str">
            <v>ES-45310</v>
          </cell>
          <cell r="H1781">
            <v>27759.48</v>
          </cell>
        </row>
        <row r="1782">
          <cell r="C1782" t="str">
            <v>ES-45241</v>
          </cell>
          <cell r="H1782">
            <v>3255.17</v>
          </cell>
        </row>
        <row r="1783">
          <cell r="C1783" t="str">
            <v>ES-45203</v>
          </cell>
          <cell r="H1783">
            <v>588.79</v>
          </cell>
        </row>
        <row r="1784">
          <cell r="C1784" t="str">
            <v>ES-45001</v>
          </cell>
          <cell r="H1784">
            <v>2804.31</v>
          </cell>
        </row>
        <row r="1785">
          <cell r="C1785" t="str">
            <v>ES-44851</v>
          </cell>
          <cell r="H1785">
            <v>1744.83</v>
          </cell>
        </row>
        <row r="1786">
          <cell r="C1786" t="str">
            <v>ES-44401</v>
          </cell>
          <cell r="H1786">
            <v>1813.79</v>
          </cell>
        </row>
        <row r="1787">
          <cell r="C1787" t="str">
            <v>ES-44241</v>
          </cell>
          <cell r="H1787">
            <v>2621.55</v>
          </cell>
        </row>
        <row r="1788">
          <cell r="C1788" t="str">
            <v>ES-44201</v>
          </cell>
          <cell r="H1788">
            <v>3592.24</v>
          </cell>
        </row>
        <row r="1789">
          <cell r="C1789" t="str">
            <v>ES-44051</v>
          </cell>
          <cell r="H1789">
            <v>2044.83</v>
          </cell>
        </row>
        <row r="1790">
          <cell r="C1790" t="str">
            <v>ES-44001</v>
          </cell>
          <cell r="H1790">
            <v>4011.21</v>
          </cell>
        </row>
        <row r="1791">
          <cell r="C1791" t="str">
            <v>ES-43871</v>
          </cell>
          <cell r="H1791">
            <v>5256.03</v>
          </cell>
        </row>
        <row r="1792">
          <cell r="C1792" t="str">
            <v>ES-43831</v>
          </cell>
          <cell r="H1792">
            <v>2990.52</v>
          </cell>
        </row>
        <row r="1793">
          <cell r="C1793" t="str">
            <v>ES-43811</v>
          </cell>
          <cell r="H1793">
            <v>3465.52</v>
          </cell>
        </row>
        <row r="1794">
          <cell r="C1794" t="str">
            <v>ES-43611</v>
          </cell>
          <cell r="H1794">
            <v>1928.45</v>
          </cell>
        </row>
        <row r="1795">
          <cell r="C1795" t="str">
            <v>ES-43601</v>
          </cell>
          <cell r="H1795">
            <v>1928.45</v>
          </cell>
        </row>
        <row r="1796">
          <cell r="C1796" t="str">
            <v>ES-43591</v>
          </cell>
          <cell r="H1796">
            <v>1928.45</v>
          </cell>
        </row>
        <row r="1797">
          <cell r="C1797" t="str">
            <v>ES-43541</v>
          </cell>
          <cell r="H1797">
            <v>3073.28</v>
          </cell>
        </row>
        <row r="1798">
          <cell r="C1798" t="str">
            <v>ES-43531</v>
          </cell>
          <cell r="H1798">
            <v>3497.41</v>
          </cell>
        </row>
        <row r="1799">
          <cell r="C1799" t="str">
            <v>ES-43343</v>
          </cell>
          <cell r="H1799">
            <v>543.97</v>
          </cell>
        </row>
        <row r="1800">
          <cell r="C1800" t="str">
            <v>ES-43341</v>
          </cell>
          <cell r="H1800">
            <v>2287.0700000000002</v>
          </cell>
        </row>
        <row r="1801">
          <cell r="C1801" t="str">
            <v>ES-43333</v>
          </cell>
          <cell r="H1801">
            <v>590.52</v>
          </cell>
        </row>
        <row r="1802">
          <cell r="C1802" t="str">
            <v>ES-43291</v>
          </cell>
          <cell r="H1802">
            <v>2995.69</v>
          </cell>
        </row>
        <row r="1803">
          <cell r="C1803" t="str">
            <v>ES-43251</v>
          </cell>
          <cell r="H1803">
            <v>3088.79</v>
          </cell>
        </row>
        <row r="1804">
          <cell r="C1804" t="str">
            <v>ES-43151</v>
          </cell>
          <cell r="H1804">
            <v>1937.07</v>
          </cell>
        </row>
        <row r="1805">
          <cell r="C1805" t="str">
            <v>ES-42670</v>
          </cell>
          <cell r="H1805">
            <v>27723.279999999999</v>
          </cell>
        </row>
        <row r="1806">
          <cell r="C1806" t="str">
            <v>ES-42464</v>
          </cell>
          <cell r="H1806">
            <v>211.21</v>
          </cell>
        </row>
        <row r="1807">
          <cell r="C1807" t="str">
            <v>ES-42364</v>
          </cell>
          <cell r="H1807">
            <v>267.24</v>
          </cell>
        </row>
        <row r="1808">
          <cell r="C1808" t="str">
            <v>ES-42351</v>
          </cell>
          <cell r="H1808">
            <v>2957.76</v>
          </cell>
        </row>
        <row r="1809">
          <cell r="C1809" t="str">
            <v>ES-41971</v>
          </cell>
          <cell r="H1809">
            <v>1447.41</v>
          </cell>
        </row>
        <row r="1810">
          <cell r="C1810" t="str">
            <v>ES-41771</v>
          </cell>
          <cell r="H1810">
            <v>3599.14</v>
          </cell>
        </row>
        <row r="1811">
          <cell r="C1811" t="str">
            <v>ES-41550</v>
          </cell>
          <cell r="H1811">
            <v>35191.379999999997</v>
          </cell>
        </row>
        <row r="1812">
          <cell r="C1812" t="str">
            <v>ES-41523</v>
          </cell>
          <cell r="H1812">
            <v>796.55</v>
          </cell>
        </row>
        <row r="1813">
          <cell r="C1813" t="str">
            <v>ES-41521</v>
          </cell>
          <cell r="H1813">
            <v>3322.41</v>
          </cell>
        </row>
        <row r="1814">
          <cell r="C1814" t="str">
            <v>ES-41520</v>
          </cell>
          <cell r="H1814">
            <v>33037.07</v>
          </cell>
        </row>
        <row r="1815">
          <cell r="C1815" t="str">
            <v>ES-41251</v>
          </cell>
          <cell r="H1815">
            <v>3722.41</v>
          </cell>
        </row>
        <row r="1816">
          <cell r="C1816" t="str">
            <v>ES-41000</v>
          </cell>
          <cell r="H1816">
            <v>35487.07</v>
          </cell>
        </row>
        <row r="1817">
          <cell r="C1817" t="str">
            <v>ES-40584</v>
          </cell>
          <cell r="H1817">
            <v>168.97</v>
          </cell>
        </row>
        <row r="1818">
          <cell r="C1818" t="str">
            <v>ES-40574</v>
          </cell>
          <cell r="H1818">
            <v>168.97</v>
          </cell>
        </row>
        <row r="1819">
          <cell r="C1819" t="str">
            <v>ES-40564</v>
          </cell>
          <cell r="H1819">
            <v>168.97</v>
          </cell>
        </row>
        <row r="1820">
          <cell r="C1820" t="str">
            <v>ES-40554</v>
          </cell>
          <cell r="H1820">
            <v>168.97</v>
          </cell>
        </row>
        <row r="1821">
          <cell r="C1821" t="str">
            <v>ES-40544</v>
          </cell>
          <cell r="H1821">
            <v>168.97</v>
          </cell>
        </row>
        <row r="1822">
          <cell r="C1822" t="str">
            <v>ES-40351</v>
          </cell>
          <cell r="H1822">
            <v>3400</v>
          </cell>
        </row>
        <row r="1823">
          <cell r="C1823" t="str">
            <v>ES-40231</v>
          </cell>
          <cell r="H1823">
            <v>3721.55</v>
          </cell>
        </row>
        <row r="1824">
          <cell r="C1824" t="str">
            <v>ES-40181</v>
          </cell>
          <cell r="H1824">
            <v>3954.31</v>
          </cell>
        </row>
        <row r="1825">
          <cell r="C1825" t="str">
            <v>ES-40154</v>
          </cell>
          <cell r="H1825">
            <v>168.97</v>
          </cell>
        </row>
        <row r="1826">
          <cell r="C1826" t="str">
            <v>ES-40144</v>
          </cell>
          <cell r="H1826">
            <v>168.97</v>
          </cell>
        </row>
        <row r="1827">
          <cell r="C1827" t="str">
            <v>ES-40134</v>
          </cell>
          <cell r="H1827">
            <v>168.97</v>
          </cell>
        </row>
        <row r="1828">
          <cell r="C1828" t="str">
            <v>ES-40124</v>
          </cell>
          <cell r="H1828">
            <v>168.97</v>
          </cell>
        </row>
        <row r="1829">
          <cell r="C1829" t="str">
            <v>ES-40114</v>
          </cell>
          <cell r="H1829">
            <v>168.97</v>
          </cell>
        </row>
        <row r="1830">
          <cell r="C1830" t="str">
            <v>ES-40104</v>
          </cell>
          <cell r="H1830">
            <v>168.97</v>
          </cell>
        </row>
        <row r="1831">
          <cell r="C1831" t="str">
            <v>ES-40080</v>
          </cell>
          <cell r="H1831">
            <v>44638.79</v>
          </cell>
        </row>
        <row r="1832">
          <cell r="C1832" t="str">
            <v>ES-40021</v>
          </cell>
          <cell r="H1832">
            <v>3534.48</v>
          </cell>
        </row>
        <row r="1833">
          <cell r="C1833" t="str">
            <v>ES-40020</v>
          </cell>
          <cell r="H1833">
            <v>41618.1</v>
          </cell>
        </row>
        <row r="1834">
          <cell r="C1834" t="str">
            <v>ES-09851</v>
          </cell>
          <cell r="H1834">
            <v>3278.45</v>
          </cell>
        </row>
        <row r="1835">
          <cell r="C1835" t="str">
            <v>ES-09850</v>
          </cell>
          <cell r="H1835">
            <v>32787.93</v>
          </cell>
        </row>
        <row r="1836">
          <cell r="C1836" t="str">
            <v>ES-09841</v>
          </cell>
          <cell r="H1836">
            <v>3450.86</v>
          </cell>
        </row>
        <row r="1837">
          <cell r="C1837" t="str">
            <v>ES-09840</v>
          </cell>
          <cell r="H1837">
            <v>34588.79</v>
          </cell>
        </row>
        <row r="1838">
          <cell r="C1838" t="str">
            <v>ES-09830</v>
          </cell>
          <cell r="H1838">
            <v>33281.03</v>
          </cell>
        </row>
        <row r="1839">
          <cell r="C1839" t="str">
            <v>ES-09790</v>
          </cell>
          <cell r="H1839">
            <v>47206.03</v>
          </cell>
        </row>
        <row r="1840">
          <cell r="C1840" t="str">
            <v>ES-0978TB</v>
          </cell>
          <cell r="H1840">
            <v>111315.52</v>
          </cell>
        </row>
        <row r="1841">
          <cell r="C1841" t="str">
            <v>ES-09781</v>
          </cell>
          <cell r="H1841">
            <v>2434.48</v>
          </cell>
        </row>
        <row r="1842">
          <cell r="C1842" t="str">
            <v>ES-09780</v>
          </cell>
          <cell r="H1842">
            <v>23298.28</v>
          </cell>
        </row>
        <row r="1843">
          <cell r="C1843" t="str">
            <v>ES-0977TB</v>
          </cell>
          <cell r="H1843">
            <v>122861.21</v>
          </cell>
        </row>
        <row r="1844">
          <cell r="C1844" t="str">
            <v>ES-09730</v>
          </cell>
          <cell r="H1844">
            <v>22344.83</v>
          </cell>
        </row>
        <row r="1845">
          <cell r="C1845" t="str">
            <v>ES-09720</v>
          </cell>
          <cell r="H1845">
            <v>19547.41</v>
          </cell>
        </row>
        <row r="1846">
          <cell r="C1846" t="str">
            <v>ES-09714</v>
          </cell>
          <cell r="H1846">
            <v>262.93</v>
          </cell>
        </row>
        <row r="1847">
          <cell r="C1847" t="str">
            <v>ES-09713</v>
          </cell>
          <cell r="H1847">
            <v>936.21</v>
          </cell>
        </row>
        <row r="1848">
          <cell r="C1848" t="str">
            <v>ES-09711</v>
          </cell>
          <cell r="H1848">
            <v>3971.55</v>
          </cell>
        </row>
        <row r="1849">
          <cell r="C1849" t="str">
            <v>ES-09681</v>
          </cell>
          <cell r="H1849">
            <v>3217.24</v>
          </cell>
        </row>
        <row r="1850">
          <cell r="C1850" t="str">
            <v>ES-09670</v>
          </cell>
          <cell r="H1850">
            <v>31263.79</v>
          </cell>
        </row>
        <row r="1851">
          <cell r="C1851" t="str">
            <v>ES-09661</v>
          </cell>
          <cell r="H1851">
            <v>3963.79</v>
          </cell>
        </row>
        <row r="1852">
          <cell r="C1852" t="str">
            <v>ES-09660</v>
          </cell>
          <cell r="H1852">
            <v>37406.03</v>
          </cell>
        </row>
        <row r="1853">
          <cell r="C1853" t="str">
            <v>ES-0957TB</v>
          </cell>
          <cell r="H1853">
            <v>80050</v>
          </cell>
        </row>
        <row r="1854">
          <cell r="C1854" t="str">
            <v>ES-09210</v>
          </cell>
          <cell r="H1854">
            <v>32567.24</v>
          </cell>
        </row>
        <row r="1855">
          <cell r="C1855" t="str">
            <v>ES-09031</v>
          </cell>
          <cell r="H1855">
            <v>3278.45</v>
          </cell>
        </row>
        <row r="1856">
          <cell r="C1856" t="str">
            <v>ES-08793</v>
          </cell>
          <cell r="H1856">
            <v>831.03</v>
          </cell>
        </row>
        <row r="1857">
          <cell r="C1857" t="str">
            <v>ES-08390</v>
          </cell>
          <cell r="H1857">
            <v>26058.62</v>
          </cell>
        </row>
        <row r="1858">
          <cell r="C1858" t="str">
            <v>ES-07941</v>
          </cell>
          <cell r="H1858">
            <v>3915.52</v>
          </cell>
        </row>
        <row r="1859">
          <cell r="C1859" t="str">
            <v>ES-07901</v>
          </cell>
          <cell r="H1859">
            <v>4443.1000000000004</v>
          </cell>
        </row>
        <row r="1860">
          <cell r="C1860" t="str">
            <v>ES-07751</v>
          </cell>
          <cell r="H1860">
            <v>3937.93</v>
          </cell>
        </row>
        <row r="1861">
          <cell r="C1861" t="str">
            <v>ES-07591</v>
          </cell>
          <cell r="H1861">
            <v>3504.31</v>
          </cell>
        </row>
        <row r="1862">
          <cell r="C1862" t="str">
            <v>ES-07193</v>
          </cell>
          <cell r="H1862">
            <v>875.86</v>
          </cell>
        </row>
        <row r="1863">
          <cell r="C1863" t="str">
            <v>ES-06831</v>
          </cell>
          <cell r="H1863">
            <v>4797.41</v>
          </cell>
        </row>
        <row r="1864">
          <cell r="C1864" t="str">
            <v>ES-06581</v>
          </cell>
          <cell r="H1864">
            <v>4352.59</v>
          </cell>
        </row>
        <row r="1865">
          <cell r="C1865" t="str">
            <v>ES-06401</v>
          </cell>
          <cell r="H1865">
            <v>4843.1000000000004</v>
          </cell>
        </row>
        <row r="1866">
          <cell r="C1866" t="str">
            <v>ES-06321</v>
          </cell>
          <cell r="H1866">
            <v>1643.97</v>
          </cell>
        </row>
        <row r="1867">
          <cell r="C1867" t="str">
            <v>ES-06311</v>
          </cell>
          <cell r="H1867">
            <v>1913.79</v>
          </cell>
        </row>
        <row r="1868">
          <cell r="C1868" t="str">
            <v>ES-05851</v>
          </cell>
          <cell r="H1868">
            <v>4865.5200000000004</v>
          </cell>
        </row>
        <row r="1869">
          <cell r="C1869" t="str">
            <v>ES-05511</v>
          </cell>
          <cell r="H1869">
            <v>3956.9</v>
          </cell>
        </row>
        <row r="1870">
          <cell r="C1870" t="str">
            <v>ES-05383</v>
          </cell>
          <cell r="H1870">
            <v>932.76</v>
          </cell>
        </row>
        <row r="1871">
          <cell r="C1871" t="str">
            <v>ES-05381</v>
          </cell>
          <cell r="H1871">
            <v>4893.1000000000004</v>
          </cell>
        </row>
        <row r="1872">
          <cell r="C1872" t="str">
            <v>ES-05254</v>
          </cell>
          <cell r="H1872">
            <v>199.14</v>
          </cell>
        </row>
        <row r="1873">
          <cell r="C1873" t="str">
            <v>ES-05171</v>
          </cell>
          <cell r="H1873">
            <v>979.31</v>
          </cell>
        </row>
        <row r="1874">
          <cell r="C1874" t="str">
            <v>ES-04830</v>
          </cell>
          <cell r="H1874">
            <v>35663.79</v>
          </cell>
        </row>
        <row r="1875">
          <cell r="C1875" t="str">
            <v>ES-04751</v>
          </cell>
          <cell r="H1875">
            <v>4809.4799999999996</v>
          </cell>
        </row>
        <row r="1876">
          <cell r="C1876" t="str">
            <v>ES-0437TB</v>
          </cell>
          <cell r="H1876">
            <v>96413.79</v>
          </cell>
        </row>
        <row r="1877">
          <cell r="C1877" t="str">
            <v>ES-46631</v>
          </cell>
          <cell r="H1877">
            <v>3294.83</v>
          </cell>
        </row>
        <row r="1878">
          <cell r="C1878" t="str">
            <v>ES-46581</v>
          </cell>
          <cell r="H1878">
            <v>3554.31</v>
          </cell>
        </row>
        <row r="1879">
          <cell r="C1879" t="str">
            <v>ES-46491</v>
          </cell>
          <cell r="H1879">
            <v>3292.24</v>
          </cell>
        </row>
        <row r="1880">
          <cell r="C1880" t="str">
            <v>ES-46483</v>
          </cell>
          <cell r="H1880">
            <v>1168.97</v>
          </cell>
        </row>
        <row r="1881">
          <cell r="C1881" t="str">
            <v>ES-46471</v>
          </cell>
          <cell r="H1881">
            <v>5155.17</v>
          </cell>
        </row>
        <row r="1882">
          <cell r="C1882" t="str">
            <v>ES-46463</v>
          </cell>
          <cell r="H1882">
            <v>2163.79</v>
          </cell>
        </row>
        <row r="1883">
          <cell r="C1883" t="str">
            <v>ES-46453</v>
          </cell>
          <cell r="H1883">
            <v>1758.62</v>
          </cell>
        </row>
        <row r="1884">
          <cell r="C1884" t="str">
            <v>ES-46443</v>
          </cell>
          <cell r="H1884">
            <v>2210.34</v>
          </cell>
        </row>
        <row r="1885">
          <cell r="C1885" t="str">
            <v>ES-46433</v>
          </cell>
          <cell r="H1885">
            <v>1912.07</v>
          </cell>
        </row>
        <row r="1886">
          <cell r="C1886" t="str">
            <v>ES-46423</v>
          </cell>
          <cell r="H1886">
            <v>1570.69</v>
          </cell>
        </row>
        <row r="1887">
          <cell r="C1887" t="str">
            <v>ES-46403</v>
          </cell>
          <cell r="H1887">
            <v>2670.69</v>
          </cell>
        </row>
        <row r="1888">
          <cell r="C1888" t="str">
            <v>ES-46390</v>
          </cell>
          <cell r="H1888">
            <v>29145.69</v>
          </cell>
        </row>
        <row r="1889">
          <cell r="C1889" t="str">
            <v>ES-46361</v>
          </cell>
          <cell r="H1889">
            <v>4865.5200000000004</v>
          </cell>
        </row>
        <row r="1890">
          <cell r="C1890" t="str">
            <v>ES-46351</v>
          </cell>
          <cell r="H1890">
            <v>4858.62</v>
          </cell>
        </row>
        <row r="1891">
          <cell r="C1891" t="str">
            <v>ES-46341</v>
          </cell>
          <cell r="H1891">
            <v>5756.9</v>
          </cell>
        </row>
        <row r="1892">
          <cell r="C1892" t="str">
            <v>ES-46271</v>
          </cell>
          <cell r="H1892">
            <v>4304.3100000000004</v>
          </cell>
        </row>
        <row r="1893">
          <cell r="C1893" t="str">
            <v>ES-46231</v>
          </cell>
          <cell r="H1893">
            <v>3837.93</v>
          </cell>
        </row>
        <row r="1894">
          <cell r="C1894" t="str">
            <v>ES-46211</v>
          </cell>
          <cell r="H1894">
            <v>4139.66</v>
          </cell>
        </row>
        <row r="1895">
          <cell r="C1895" t="str">
            <v>ES-46191</v>
          </cell>
          <cell r="H1895">
            <v>3647.41</v>
          </cell>
        </row>
        <row r="1896">
          <cell r="C1896" t="str">
            <v>ES-46151</v>
          </cell>
          <cell r="H1896">
            <v>3456.03</v>
          </cell>
        </row>
        <row r="1897">
          <cell r="C1897" t="str">
            <v>ES-46141</v>
          </cell>
          <cell r="H1897">
            <v>6151.72</v>
          </cell>
        </row>
        <row r="1898">
          <cell r="C1898" t="str">
            <v>ES-46111</v>
          </cell>
          <cell r="H1898">
            <v>1849.14</v>
          </cell>
        </row>
        <row r="1899">
          <cell r="C1899" t="str">
            <v>ES-46091</v>
          </cell>
          <cell r="H1899">
            <v>3806.9</v>
          </cell>
        </row>
        <row r="1900">
          <cell r="C1900" t="str">
            <v>ES-46001</v>
          </cell>
          <cell r="H1900">
            <v>4357.76</v>
          </cell>
        </row>
        <row r="1901">
          <cell r="C1901" t="str">
            <v>ES-09543</v>
          </cell>
          <cell r="H1901">
            <v>735.34</v>
          </cell>
        </row>
        <row r="1902">
          <cell r="C1902" t="str">
            <v>ES-09533</v>
          </cell>
          <cell r="H1902">
            <v>872.41</v>
          </cell>
        </row>
        <row r="1903">
          <cell r="C1903" t="str">
            <v>ES-09523</v>
          </cell>
          <cell r="H1903">
            <v>799.14</v>
          </cell>
        </row>
        <row r="1904">
          <cell r="C1904" t="str">
            <v>ES-09513</v>
          </cell>
          <cell r="H1904">
            <v>824.14</v>
          </cell>
        </row>
        <row r="1905">
          <cell r="C1905" t="str">
            <v>ES-09503</v>
          </cell>
          <cell r="H1905">
            <v>853.45</v>
          </cell>
        </row>
        <row r="1906">
          <cell r="C1906" t="str">
            <v>ES-09493</v>
          </cell>
          <cell r="H1906">
            <v>918.1</v>
          </cell>
        </row>
        <row r="1907">
          <cell r="C1907" t="str">
            <v>ES-09483</v>
          </cell>
          <cell r="H1907">
            <v>859.48</v>
          </cell>
        </row>
        <row r="1908">
          <cell r="C1908" t="str">
            <v>ES-09473</v>
          </cell>
          <cell r="H1908">
            <v>824.14</v>
          </cell>
        </row>
        <row r="1909">
          <cell r="C1909" t="str">
            <v>ES-09463</v>
          </cell>
          <cell r="H1909">
            <v>886.21</v>
          </cell>
        </row>
        <row r="1910">
          <cell r="C1910" t="str">
            <v>ES-09453</v>
          </cell>
          <cell r="H1910">
            <v>945.69</v>
          </cell>
        </row>
        <row r="1911">
          <cell r="C1911" t="str">
            <v>ES-09443</v>
          </cell>
          <cell r="H1911">
            <v>886.21</v>
          </cell>
        </row>
        <row r="1912">
          <cell r="C1912" t="str">
            <v>ES-09433</v>
          </cell>
          <cell r="H1912">
            <v>886.21</v>
          </cell>
        </row>
        <row r="1913">
          <cell r="C1913" t="str">
            <v>ES-09081</v>
          </cell>
          <cell r="H1913">
            <v>3677.59</v>
          </cell>
        </row>
        <row r="1914">
          <cell r="C1914" t="str">
            <v>ES-09080</v>
          </cell>
          <cell r="H1914">
            <v>35328.449999999997</v>
          </cell>
        </row>
        <row r="1915">
          <cell r="C1915" t="str">
            <v>ES-08794</v>
          </cell>
          <cell r="H1915">
            <v>224.14</v>
          </cell>
        </row>
        <row r="1916">
          <cell r="C1916" t="str">
            <v>ES-08791</v>
          </cell>
          <cell r="H1916">
            <v>3269.83</v>
          </cell>
        </row>
        <row r="1917">
          <cell r="C1917" t="str">
            <v>ES-08671</v>
          </cell>
          <cell r="H1917">
            <v>4237.07</v>
          </cell>
        </row>
        <row r="1918">
          <cell r="C1918" t="str">
            <v>ES-08601</v>
          </cell>
          <cell r="H1918">
            <v>3531.03</v>
          </cell>
        </row>
        <row r="1919">
          <cell r="C1919" t="str">
            <v>ES-08591</v>
          </cell>
          <cell r="H1919">
            <v>4408.62</v>
          </cell>
        </row>
        <row r="1920">
          <cell r="C1920" t="str">
            <v>ES-08581</v>
          </cell>
          <cell r="H1920">
            <v>3985.34</v>
          </cell>
        </row>
        <row r="1921">
          <cell r="C1921" t="str">
            <v>ES-08564</v>
          </cell>
          <cell r="H1921">
            <v>144.83000000000001</v>
          </cell>
        </row>
        <row r="1922">
          <cell r="C1922" t="str">
            <v>ES-08560</v>
          </cell>
          <cell r="H1922">
            <v>23995.69</v>
          </cell>
        </row>
        <row r="1923">
          <cell r="C1923" t="str">
            <v>ES-08531</v>
          </cell>
          <cell r="H1923">
            <v>3839.66</v>
          </cell>
        </row>
        <row r="1924">
          <cell r="C1924" t="str">
            <v>ES-08511</v>
          </cell>
          <cell r="H1924">
            <v>4155.17</v>
          </cell>
        </row>
        <row r="1925">
          <cell r="C1925" t="str">
            <v>ES-08501</v>
          </cell>
          <cell r="H1925">
            <v>4302.59</v>
          </cell>
        </row>
        <row r="1926">
          <cell r="C1926" t="str">
            <v>ES-08484</v>
          </cell>
          <cell r="H1926">
            <v>224.14</v>
          </cell>
        </row>
        <row r="1927">
          <cell r="C1927" t="str">
            <v>ES-08480</v>
          </cell>
          <cell r="H1927">
            <v>33397.410000000003</v>
          </cell>
        </row>
        <row r="1928">
          <cell r="C1928" t="str">
            <v>ES-08474</v>
          </cell>
          <cell r="H1928">
            <v>224.14</v>
          </cell>
        </row>
        <row r="1929">
          <cell r="C1929" t="str">
            <v>ES-08454</v>
          </cell>
          <cell r="H1929">
            <v>224.14</v>
          </cell>
        </row>
        <row r="1930">
          <cell r="C1930" t="str">
            <v>ES-08450</v>
          </cell>
          <cell r="H1930">
            <v>34535.339999999997</v>
          </cell>
        </row>
        <row r="1931">
          <cell r="C1931" t="str">
            <v>ES-08420</v>
          </cell>
          <cell r="H1931">
            <v>29495.69</v>
          </cell>
        </row>
        <row r="1932">
          <cell r="C1932" t="str">
            <v>ES-08400</v>
          </cell>
          <cell r="H1932">
            <v>30475.86</v>
          </cell>
        </row>
        <row r="1933">
          <cell r="C1933" t="str">
            <v>ES-08394</v>
          </cell>
          <cell r="H1933">
            <v>144.83000000000001</v>
          </cell>
        </row>
        <row r="1934">
          <cell r="C1934" t="str">
            <v>ES-08381</v>
          </cell>
          <cell r="H1934">
            <v>4542.24</v>
          </cell>
        </row>
        <row r="1935">
          <cell r="C1935" t="str">
            <v>ES-08344</v>
          </cell>
          <cell r="H1935">
            <v>144.83000000000001</v>
          </cell>
        </row>
        <row r="1936">
          <cell r="C1936" t="str">
            <v>ES-08340</v>
          </cell>
          <cell r="H1936">
            <v>26993.1</v>
          </cell>
        </row>
        <row r="1937">
          <cell r="C1937" t="str">
            <v>ES-08280</v>
          </cell>
          <cell r="H1937">
            <v>39333.620000000003</v>
          </cell>
        </row>
        <row r="1938">
          <cell r="C1938" t="str">
            <v>ES-08250</v>
          </cell>
          <cell r="H1938">
            <v>45554.31</v>
          </cell>
        </row>
        <row r="1939">
          <cell r="C1939" t="str">
            <v>ES-08191</v>
          </cell>
          <cell r="H1939">
            <v>4356.03</v>
          </cell>
        </row>
        <row r="1940">
          <cell r="C1940" t="str">
            <v>ES-08104</v>
          </cell>
          <cell r="H1940">
            <v>274.14</v>
          </cell>
        </row>
        <row r="1941">
          <cell r="C1941" t="str">
            <v>ES-08103</v>
          </cell>
          <cell r="H1941">
            <v>936.21</v>
          </cell>
        </row>
        <row r="1942">
          <cell r="C1942" t="str">
            <v>ES-08101</v>
          </cell>
          <cell r="H1942">
            <v>4091.38</v>
          </cell>
        </row>
        <row r="1943">
          <cell r="C1943" t="str">
            <v>ES-08021</v>
          </cell>
          <cell r="H1943">
            <v>2400</v>
          </cell>
        </row>
        <row r="1944">
          <cell r="C1944" t="str">
            <v>ES-60793</v>
          </cell>
          <cell r="H1944">
            <v>2473.2800000000002</v>
          </cell>
        </row>
        <row r="1945">
          <cell r="C1945" t="str">
            <v>ES-46613</v>
          </cell>
          <cell r="H1945">
            <v>1035.3399999999999</v>
          </cell>
        </row>
        <row r="1946">
          <cell r="C1946" t="str">
            <v>ES-46611</v>
          </cell>
          <cell r="H1946">
            <v>4406.03</v>
          </cell>
        </row>
        <row r="1947">
          <cell r="C1947" t="str">
            <v>ES-41144</v>
          </cell>
          <cell r="H1947">
            <v>238.79</v>
          </cell>
        </row>
        <row r="1948">
          <cell r="C1948" t="str">
            <v>ES-06310</v>
          </cell>
          <cell r="H1948">
            <v>25645.69</v>
          </cell>
        </row>
        <row r="1949">
          <cell r="C1949" t="str">
            <v>ES-05250</v>
          </cell>
          <cell r="H1949">
            <v>53286.21</v>
          </cell>
        </row>
        <row r="1950">
          <cell r="C1950" t="str">
            <v>87766</v>
          </cell>
          <cell r="H1950">
            <v>462.07</v>
          </cell>
        </row>
        <row r="1951">
          <cell r="C1951" t="str">
            <v>85118</v>
          </cell>
          <cell r="H1951">
            <v>61.21</v>
          </cell>
        </row>
        <row r="1952">
          <cell r="C1952" t="str">
            <v>83548</v>
          </cell>
          <cell r="H1952">
            <v>52.59</v>
          </cell>
        </row>
        <row r="1953">
          <cell r="C1953" t="str">
            <v>83546</v>
          </cell>
          <cell r="H1953">
            <v>67.239999999999995</v>
          </cell>
        </row>
        <row r="1954">
          <cell r="C1954" t="str">
            <v>83433</v>
          </cell>
          <cell r="H1954">
            <v>58.62</v>
          </cell>
        </row>
        <row r="1955">
          <cell r="C1955" t="str">
            <v>83432</v>
          </cell>
          <cell r="H1955">
            <v>26.72</v>
          </cell>
        </row>
        <row r="1956">
          <cell r="C1956" t="str">
            <v>81431</v>
          </cell>
          <cell r="H1956">
            <v>81.03</v>
          </cell>
        </row>
        <row r="1957">
          <cell r="C1957" t="str">
            <v>ES-03450</v>
          </cell>
          <cell r="H1957">
            <v>30993.1</v>
          </cell>
        </row>
        <row r="1958">
          <cell r="C1958" t="str">
            <v>ES-03300</v>
          </cell>
          <cell r="H1958">
            <v>42267.24</v>
          </cell>
        </row>
        <row r="1959">
          <cell r="C1959" t="str">
            <v>ES-03090</v>
          </cell>
          <cell r="H1959">
            <v>26722.41</v>
          </cell>
        </row>
        <row r="1960">
          <cell r="C1960" t="str">
            <v>ES-02870</v>
          </cell>
          <cell r="H1960">
            <v>43104.31</v>
          </cell>
        </row>
        <row r="1961">
          <cell r="C1961" t="str">
            <v>ES-02531</v>
          </cell>
          <cell r="H1961">
            <v>3757.76</v>
          </cell>
        </row>
        <row r="1962">
          <cell r="C1962" t="str">
            <v>ES-02041</v>
          </cell>
          <cell r="H1962">
            <v>3255.17</v>
          </cell>
        </row>
        <row r="1963">
          <cell r="C1963" t="str">
            <v>ES-02040</v>
          </cell>
          <cell r="H1963">
            <v>32167.24</v>
          </cell>
        </row>
        <row r="1964">
          <cell r="C1964" t="str">
            <v>ES-01931</v>
          </cell>
          <cell r="H1964">
            <v>4521.55</v>
          </cell>
        </row>
        <row r="1965">
          <cell r="C1965" t="str">
            <v>ES-01740</v>
          </cell>
          <cell r="H1965">
            <v>47893.1</v>
          </cell>
        </row>
        <row r="1966">
          <cell r="C1966" t="str">
            <v>ES-01281</v>
          </cell>
          <cell r="H1966">
            <v>3826.72</v>
          </cell>
        </row>
        <row r="1967">
          <cell r="C1967" t="str">
            <v>ES-01280</v>
          </cell>
          <cell r="H1967">
            <v>38367.24</v>
          </cell>
        </row>
        <row r="1968">
          <cell r="C1968" t="str">
            <v>ES-00920</v>
          </cell>
          <cell r="H1968">
            <v>38843.97</v>
          </cell>
        </row>
        <row r="1969">
          <cell r="C1969" t="str">
            <v>ES-00840</v>
          </cell>
          <cell r="H1969">
            <v>40234.480000000003</v>
          </cell>
        </row>
        <row r="1970">
          <cell r="C1970" t="str">
            <v>ES-00780</v>
          </cell>
          <cell r="H1970">
            <v>37272.410000000003</v>
          </cell>
        </row>
        <row r="1971">
          <cell r="C1971" t="str">
            <v>ES-00670</v>
          </cell>
          <cell r="H1971">
            <v>48666.38</v>
          </cell>
        </row>
        <row r="1972">
          <cell r="C1972" t="str">
            <v>ES-00600</v>
          </cell>
          <cell r="H1972">
            <v>36524.14</v>
          </cell>
        </row>
        <row r="1973">
          <cell r="C1973" t="str">
            <v>ES-00590</v>
          </cell>
          <cell r="H1973">
            <v>47465.52</v>
          </cell>
        </row>
        <row r="1974">
          <cell r="C1974" t="str">
            <v>E-99390</v>
          </cell>
          <cell r="H1974">
            <v>43257.760000000002</v>
          </cell>
        </row>
        <row r="1975">
          <cell r="C1975" t="str">
            <v>E-99331</v>
          </cell>
          <cell r="H1975">
            <v>3212.07</v>
          </cell>
        </row>
        <row r="1976">
          <cell r="C1976" t="str">
            <v>E-99250</v>
          </cell>
          <cell r="H1976">
            <v>39615.519999999997</v>
          </cell>
        </row>
        <row r="1977">
          <cell r="C1977" t="str">
            <v>E-99241</v>
          </cell>
          <cell r="H1977">
            <v>4232.76</v>
          </cell>
        </row>
        <row r="1978">
          <cell r="C1978" t="str">
            <v>E-98080</v>
          </cell>
          <cell r="H1978">
            <v>46062.93</v>
          </cell>
        </row>
        <row r="1979">
          <cell r="C1979" t="str">
            <v>E-97753</v>
          </cell>
          <cell r="H1979">
            <v>6940.52</v>
          </cell>
        </row>
        <row r="1980">
          <cell r="C1980" t="str">
            <v>E-97421</v>
          </cell>
          <cell r="H1980">
            <v>4106.8999999999996</v>
          </cell>
        </row>
        <row r="1981">
          <cell r="C1981" t="str">
            <v>E-9709TB</v>
          </cell>
          <cell r="H1981">
            <v>182197.41</v>
          </cell>
        </row>
        <row r="1982">
          <cell r="C1982" t="str">
            <v>E-96880</v>
          </cell>
          <cell r="H1982">
            <v>44043.1</v>
          </cell>
        </row>
        <row r="1983">
          <cell r="C1983" t="str">
            <v>E-95251</v>
          </cell>
          <cell r="H1983">
            <v>4086.21</v>
          </cell>
        </row>
        <row r="1984">
          <cell r="C1984" t="str">
            <v>E-95050</v>
          </cell>
          <cell r="H1984">
            <v>44317.24</v>
          </cell>
        </row>
        <row r="1985">
          <cell r="C1985" t="str">
            <v>E-90384</v>
          </cell>
          <cell r="H1985">
            <v>330.17</v>
          </cell>
        </row>
        <row r="1986">
          <cell r="C1986" t="str">
            <v>E-90383</v>
          </cell>
          <cell r="H1986">
            <v>976.72</v>
          </cell>
        </row>
        <row r="1987">
          <cell r="C1987" t="str">
            <v>E-90381</v>
          </cell>
          <cell r="H1987">
            <v>4151.72</v>
          </cell>
        </row>
        <row r="1988">
          <cell r="C1988" t="str">
            <v>E-90194</v>
          </cell>
          <cell r="H1988">
            <v>250</v>
          </cell>
        </row>
        <row r="1989">
          <cell r="C1989" t="str">
            <v>E-90193</v>
          </cell>
          <cell r="H1989">
            <v>898.28</v>
          </cell>
        </row>
        <row r="1990">
          <cell r="C1990" t="str">
            <v>E-90191</v>
          </cell>
          <cell r="H1990">
            <v>3537.93</v>
          </cell>
        </row>
        <row r="1991">
          <cell r="C1991" t="str">
            <v>E-90190</v>
          </cell>
          <cell r="H1991">
            <v>35362.93</v>
          </cell>
        </row>
        <row r="1992">
          <cell r="C1992" t="str">
            <v>E-83253</v>
          </cell>
          <cell r="H1992">
            <v>300</v>
          </cell>
        </row>
        <row r="1993">
          <cell r="C1993" t="str">
            <v>E-83251</v>
          </cell>
          <cell r="H1993">
            <v>1042.24</v>
          </cell>
        </row>
        <row r="1994">
          <cell r="C1994" t="str">
            <v>E-81901</v>
          </cell>
          <cell r="H1994">
            <v>3460.34</v>
          </cell>
        </row>
        <row r="1995">
          <cell r="C1995" t="str">
            <v>E-81483</v>
          </cell>
          <cell r="H1995">
            <v>293.97000000000003</v>
          </cell>
        </row>
        <row r="1996">
          <cell r="C1996" t="str">
            <v>E-81481</v>
          </cell>
          <cell r="H1996">
            <v>1042.24</v>
          </cell>
        </row>
        <row r="1997">
          <cell r="C1997" t="str">
            <v>E-75670</v>
          </cell>
          <cell r="H1997">
            <v>48984.480000000003</v>
          </cell>
        </row>
        <row r="1998">
          <cell r="C1998" t="str">
            <v>E-75424</v>
          </cell>
          <cell r="H1998">
            <v>116.38</v>
          </cell>
        </row>
        <row r="1999">
          <cell r="C1999" t="str">
            <v>E-75423</v>
          </cell>
          <cell r="H1999">
            <v>454.31</v>
          </cell>
        </row>
        <row r="2000">
          <cell r="C2000" t="str">
            <v>E-75421</v>
          </cell>
          <cell r="H2000">
            <v>2106.9</v>
          </cell>
        </row>
        <row r="2001">
          <cell r="C2001" t="str">
            <v>E-75194</v>
          </cell>
          <cell r="H2001">
            <v>162.07</v>
          </cell>
        </row>
        <row r="2002">
          <cell r="C2002" t="str">
            <v>E-75164</v>
          </cell>
          <cell r="H2002">
            <v>162.07</v>
          </cell>
        </row>
        <row r="2003">
          <cell r="C2003" t="str">
            <v>E-75161</v>
          </cell>
          <cell r="H2003">
            <v>2593.1</v>
          </cell>
        </row>
        <row r="2004">
          <cell r="C2004" t="str">
            <v>E-75144</v>
          </cell>
          <cell r="H2004">
            <v>161.21</v>
          </cell>
        </row>
        <row r="2005">
          <cell r="C2005" t="str">
            <v>E-75141</v>
          </cell>
          <cell r="H2005">
            <v>2583.62</v>
          </cell>
        </row>
        <row r="2006">
          <cell r="C2006" t="str">
            <v>E-74423</v>
          </cell>
          <cell r="H2006">
            <v>802.59</v>
          </cell>
        </row>
        <row r="2007">
          <cell r="C2007" t="str">
            <v>E-73891</v>
          </cell>
          <cell r="H2007">
            <v>2840.52</v>
          </cell>
        </row>
        <row r="2008">
          <cell r="C2008" t="str">
            <v>E-73391</v>
          </cell>
          <cell r="H2008">
            <v>3200.86</v>
          </cell>
        </row>
        <row r="2009">
          <cell r="C2009" t="str">
            <v>E-73055</v>
          </cell>
          <cell r="H2009">
            <v>81.03</v>
          </cell>
        </row>
        <row r="2010">
          <cell r="C2010" t="str">
            <v>E-73054</v>
          </cell>
          <cell r="H2010">
            <v>138.79</v>
          </cell>
        </row>
        <row r="2011">
          <cell r="C2011" t="str">
            <v>E-73053</v>
          </cell>
          <cell r="H2011">
            <v>483.62</v>
          </cell>
        </row>
        <row r="2012">
          <cell r="C2012" t="str">
            <v>E-73051</v>
          </cell>
          <cell r="H2012">
            <v>2221.5500000000002</v>
          </cell>
        </row>
        <row r="2013">
          <cell r="C2013" t="str">
            <v>E-72831</v>
          </cell>
          <cell r="H2013">
            <v>5281.9</v>
          </cell>
        </row>
        <row r="2014">
          <cell r="C2014" t="str">
            <v>E-72280</v>
          </cell>
          <cell r="H2014">
            <v>63003.45</v>
          </cell>
        </row>
        <row r="2015">
          <cell r="C2015" t="str">
            <v>E-72031</v>
          </cell>
          <cell r="H2015">
            <v>5717.24</v>
          </cell>
        </row>
        <row r="2016">
          <cell r="C2016" t="str">
            <v>E-71151</v>
          </cell>
          <cell r="H2016">
            <v>3859.48</v>
          </cell>
        </row>
        <row r="2017">
          <cell r="C2017" t="str">
            <v>E-69631</v>
          </cell>
          <cell r="H2017">
            <v>2297.41</v>
          </cell>
        </row>
        <row r="2018">
          <cell r="C2018" t="str">
            <v>E-69613</v>
          </cell>
          <cell r="H2018">
            <v>1001.72</v>
          </cell>
        </row>
        <row r="2019">
          <cell r="C2019" t="str">
            <v>E-69580</v>
          </cell>
          <cell r="H2019">
            <v>63003.45</v>
          </cell>
        </row>
        <row r="2020">
          <cell r="C2020" t="str">
            <v>E-69381</v>
          </cell>
          <cell r="H2020">
            <v>4511.21</v>
          </cell>
        </row>
        <row r="2021">
          <cell r="C2021" t="str">
            <v>E-69163</v>
          </cell>
          <cell r="H2021">
            <v>813.79</v>
          </cell>
        </row>
        <row r="2022">
          <cell r="C2022" t="str">
            <v>E-69161</v>
          </cell>
          <cell r="H2022">
            <v>3323.28</v>
          </cell>
        </row>
        <row r="2023">
          <cell r="C2023" t="str">
            <v>E-69084</v>
          </cell>
          <cell r="H2023">
            <v>187.93</v>
          </cell>
        </row>
        <row r="2024">
          <cell r="C2024" t="str">
            <v>E-69083</v>
          </cell>
          <cell r="H2024">
            <v>737.07</v>
          </cell>
        </row>
        <row r="2025">
          <cell r="C2025" t="str">
            <v>E-69081</v>
          </cell>
          <cell r="H2025">
            <v>3012.07</v>
          </cell>
        </row>
        <row r="2026">
          <cell r="C2026" t="str">
            <v>E-69074</v>
          </cell>
          <cell r="H2026">
            <v>187.93</v>
          </cell>
        </row>
        <row r="2027">
          <cell r="C2027" t="str">
            <v>E-69073</v>
          </cell>
          <cell r="H2027">
            <v>737.07</v>
          </cell>
        </row>
        <row r="2028">
          <cell r="C2028" t="str">
            <v>E-69071</v>
          </cell>
          <cell r="H2028">
            <v>3012.07</v>
          </cell>
        </row>
        <row r="2029">
          <cell r="C2029" t="str">
            <v>E-68144</v>
          </cell>
          <cell r="H2029">
            <v>297.41000000000003</v>
          </cell>
        </row>
        <row r="2030">
          <cell r="C2030" t="str">
            <v>E-68143</v>
          </cell>
          <cell r="H2030">
            <v>1165.52</v>
          </cell>
        </row>
        <row r="2031">
          <cell r="C2031" t="str">
            <v>E-68141</v>
          </cell>
          <cell r="H2031">
            <v>4761.21</v>
          </cell>
        </row>
        <row r="2032">
          <cell r="C2032" t="str">
            <v>E-68133</v>
          </cell>
          <cell r="H2032">
            <v>1154.31</v>
          </cell>
        </row>
        <row r="2033">
          <cell r="C2033" t="str">
            <v>E-68131</v>
          </cell>
          <cell r="H2033">
            <v>4716.38</v>
          </cell>
        </row>
        <row r="2034">
          <cell r="C2034" t="str">
            <v>E-68013</v>
          </cell>
          <cell r="H2034">
            <v>757.76</v>
          </cell>
        </row>
        <row r="2035">
          <cell r="C2035" t="str">
            <v>E-68011</v>
          </cell>
          <cell r="H2035">
            <v>3095.69</v>
          </cell>
        </row>
        <row r="2036">
          <cell r="C2036" t="str">
            <v>E-66954</v>
          </cell>
          <cell r="H2036">
            <v>173.28</v>
          </cell>
        </row>
        <row r="2037">
          <cell r="C2037" t="str">
            <v>E-66953</v>
          </cell>
          <cell r="H2037">
            <v>638.79</v>
          </cell>
        </row>
        <row r="2038">
          <cell r="C2038" t="str">
            <v>E-66951</v>
          </cell>
          <cell r="H2038">
            <v>2762.07</v>
          </cell>
        </row>
        <row r="2039">
          <cell r="C2039" t="str">
            <v>E-66841</v>
          </cell>
          <cell r="H2039">
            <v>5131.8999999999996</v>
          </cell>
        </row>
        <row r="2040">
          <cell r="C2040" t="str">
            <v>E-66153</v>
          </cell>
          <cell r="H2040">
            <v>2001.72</v>
          </cell>
        </row>
        <row r="2041">
          <cell r="C2041" t="str">
            <v>E-66151</v>
          </cell>
          <cell r="H2041">
            <v>8629.31</v>
          </cell>
        </row>
        <row r="2042">
          <cell r="C2042" t="str">
            <v>E-65303</v>
          </cell>
          <cell r="H2042">
            <v>470.69</v>
          </cell>
        </row>
        <row r="2043">
          <cell r="C2043" t="str">
            <v>E-65301</v>
          </cell>
          <cell r="H2043">
            <v>2022.41</v>
          </cell>
        </row>
        <row r="2044">
          <cell r="C2044" t="str">
            <v>E-64480</v>
          </cell>
          <cell r="H2044">
            <v>46377.59</v>
          </cell>
        </row>
        <row r="2045">
          <cell r="C2045" t="str">
            <v>E-61534</v>
          </cell>
          <cell r="H2045">
            <v>328.45</v>
          </cell>
        </row>
        <row r="2046">
          <cell r="C2046" t="str">
            <v>E-61533</v>
          </cell>
          <cell r="H2046">
            <v>1190.52</v>
          </cell>
        </row>
        <row r="2047">
          <cell r="C2047" t="str">
            <v>E-61531</v>
          </cell>
          <cell r="H2047">
            <v>5337.07</v>
          </cell>
        </row>
        <row r="2048">
          <cell r="C2048" t="str">
            <v>E-59921</v>
          </cell>
          <cell r="H2048">
            <v>9010.34</v>
          </cell>
        </row>
        <row r="2049">
          <cell r="C2049" t="str">
            <v>E-59871</v>
          </cell>
          <cell r="H2049">
            <v>8357.76</v>
          </cell>
        </row>
        <row r="2050">
          <cell r="C2050" t="str">
            <v>E-59671</v>
          </cell>
          <cell r="H2050">
            <v>9010.34</v>
          </cell>
        </row>
        <row r="2051">
          <cell r="C2051" t="str">
            <v>E-59571</v>
          </cell>
          <cell r="H2051">
            <v>10968.97</v>
          </cell>
        </row>
        <row r="2052">
          <cell r="C2052" t="str">
            <v>E-59403</v>
          </cell>
          <cell r="H2052">
            <v>2342.2399999999998</v>
          </cell>
        </row>
        <row r="2053">
          <cell r="C2053" t="str">
            <v>E-59011</v>
          </cell>
          <cell r="H2053">
            <v>7211.21</v>
          </cell>
        </row>
        <row r="2054">
          <cell r="C2054" t="str">
            <v>E-58991</v>
          </cell>
          <cell r="H2054">
            <v>9227.59</v>
          </cell>
        </row>
        <row r="2055">
          <cell r="C2055" t="str">
            <v>E-58450</v>
          </cell>
          <cell r="H2055">
            <v>136672.41</v>
          </cell>
        </row>
        <row r="2056">
          <cell r="C2056" t="str">
            <v>E-58440</v>
          </cell>
          <cell r="H2056">
            <v>50215.519999999997</v>
          </cell>
        </row>
        <row r="2057">
          <cell r="C2057" t="str">
            <v>E-58101</v>
          </cell>
          <cell r="H2057">
            <v>8067.24</v>
          </cell>
        </row>
        <row r="2058">
          <cell r="C2058" t="str">
            <v>E-57631</v>
          </cell>
          <cell r="H2058">
            <v>9779.31</v>
          </cell>
        </row>
        <row r="2059">
          <cell r="C2059" t="str">
            <v>E-57571</v>
          </cell>
          <cell r="H2059">
            <v>7018.1</v>
          </cell>
        </row>
        <row r="2060">
          <cell r="C2060" t="str">
            <v>E-56653</v>
          </cell>
          <cell r="H2060">
            <v>1428.45</v>
          </cell>
        </row>
        <row r="2061">
          <cell r="C2061" t="str">
            <v>E-56651</v>
          </cell>
          <cell r="H2061">
            <v>5638.79</v>
          </cell>
        </row>
        <row r="2062">
          <cell r="C2062" t="str">
            <v>E-55761</v>
          </cell>
          <cell r="H2062">
            <v>14620.69</v>
          </cell>
        </row>
        <row r="2063">
          <cell r="C2063" t="str">
            <v>E-55713</v>
          </cell>
          <cell r="H2063">
            <v>2214.66</v>
          </cell>
        </row>
        <row r="2064">
          <cell r="C2064" t="str">
            <v>E-53353</v>
          </cell>
          <cell r="H2064">
            <v>6604.31</v>
          </cell>
        </row>
        <row r="2065">
          <cell r="C2065" t="str">
            <v>E-51101</v>
          </cell>
          <cell r="H2065">
            <v>4233.62</v>
          </cell>
        </row>
        <row r="2066">
          <cell r="C2066" t="str">
            <v>E-50961</v>
          </cell>
          <cell r="H2066">
            <v>10424.14</v>
          </cell>
        </row>
        <row r="2067">
          <cell r="C2067" t="str">
            <v>E-50511</v>
          </cell>
          <cell r="H2067">
            <v>4777.59</v>
          </cell>
        </row>
        <row r="2068">
          <cell r="C2068" t="str">
            <v>E-48580</v>
          </cell>
          <cell r="H2068">
            <v>49412.93</v>
          </cell>
        </row>
        <row r="2069">
          <cell r="C2069" t="str">
            <v>E-48060</v>
          </cell>
          <cell r="H2069">
            <v>44246.55</v>
          </cell>
        </row>
        <row r="2070">
          <cell r="C2070" t="str">
            <v>E-47241</v>
          </cell>
          <cell r="H2070">
            <v>4121.55</v>
          </cell>
        </row>
        <row r="2071">
          <cell r="C2071" t="str">
            <v>E-47021</v>
          </cell>
          <cell r="H2071">
            <v>2274.14</v>
          </cell>
        </row>
        <row r="2072">
          <cell r="C2072" t="str">
            <v>E-47020</v>
          </cell>
          <cell r="H2072">
            <v>20283.62</v>
          </cell>
        </row>
        <row r="2073">
          <cell r="C2073" t="str">
            <v>E-45240</v>
          </cell>
          <cell r="H2073">
            <v>44492.24</v>
          </cell>
        </row>
        <row r="2074">
          <cell r="C2074" t="str">
            <v>E-45110</v>
          </cell>
          <cell r="H2074">
            <v>44293.97</v>
          </cell>
        </row>
        <row r="2075">
          <cell r="C2075" t="str">
            <v>E-43851</v>
          </cell>
          <cell r="H2075">
            <v>2232.7600000000002</v>
          </cell>
        </row>
        <row r="2076">
          <cell r="C2076" t="str">
            <v>E-43850</v>
          </cell>
          <cell r="H2076">
            <v>22022.41</v>
          </cell>
        </row>
        <row r="2077">
          <cell r="C2077" t="str">
            <v>E-43470</v>
          </cell>
          <cell r="H2077">
            <v>42048.28</v>
          </cell>
        </row>
        <row r="2078">
          <cell r="C2078" t="str">
            <v>E-43134</v>
          </cell>
          <cell r="H2078">
            <v>161.21</v>
          </cell>
        </row>
        <row r="2079">
          <cell r="C2079" t="str">
            <v>E-43133</v>
          </cell>
          <cell r="H2079">
            <v>509.48</v>
          </cell>
        </row>
        <row r="2080">
          <cell r="C2080" t="str">
            <v>E-43131</v>
          </cell>
          <cell r="H2080">
            <v>2274.14</v>
          </cell>
        </row>
        <row r="2081">
          <cell r="C2081" t="str">
            <v>E-43130</v>
          </cell>
          <cell r="H2081">
            <v>22406.9</v>
          </cell>
        </row>
        <row r="2082">
          <cell r="C2082" t="str">
            <v>E-41363</v>
          </cell>
          <cell r="H2082">
            <v>1106.03</v>
          </cell>
        </row>
        <row r="2083">
          <cell r="C2083" t="str">
            <v>E-41361</v>
          </cell>
          <cell r="H2083">
            <v>4914.66</v>
          </cell>
        </row>
        <row r="2084">
          <cell r="C2084" t="str">
            <v>E-41360</v>
          </cell>
          <cell r="H2084">
            <v>49133.62</v>
          </cell>
        </row>
        <row r="2085">
          <cell r="C2085" t="str">
            <v>E-40513</v>
          </cell>
          <cell r="H2085">
            <v>1648.28</v>
          </cell>
        </row>
        <row r="2086">
          <cell r="C2086" t="str">
            <v>E-38871</v>
          </cell>
          <cell r="H2086">
            <v>1535.34</v>
          </cell>
        </row>
        <row r="2087">
          <cell r="C2087" t="str">
            <v>E-26013</v>
          </cell>
          <cell r="H2087">
            <v>868.1</v>
          </cell>
        </row>
        <row r="2088">
          <cell r="C2088" t="str">
            <v>E-23634</v>
          </cell>
          <cell r="H2088">
            <v>257.76</v>
          </cell>
        </row>
        <row r="2089">
          <cell r="C2089" t="str">
            <v>E-23633</v>
          </cell>
          <cell r="H2089">
            <v>981.9</v>
          </cell>
        </row>
        <row r="2090">
          <cell r="C2090" t="str">
            <v>E-23631</v>
          </cell>
          <cell r="H2090">
            <v>3890.52</v>
          </cell>
        </row>
        <row r="2091">
          <cell r="C2091" t="str">
            <v>E-19590</v>
          </cell>
          <cell r="H2091">
            <v>51056.03</v>
          </cell>
        </row>
        <row r="2092">
          <cell r="C2092" t="str">
            <v>E-18381</v>
          </cell>
          <cell r="H2092">
            <v>4914.66</v>
          </cell>
        </row>
        <row r="2093">
          <cell r="C2093" t="str">
            <v>E-18380</v>
          </cell>
          <cell r="H2093">
            <v>49133.62</v>
          </cell>
        </row>
        <row r="2094">
          <cell r="C2094" t="str">
            <v>E-17521</v>
          </cell>
          <cell r="H2094">
            <v>3525.86</v>
          </cell>
        </row>
        <row r="2095">
          <cell r="C2095" t="str">
            <v>E-13800</v>
          </cell>
          <cell r="H2095">
            <v>23252.59</v>
          </cell>
        </row>
        <row r="2096">
          <cell r="C2096" t="str">
            <v>E-08920</v>
          </cell>
          <cell r="H2096">
            <v>58356.03</v>
          </cell>
        </row>
        <row r="2097">
          <cell r="C2097" t="str">
            <v>E-06050</v>
          </cell>
          <cell r="H2097">
            <v>15231.9</v>
          </cell>
        </row>
        <row r="2098">
          <cell r="C2098" t="str">
            <v>CM-62995</v>
          </cell>
          <cell r="H2098">
            <v>81.03</v>
          </cell>
        </row>
        <row r="2099">
          <cell r="C2099" t="str">
            <v>CM-62992</v>
          </cell>
          <cell r="H2099">
            <v>1760.34</v>
          </cell>
        </row>
        <row r="2100">
          <cell r="C2100" t="str">
            <v>CM-62735</v>
          </cell>
          <cell r="H2100">
            <v>100</v>
          </cell>
        </row>
        <row r="2101">
          <cell r="C2101" t="str">
            <v>CM-62732</v>
          </cell>
          <cell r="H2101">
            <v>2145.69</v>
          </cell>
        </row>
        <row r="2102">
          <cell r="C2102" t="str">
            <v>CM-62655</v>
          </cell>
          <cell r="H2102">
            <v>100</v>
          </cell>
        </row>
        <row r="2103">
          <cell r="C2103" t="str">
            <v>CM-62652</v>
          </cell>
          <cell r="H2103">
            <v>2145.69</v>
          </cell>
        </row>
        <row r="2104">
          <cell r="C2104" t="str">
            <v>CM-62585</v>
          </cell>
          <cell r="H2104">
            <v>81.03</v>
          </cell>
        </row>
        <row r="2105">
          <cell r="C2105" t="str">
            <v>CM-62582</v>
          </cell>
          <cell r="H2105">
            <v>1760.34</v>
          </cell>
        </row>
        <row r="2106">
          <cell r="C2106" t="str">
            <v>CM-62565</v>
          </cell>
          <cell r="H2106">
            <v>81.03</v>
          </cell>
        </row>
        <row r="2107">
          <cell r="C2107" t="str">
            <v>CM-62562</v>
          </cell>
          <cell r="H2107">
            <v>1760.34</v>
          </cell>
        </row>
        <row r="2108">
          <cell r="C2108" t="str">
            <v>CM-62265</v>
          </cell>
          <cell r="H2108">
            <v>81.03</v>
          </cell>
        </row>
        <row r="2109">
          <cell r="C2109" t="str">
            <v>CM-62262</v>
          </cell>
          <cell r="H2109">
            <v>1760.34</v>
          </cell>
        </row>
        <row r="2110">
          <cell r="C2110" t="str">
            <v>CIN-7Q240-0000</v>
          </cell>
          <cell r="H2110">
            <v>9168.9699999999993</v>
          </cell>
        </row>
        <row r="2111">
          <cell r="C2111" t="str">
            <v>CIN-7P731 9016</v>
          </cell>
          <cell r="H2111">
            <v>6736.21</v>
          </cell>
        </row>
        <row r="2112">
          <cell r="C2112" t="str">
            <v>CIN-7P702 9999</v>
          </cell>
          <cell r="H2112">
            <v>3890.52</v>
          </cell>
        </row>
        <row r="2113">
          <cell r="C2113" t="str">
            <v>CIN-7N190-9999</v>
          </cell>
          <cell r="H2113">
            <v>2634.48</v>
          </cell>
        </row>
        <row r="2114">
          <cell r="C2114" t="str">
            <v>CIN-7N151-0507</v>
          </cell>
          <cell r="H2114">
            <v>7975.86</v>
          </cell>
        </row>
        <row r="2115">
          <cell r="C2115" t="str">
            <v>CIN-7L190 9999</v>
          </cell>
          <cell r="H2115">
            <v>1760.34</v>
          </cell>
        </row>
        <row r="2116">
          <cell r="C2116" t="str">
            <v>CIN-7L151 9010</v>
          </cell>
          <cell r="H2116">
            <v>5305.17</v>
          </cell>
        </row>
        <row r="2117">
          <cell r="C2117" t="str">
            <v>CIN-7L136 9010</v>
          </cell>
          <cell r="H2117">
            <v>3337.07</v>
          </cell>
        </row>
        <row r="2118">
          <cell r="C2118" t="str">
            <v>CIN-7K927 9980</v>
          </cell>
          <cell r="H2118">
            <v>3443.1</v>
          </cell>
        </row>
        <row r="2119">
          <cell r="C2119" t="str">
            <v>CIN-7K921 7101</v>
          </cell>
          <cell r="H2119">
            <v>9770.69</v>
          </cell>
        </row>
        <row r="2120">
          <cell r="C2120" t="str">
            <v>CIN-7I920 0503</v>
          </cell>
          <cell r="H2120">
            <v>6312.07</v>
          </cell>
        </row>
        <row r="2121">
          <cell r="C2121" t="str">
            <v>CIN-7I910 0503</v>
          </cell>
          <cell r="H2121">
            <v>7607.76</v>
          </cell>
        </row>
        <row r="2122">
          <cell r="C2122" t="str">
            <v>CIN-7H990-0503</v>
          </cell>
          <cell r="H2122">
            <v>3419.83</v>
          </cell>
        </row>
        <row r="2123">
          <cell r="C2123" t="str">
            <v>CIN-7H990 0503</v>
          </cell>
          <cell r="H2123">
            <v>8587.07</v>
          </cell>
        </row>
        <row r="2124">
          <cell r="C2124" t="str">
            <v>CIN-7F282 9999C</v>
          </cell>
          <cell r="H2124">
            <v>2512.9299999999998</v>
          </cell>
        </row>
        <row r="2125">
          <cell r="C2125" t="str">
            <v>CIN-7F281 5508E</v>
          </cell>
          <cell r="H2125">
            <v>4002.59</v>
          </cell>
        </row>
        <row r="2126">
          <cell r="C2126" t="str">
            <v>B-20054</v>
          </cell>
          <cell r="H2126">
            <v>269.83</v>
          </cell>
        </row>
        <row r="2127">
          <cell r="C2127" t="str">
            <v>B-20053</v>
          </cell>
          <cell r="H2127">
            <v>962.93</v>
          </cell>
        </row>
        <row r="2128">
          <cell r="C2128" t="str">
            <v>B-20051</v>
          </cell>
          <cell r="H2128">
            <v>4050.86</v>
          </cell>
        </row>
        <row r="2129">
          <cell r="C2129" t="str">
            <v>9920-50</v>
          </cell>
          <cell r="H2129">
            <v>44.83</v>
          </cell>
        </row>
        <row r="2130">
          <cell r="C2130" t="str">
            <v>99-CM-62655</v>
          </cell>
          <cell r="H2130">
            <v>100</v>
          </cell>
        </row>
        <row r="2131">
          <cell r="C2131" t="str">
            <v>99-70704</v>
          </cell>
          <cell r="H2131">
            <v>845.69</v>
          </cell>
        </row>
        <row r="2132">
          <cell r="C2132" t="str">
            <v>99-60424</v>
          </cell>
          <cell r="H2132">
            <v>37.93</v>
          </cell>
        </row>
        <row r="2133">
          <cell r="C2133" t="str">
            <v>99-60381</v>
          </cell>
          <cell r="H2133">
            <v>1344.83</v>
          </cell>
        </row>
        <row r="2134">
          <cell r="C2134" t="str">
            <v>99-60364</v>
          </cell>
          <cell r="H2134">
            <v>60.34</v>
          </cell>
        </row>
        <row r="2135">
          <cell r="C2135" t="str">
            <v>99-60304</v>
          </cell>
          <cell r="H2135">
            <v>122.41</v>
          </cell>
        </row>
        <row r="2136">
          <cell r="C2136" t="str">
            <v>99-60052</v>
          </cell>
          <cell r="H2136">
            <v>77.59</v>
          </cell>
        </row>
        <row r="2137">
          <cell r="C2137" t="str">
            <v>99-29677</v>
          </cell>
          <cell r="H2137">
            <v>228.45</v>
          </cell>
        </row>
        <row r="2138">
          <cell r="C2138" t="str">
            <v>99-29501</v>
          </cell>
          <cell r="H2138">
            <v>3018.97</v>
          </cell>
        </row>
        <row r="2139">
          <cell r="C2139" t="str">
            <v>99-2454</v>
          </cell>
          <cell r="H2139">
            <v>74.14</v>
          </cell>
        </row>
        <row r="2140">
          <cell r="C2140" t="str">
            <v>9270-R</v>
          </cell>
          <cell r="H2140">
            <v>50.86</v>
          </cell>
        </row>
        <row r="2141">
          <cell r="C2141" t="str">
            <v>9211-9</v>
          </cell>
          <cell r="H2141">
            <v>17.239999999999998</v>
          </cell>
        </row>
        <row r="2142">
          <cell r="C2142" t="str">
            <v>9211-4</v>
          </cell>
          <cell r="H2142">
            <v>17.239999999999998</v>
          </cell>
        </row>
        <row r="2143">
          <cell r="C2143" t="str">
            <v>9209-6</v>
          </cell>
          <cell r="H2143">
            <v>18.100000000000001</v>
          </cell>
        </row>
        <row r="2144">
          <cell r="C2144" t="str">
            <v>9209-4</v>
          </cell>
          <cell r="H2144">
            <v>18.100000000000001</v>
          </cell>
        </row>
        <row r="2145">
          <cell r="C2145" t="str">
            <v>9208-4</v>
          </cell>
          <cell r="H2145">
            <v>18.100000000000001</v>
          </cell>
        </row>
        <row r="2146">
          <cell r="C2146" t="str">
            <v>9208-3</v>
          </cell>
          <cell r="H2146">
            <v>18.100000000000001</v>
          </cell>
        </row>
        <row r="2147">
          <cell r="C2147" t="str">
            <v>9208-2</v>
          </cell>
          <cell r="H2147">
            <v>18.100000000000001</v>
          </cell>
        </row>
        <row r="2148">
          <cell r="C2148" t="str">
            <v>9208-00</v>
          </cell>
          <cell r="H2148">
            <v>18.100000000000001</v>
          </cell>
        </row>
        <row r="2149">
          <cell r="C2149" t="str">
            <v>9208-0</v>
          </cell>
          <cell r="H2149">
            <v>17.239999999999998</v>
          </cell>
        </row>
        <row r="2150">
          <cell r="C2150" t="str">
            <v>9207-6</v>
          </cell>
          <cell r="H2150">
            <v>18.100000000000001</v>
          </cell>
        </row>
        <row r="2151">
          <cell r="C2151" t="str">
            <v>9207-29</v>
          </cell>
          <cell r="H2151">
            <v>45.69</v>
          </cell>
        </row>
        <row r="2152">
          <cell r="C2152" t="str">
            <v>9205-2</v>
          </cell>
          <cell r="H2152">
            <v>18.100000000000001</v>
          </cell>
        </row>
        <row r="2153">
          <cell r="C2153" t="str">
            <v>9204-4</v>
          </cell>
          <cell r="H2153">
            <v>18.100000000000001</v>
          </cell>
        </row>
        <row r="2154">
          <cell r="C2154" t="str">
            <v>9204-3</v>
          </cell>
          <cell r="H2154">
            <v>18.100000000000001</v>
          </cell>
        </row>
        <row r="2155">
          <cell r="C2155" t="str">
            <v>9203-4</v>
          </cell>
          <cell r="H2155">
            <v>18.100000000000001</v>
          </cell>
        </row>
        <row r="2156">
          <cell r="C2156" t="str">
            <v>9203-2</v>
          </cell>
          <cell r="H2156">
            <v>18.100000000000001</v>
          </cell>
        </row>
        <row r="2157">
          <cell r="C2157" t="str">
            <v>9203-1</v>
          </cell>
          <cell r="H2157">
            <v>18.100000000000001</v>
          </cell>
        </row>
        <row r="2158">
          <cell r="C2158" t="str">
            <v>9202-14</v>
          </cell>
          <cell r="H2158">
            <v>28.45</v>
          </cell>
        </row>
        <row r="2159">
          <cell r="C2159" t="str">
            <v>9202-01</v>
          </cell>
          <cell r="H2159">
            <v>18.100000000000001</v>
          </cell>
        </row>
        <row r="2160">
          <cell r="C2160" t="str">
            <v>9202-00</v>
          </cell>
          <cell r="H2160">
            <v>18.100000000000001</v>
          </cell>
        </row>
        <row r="2161">
          <cell r="C2161" t="str">
            <v>9202-0</v>
          </cell>
          <cell r="H2161">
            <v>18.100000000000001</v>
          </cell>
        </row>
        <row r="2162">
          <cell r="C2162" t="str">
            <v>9196-PRO</v>
          </cell>
          <cell r="H2162">
            <v>0.01</v>
          </cell>
        </row>
        <row r="2163">
          <cell r="C2163" t="str">
            <v>9179-B</v>
          </cell>
          <cell r="H2163">
            <v>91.38</v>
          </cell>
        </row>
        <row r="2164">
          <cell r="C2164" t="str">
            <v>9178-CN</v>
          </cell>
          <cell r="H2164">
            <v>109.48</v>
          </cell>
        </row>
        <row r="2165">
          <cell r="C2165" t="str">
            <v>9149-PG</v>
          </cell>
          <cell r="H2165">
            <v>1005.17</v>
          </cell>
        </row>
        <row r="2166">
          <cell r="C2166" t="str">
            <v>9148-PR</v>
          </cell>
          <cell r="H2166">
            <v>537.92999999999995</v>
          </cell>
        </row>
        <row r="2167">
          <cell r="C2167" t="str">
            <v>9148-PB</v>
          </cell>
          <cell r="H2167">
            <v>480.17</v>
          </cell>
        </row>
        <row r="2168">
          <cell r="C2168" t="str">
            <v>9124-43</v>
          </cell>
          <cell r="H2168">
            <v>56.9</v>
          </cell>
        </row>
        <row r="2169">
          <cell r="C2169" t="str">
            <v>9124-42</v>
          </cell>
          <cell r="H2169">
            <v>112.93</v>
          </cell>
        </row>
        <row r="2170">
          <cell r="C2170" t="str">
            <v>E-96221</v>
          </cell>
          <cell r="H2170">
            <v>3791.38</v>
          </cell>
        </row>
        <row r="2171">
          <cell r="C2171" t="str">
            <v>E-67761</v>
          </cell>
          <cell r="H2171">
            <v>4880.17</v>
          </cell>
        </row>
        <row r="2172">
          <cell r="C2172" t="str">
            <v>E-65231</v>
          </cell>
          <cell r="H2172">
            <v>3100.86</v>
          </cell>
        </row>
        <row r="2173">
          <cell r="C2173" t="str">
            <v>E-65140</v>
          </cell>
          <cell r="H2173">
            <v>42564.66</v>
          </cell>
        </row>
        <row r="2174">
          <cell r="C2174" t="str">
            <v>E-65070</v>
          </cell>
          <cell r="H2174">
            <v>50800</v>
          </cell>
        </row>
        <row r="2175">
          <cell r="C2175" t="str">
            <v>E-64980</v>
          </cell>
          <cell r="H2175">
            <v>48582.76</v>
          </cell>
        </row>
        <row r="2176">
          <cell r="C2176" t="str">
            <v>E-64060</v>
          </cell>
          <cell r="H2176">
            <v>46137.93</v>
          </cell>
        </row>
        <row r="2177">
          <cell r="C2177" t="str">
            <v>E-63570</v>
          </cell>
          <cell r="H2177">
            <v>46137.93</v>
          </cell>
        </row>
        <row r="2178">
          <cell r="C2178" t="str">
            <v>E-63211</v>
          </cell>
          <cell r="H2178">
            <v>4192.24</v>
          </cell>
        </row>
        <row r="2179">
          <cell r="C2179" t="str">
            <v>E-62310</v>
          </cell>
          <cell r="H2179">
            <v>46137.93</v>
          </cell>
        </row>
        <row r="2180">
          <cell r="C2180" t="str">
            <v>E-38924</v>
          </cell>
          <cell r="H2180">
            <v>201.72</v>
          </cell>
        </row>
        <row r="2181">
          <cell r="C2181" t="str">
            <v>E-38923</v>
          </cell>
          <cell r="H2181">
            <v>716.38</v>
          </cell>
        </row>
        <row r="2182">
          <cell r="C2182" t="str">
            <v>E-38921</v>
          </cell>
          <cell r="H2182">
            <v>3037.93</v>
          </cell>
        </row>
        <row r="2183">
          <cell r="C2183" t="str">
            <v>E-38024</v>
          </cell>
          <cell r="H2183">
            <v>188.79</v>
          </cell>
        </row>
        <row r="2184">
          <cell r="C2184" t="str">
            <v>E-38023</v>
          </cell>
          <cell r="H2184">
            <v>668.97</v>
          </cell>
        </row>
        <row r="2185">
          <cell r="C2185" t="str">
            <v>E-38021</v>
          </cell>
          <cell r="H2185">
            <v>2809.48</v>
          </cell>
        </row>
        <row r="2186">
          <cell r="C2186" t="str">
            <v>E-38014</v>
          </cell>
          <cell r="H2186">
            <v>142.24</v>
          </cell>
        </row>
        <row r="2187">
          <cell r="C2187" t="str">
            <v>E-38013</v>
          </cell>
          <cell r="H2187">
            <v>477.59</v>
          </cell>
        </row>
        <row r="2188">
          <cell r="C2188" t="str">
            <v>E-38011</v>
          </cell>
          <cell r="H2188">
            <v>1900</v>
          </cell>
        </row>
        <row r="2189">
          <cell r="C2189" t="str">
            <v>E-38004</v>
          </cell>
          <cell r="H2189">
            <v>173.28</v>
          </cell>
        </row>
        <row r="2190">
          <cell r="C2190" t="str">
            <v>E-38003</v>
          </cell>
          <cell r="H2190">
            <v>606.03</v>
          </cell>
        </row>
        <row r="2191">
          <cell r="C2191" t="str">
            <v>E-38001</v>
          </cell>
          <cell r="H2191">
            <v>2506.9</v>
          </cell>
        </row>
        <row r="2192">
          <cell r="C2192" t="str">
            <v>E-37804</v>
          </cell>
          <cell r="H2192">
            <v>197.41</v>
          </cell>
        </row>
        <row r="2193">
          <cell r="C2193" t="str">
            <v>E-37803</v>
          </cell>
          <cell r="H2193">
            <v>704.31</v>
          </cell>
        </row>
        <row r="2194">
          <cell r="C2194" t="str">
            <v>E-37801</v>
          </cell>
          <cell r="H2194">
            <v>2976.72</v>
          </cell>
        </row>
        <row r="2195">
          <cell r="C2195" t="str">
            <v>E-84691</v>
          </cell>
          <cell r="H2195">
            <v>3037.93</v>
          </cell>
        </row>
        <row r="2196">
          <cell r="C2196" t="str">
            <v>E-68890</v>
          </cell>
          <cell r="H2196">
            <v>42861.21</v>
          </cell>
        </row>
        <row r="2197">
          <cell r="C2197" t="str">
            <v>E-63571</v>
          </cell>
          <cell r="H2197">
            <v>2975.86</v>
          </cell>
        </row>
        <row r="2198">
          <cell r="C2198" t="str">
            <v>E-62311</v>
          </cell>
          <cell r="H2198">
            <v>2937.93</v>
          </cell>
        </row>
        <row r="2199">
          <cell r="C2199" t="str">
            <v>E-19680</v>
          </cell>
          <cell r="H2199">
            <v>53456.9</v>
          </cell>
        </row>
        <row r="2200">
          <cell r="C2200" t="str">
            <v>9920-200</v>
          </cell>
          <cell r="H2200">
            <v>81.900000000000006</v>
          </cell>
        </row>
        <row r="2201">
          <cell r="C2201" t="str">
            <v>9920-100</v>
          </cell>
          <cell r="H2201">
            <v>54.31</v>
          </cell>
        </row>
        <row r="2202">
          <cell r="C2202" t="str">
            <v>9270-5G</v>
          </cell>
          <cell r="H2202">
            <v>43.1</v>
          </cell>
        </row>
        <row r="2203">
          <cell r="C2203" t="str">
            <v>9203-PX</v>
          </cell>
          <cell r="H2203">
            <v>87.07</v>
          </cell>
        </row>
        <row r="2204">
          <cell r="C2204" t="str">
            <v>9203-PR</v>
          </cell>
          <cell r="H2204">
            <v>74.14</v>
          </cell>
        </row>
        <row r="2205">
          <cell r="C2205" t="str">
            <v>9178-CS</v>
          </cell>
          <cell r="H2205">
            <v>56.03</v>
          </cell>
        </row>
        <row r="2206">
          <cell r="C2206" t="str">
            <v>9176-64</v>
          </cell>
          <cell r="H2206">
            <v>43.1</v>
          </cell>
        </row>
        <row r="2207">
          <cell r="C2207" t="str">
            <v>9176-51</v>
          </cell>
          <cell r="H2207">
            <v>43.1</v>
          </cell>
        </row>
        <row r="2208">
          <cell r="C2208" t="str">
            <v>ES-02940</v>
          </cell>
          <cell r="H2208">
            <v>33186.21</v>
          </cell>
        </row>
        <row r="2209">
          <cell r="C2209" t="str">
            <v>ES-00034</v>
          </cell>
          <cell r="H2209">
            <v>234.48</v>
          </cell>
        </row>
        <row r="2210">
          <cell r="C2210" t="str">
            <v>ES-00033</v>
          </cell>
          <cell r="H2210">
            <v>809.48</v>
          </cell>
        </row>
        <row r="2211">
          <cell r="C2211" t="str">
            <v>ES-00031</v>
          </cell>
          <cell r="H2211">
            <v>3569.83</v>
          </cell>
        </row>
        <row r="2212">
          <cell r="C2212" t="str">
            <v>E-99330</v>
          </cell>
          <cell r="H2212">
            <v>32118.97</v>
          </cell>
        </row>
        <row r="2213">
          <cell r="C2213" t="str">
            <v>E-99244</v>
          </cell>
          <cell r="H2213">
            <v>243.97</v>
          </cell>
        </row>
        <row r="2214">
          <cell r="C2214" t="str">
            <v>E-99243</v>
          </cell>
          <cell r="H2214">
            <v>950.86</v>
          </cell>
        </row>
        <row r="2215">
          <cell r="C2215" t="str">
            <v>E-96671</v>
          </cell>
          <cell r="H2215">
            <v>4320.6899999999996</v>
          </cell>
        </row>
        <row r="2216">
          <cell r="C2216" t="str">
            <v>E-96220</v>
          </cell>
          <cell r="H2216">
            <v>38552.589999999997</v>
          </cell>
        </row>
        <row r="2217">
          <cell r="C2217" t="str">
            <v>E-90244</v>
          </cell>
          <cell r="H2217">
            <v>193.97</v>
          </cell>
        </row>
        <row r="2218">
          <cell r="C2218" t="str">
            <v>E-80811</v>
          </cell>
          <cell r="H2218">
            <v>979.31</v>
          </cell>
        </row>
        <row r="2219">
          <cell r="C2219" t="str">
            <v>E-80651</v>
          </cell>
          <cell r="H2219">
            <v>2972.41</v>
          </cell>
        </row>
        <row r="2220">
          <cell r="C2220" t="str">
            <v>E-76400</v>
          </cell>
          <cell r="H2220">
            <v>44517.24</v>
          </cell>
        </row>
        <row r="2221">
          <cell r="C2221" t="str">
            <v>E-76360</v>
          </cell>
          <cell r="H2221">
            <v>44009.48</v>
          </cell>
        </row>
        <row r="2222">
          <cell r="C2222" t="str">
            <v>E-76054</v>
          </cell>
          <cell r="H2222">
            <v>178.45</v>
          </cell>
        </row>
        <row r="2223">
          <cell r="C2223" t="str">
            <v>E-76051</v>
          </cell>
          <cell r="H2223">
            <v>3107.76</v>
          </cell>
        </row>
        <row r="2224">
          <cell r="C2224" t="str">
            <v>E-75870</v>
          </cell>
          <cell r="H2224">
            <v>30572.41</v>
          </cell>
        </row>
        <row r="2225">
          <cell r="C2225" t="str">
            <v>E-75831</v>
          </cell>
          <cell r="H2225">
            <v>3137.07</v>
          </cell>
        </row>
        <row r="2226">
          <cell r="C2226" t="str">
            <v>E-75830</v>
          </cell>
          <cell r="H2226">
            <v>26068.1</v>
          </cell>
        </row>
        <row r="2227">
          <cell r="C2227" t="str">
            <v>E-75821</v>
          </cell>
          <cell r="H2227">
            <v>3001.72</v>
          </cell>
        </row>
        <row r="2228">
          <cell r="C2228" t="str">
            <v>E-75663</v>
          </cell>
          <cell r="H2228">
            <v>872.41</v>
          </cell>
        </row>
        <row r="2229">
          <cell r="C2229" t="str">
            <v>E-75661</v>
          </cell>
          <cell r="H2229">
            <v>3750.86</v>
          </cell>
        </row>
        <row r="2230">
          <cell r="C2230" t="str">
            <v>E-75581</v>
          </cell>
          <cell r="H2230">
            <v>3506.03</v>
          </cell>
        </row>
        <row r="2231">
          <cell r="C2231" t="str">
            <v>E-75431</v>
          </cell>
          <cell r="H2231">
            <v>3259.48</v>
          </cell>
        </row>
        <row r="2232">
          <cell r="C2232" t="str">
            <v>E-75420</v>
          </cell>
          <cell r="H2232">
            <v>30936.21</v>
          </cell>
        </row>
        <row r="2233">
          <cell r="C2233" t="str">
            <v>E-75184</v>
          </cell>
          <cell r="H2233">
            <v>168.97</v>
          </cell>
        </row>
        <row r="2234">
          <cell r="C2234" t="str">
            <v>E-75174</v>
          </cell>
          <cell r="H2234">
            <v>168.97</v>
          </cell>
        </row>
        <row r="2235">
          <cell r="C2235" t="str">
            <v>E-75154</v>
          </cell>
          <cell r="H2235">
            <v>156.9</v>
          </cell>
        </row>
        <row r="2236">
          <cell r="C2236" t="str">
            <v>E-74591</v>
          </cell>
          <cell r="H2236">
            <v>5113.79</v>
          </cell>
        </row>
        <row r="2237">
          <cell r="C2237" t="str">
            <v>E-74424</v>
          </cell>
          <cell r="H2237">
            <v>217.24</v>
          </cell>
        </row>
        <row r="2238">
          <cell r="C2238" t="str">
            <v>E-74421</v>
          </cell>
          <cell r="H2238">
            <v>3350.86</v>
          </cell>
        </row>
        <row r="2239">
          <cell r="C2239" t="str">
            <v>E-74413</v>
          </cell>
          <cell r="H2239">
            <v>873.28</v>
          </cell>
        </row>
        <row r="2240">
          <cell r="C2240" t="str">
            <v>E-74323</v>
          </cell>
          <cell r="H2240">
            <v>938.79</v>
          </cell>
        </row>
        <row r="2241">
          <cell r="C2241" t="str">
            <v>E-74290</v>
          </cell>
          <cell r="H2241">
            <v>27862.07</v>
          </cell>
        </row>
        <row r="2242">
          <cell r="C2242" t="str">
            <v>E-73791</v>
          </cell>
          <cell r="H2242">
            <v>4400</v>
          </cell>
        </row>
        <row r="2243">
          <cell r="C2243" t="str">
            <v>E-73790</v>
          </cell>
          <cell r="H2243">
            <v>43698.28</v>
          </cell>
        </row>
        <row r="2244">
          <cell r="C2244" t="str">
            <v>E-73510</v>
          </cell>
          <cell r="H2244">
            <v>39176.720000000001</v>
          </cell>
        </row>
        <row r="2245">
          <cell r="C2245" t="str">
            <v>E-73261</v>
          </cell>
          <cell r="H2245">
            <v>4777.59</v>
          </cell>
        </row>
        <row r="2246">
          <cell r="C2246" t="str">
            <v>E-72700</v>
          </cell>
          <cell r="H2246">
            <v>46336.21</v>
          </cell>
        </row>
        <row r="2247">
          <cell r="C2247" t="str">
            <v>E-72481</v>
          </cell>
          <cell r="H2247">
            <v>4041.38</v>
          </cell>
        </row>
        <row r="2248">
          <cell r="C2248" t="str">
            <v>E-72391</v>
          </cell>
          <cell r="H2248">
            <v>1986.21</v>
          </cell>
        </row>
        <row r="2249">
          <cell r="C2249" t="str">
            <v>E-72281</v>
          </cell>
          <cell r="H2249">
            <v>6303.45</v>
          </cell>
        </row>
        <row r="2250">
          <cell r="C2250" t="str">
            <v>E-72111</v>
          </cell>
          <cell r="H2250">
            <v>3262.07</v>
          </cell>
        </row>
        <row r="2251">
          <cell r="C2251" t="str">
            <v>E-71611</v>
          </cell>
          <cell r="H2251">
            <v>15109.48</v>
          </cell>
        </row>
        <row r="2252">
          <cell r="C2252" t="str">
            <v>E-71591</v>
          </cell>
          <cell r="H2252">
            <v>13669.83</v>
          </cell>
        </row>
        <row r="2253">
          <cell r="C2253" t="str">
            <v>E-71140</v>
          </cell>
          <cell r="H2253">
            <v>31488.79</v>
          </cell>
        </row>
        <row r="2254">
          <cell r="C2254" t="str">
            <v>E-70230</v>
          </cell>
          <cell r="H2254">
            <v>48599.14</v>
          </cell>
        </row>
        <row r="2255">
          <cell r="C2255" t="str">
            <v>E-69870</v>
          </cell>
          <cell r="H2255">
            <v>44207.76</v>
          </cell>
        </row>
        <row r="2256">
          <cell r="C2256" t="str">
            <v>E-69611</v>
          </cell>
          <cell r="H2256">
            <v>4169.83</v>
          </cell>
        </row>
        <row r="2257">
          <cell r="C2257" t="str">
            <v>E-69603</v>
          </cell>
          <cell r="H2257">
            <v>1532.76</v>
          </cell>
        </row>
        <row r="2258">
          <cell r="C2258" t="str">
            <v>E-69593</v>
          </cell>
          <cell r="H2258">
            <v>859.48</v>
          </cell>
        </row>
        <row r="2259">
          <cell r="C2259" t="str">
            <v>E-69581</v>
          </cell>
          <cell r="H2259">
            <v>6308.62</v>
          </cell>
        </row>
        <row r="2260">
          <cell r="C2260" t="str">
            <v>E-69471</v>
          </cell>
          <cell r="H2260">
            <v>4687.93</v>
          </cell>
        </row>
        <row r="2261">
          <cell r="C2261" t="str">
            <v>E-69470</v>
          </cell>
          <cell r="H2261">
            <v>41164.660000000003</v>
          </cell>
        </row>
        <row r="2262">
          <cell r="C2262" t="str">
            <v>E-69401</v>
          </cell>
          <cell r="H2262">
            <v>3774.14</v>
          </cell>
        </row>
        <row r="2263">
          <cell r="C2263" t="str">
            <v>E-69391</v>
          </cell>
          <cell r="H2263">
            <v>3826.72</v>
          </cell>
        </row>
        <row r="2264">
          <cell r="C2264" t="str">
            <v>E-69340</v>
          </cell>
          <cell r="H2264">
            <v>35006.9</v>
          </cell>
        </row>
        <row r="2265">
          <cell r="C2265" t="str">
            <v>E-68590</v>
          </cell>
          <cell r="H2265">
            <v>48468.97</v>
          </cell>
        </row>
        <row r="2266">
          <cell r="C2266" t="str">
            <v>E-68311</v>
          </cell>
          <cell r="H2266">
            <v>3856.9</v>
          </cell>
        </row>
        <row r="2267">
          <cell r="C2267" t="str">
            <v>E-68251</v>
          </cell>
          <cell r="H2267">
            <v>6710.34</v>
          </cell>
        </row>
        <row r="2268">
          <cell r="C2268" t="str">
            <v>E-68134</v>
          </cell>
          <cell r="H2268">
            <v>343.97</v>
          </cell>
        </row>
        <row r="2269">
          <cell r="C2269" t="str">
            <v>E-68021</v>
          </cell>
          <cell r="H2269">
            <v>3909.48</v>
          </cell>
        </row>
        <row r="2270">
          <cell r="C2270" t="str">
            <v>E-68010</v>
          </cell>
          <cell r="H2270">
            <v>35867.24</v>
          </cell>
        </row>
        <row r="2271">
          <cell r="C2271" t="str">
            <v>E-67640</v>
          </cell>
          <cell r="H2271">
            <v>46746.55</v>
          </cell>
        </row>
        <row r="2272">
          <cell r="C2272" t="str">
            <v>E-67281</v>
          </cell>
          <cell r="H2272">
            <v>5025</v>
          </cell>
        </row>
        <row r="2273">
          <cell r="C2273" t="str">
            <v>E-67280</v>
          </cell>
          <cell r="H2273">
            <v>48118.1</v>
          </cell>
        </row>
        <row r="2274">
          <cell r="C2274" t="str">
            <v>E-67170</v>
          </cell>
          <cell r="H2274">
            <v>39106.03</v>
          </cell>
        </row>
        <row r="2275">
          <cell r="C2275" t="str">
            <v>E-66891</v>
          </cell>
          <cell r="H2275">
            <v>3792.24</v>
          </cell>
        </row>
        <row r="2276">
          <cell r="C2276" t="str">
            <v>E-66890</v>
          </cell>
          <cell r="H2276">
            <v>23366.38</v>
          </cell>
        </row>
        <row r="2277">
          <cell r="C2277" t="str">
            <v>E-66643</v>
          </cell>
          <cell r="H2277">
            <v>2014.66</v>
          </cell>
        </row>
        <row r="2278">
          <cell r="C2278" t="str">
            <v>E-65663</v>
          </cell>
          <cell r="H2278">
            <v>1062.07</v>
          </cell>
        </row>
        <row r="2279">
          <cell r="C2279" t="str">
            <v>E-65661</v>
          </cell>
          <cell r="H2279">
            <v>4358.62</v>
          </cell>
        </row>
        <row r="2280">
          <cell r="C2280" t="str">
            <v>E-65651</v>
          </cell>
          <cell r="H2280">
            <v>3988.79</v>
          </cell>
        </row>
        <row r="2281">
          <cell r="C2281" t="str">
            <v>E-65581</v>
          </cell>
          <cell r="H2281">
            <v>4803.45</v>
          </cell>
        </row>
        <row r="2282">
          <cell r="C2282" t="str">
            <v>E-65304</v>
          </cell>
          <cell r="H2282">
            <v>113.79</v>
          </cell>
        </row>
        <row r="2283">
          <cell r="C2283" t="str">
            <v>E-65230</v>
          </cell>
          <cell r="H2283">
            <v>30933.62</v>
          </cell>
        </row>
        <row r="2284">
          <cell r="C2284" t="str">
            <v>E-64490</v>
          </cell>
          <cell r="H2284">
            <v>46802.59</v>
          </cell>
        </row>
        <row r="2285">
          <cell r="C2285" t="str">
            <v>E-63860</v>
          </cell>
          <cell r="H2285">
            <v>48468.97</v>
          </cell>
        </row>
        <row r="2286">
          <cell r="C2286" t="str">
            <v>E-63791</v>
          </cell>
          <cell r="H2286">
            <v>4587.07</v>
          </cell>
        </row>
        <row r="2287">
          <cell r="C2287" t="str">
            <v>E-63210</v>
          </cell>
          <cell r="H2287">
            <v>40056.9</v>
          </cell>
        </row>
        <row r="2288">
          <cell r="C2288" t="str">
            <v>E-62184</v>
          </cell>
          <cell r="H2288">
            <v>370.69</v>
          </cell>
        </row>
        <row r="2289">
          <cell r="C2289" t="str">
            <v>E-62183</v>
          </cell>
          <cell r="H2289">
            <v>1305.17</v>
          </cell>
        </row>
        <row r="2290">
          <cell r="C2290" t="str">
            <v>E-62181</v>
          </cell>
          <cell r="H2290">
            <v>5397.41</v>
          </cell>
        </row>
        <row r="2291">
          <cell r="C2291" t="str">
            <v>E-59503</v>
          </cell>
          <cell r="H2291">
            <v>850</v>
          </cell>
        </row>
        <row r="2292">
          <cell r="C2292" t="str">
            <v>E-59501</v>
          </cell>
          <cell r="H2292">
            <v>3471.55</v>
          </cell>
        </row>
        <row r="2293">
          <cell r="C2293" t="str">
            <v>E-48954</v>
          </cell>
          <cell r="H2293">
            <v>338.79</v>
          </cell>
        </row>
        <row r="2294">
          <cell r="C2294" t="str">
            <v>E-48953</v>
          </cell>
          <cell r="H2294">
            <v>1337.07</v>
          </cell>
        </row>
        <row r="2295">
          <cell r="C2295" t="str">
            <v>E-48951</v>
          </cell>
          <cell r="H2295">
            <v>5681.9</v>
          </cell>
        </row>
        <row r="2296">
          <cell r="C2296" t="str">
            <v>E-47921</v>
          </cell>
          <cell r="H2296">
            <v>6144.83</v>
          </cell>
        </row>
        <row r="2297">
          <cell r="C2297" t="str">
            <v>E-47801</v>
          </cell>
          <cell r="H2297">
            <v>1951.72</v>
          </cell>
        </row>
        <row r="2298">
          <cell r="C2298" t="str">
            <v>E-47281</v>
          </cell>
          <cell r="H2298">
            <v>4438.79</v>
          </cell>
        </row>
        <row r="2299">
          <cell r="C2299" t="str">
            <v>E-41364</v>
          </cell>
          <cell r="H2299">
            <v>184.48</v>
          </cell>
        </row>
        <row r="2300">
          <cell r="C2300" t="str">
            <v>E-30111</v>
          </cell>
          <cell r="H2300">
            <v>865.52</v>
          </cell>
        </row>
        <row r="2301">
          <cell r="C2301" t="str">
            <v>E-16180</v>
          </cell>
          <cell r="H2301">
            <v>37603.449999999997</v>
          </cell>
        </row>
        <row r="2302">
          <cell r="C2302" t="str">
            <v>BAG-10896</v>
          </cell>
          <cell r="H2302">
            <v>68.97</v>
          </cell>
        </row>
        <row r="2303">
          <cell r="C2303" t="str">
            <v>BAG-10895</v>
          </cell>
          <cell r="H2303">
            <v>106.03</v>
          </cell>
        </row>
        <row r="2304">
          <cell r="C2304" t="str">
            <v>BAG-10894</v>
          </cell>
          <cell r="H2304">
            <v>181.9</v>
          </cell>
        </row>
        <row r="2305">
          <cell r="C2305" t="str">
            <v>BAG-10886</v>
          </cell>
          <cell r="H2305">
            <v>68.97</v>
          </cell>
        </row>
        <row r="2306">
          <cell r="C2306" t="str">
            <v>BAG-10885</v>
          </cell>
          <cell r="H2306">
            <v>106.03</v>
          </cell>
        </row>
        <row r="2307">
          <cell r="C2307" t="str">
            <v>BAG-10884</v>
          </cell>
          <cell r="H2307">
            <v>181.9</v>
          </cell>
        </row>
        <row r="2308">
          <cell r="C2308" t="str">
            <v>BAG-10846</v>
          </cell>
          <cell r="H2308">
            <v>68.97</v>
          </cell>
        </row>
        <row r="2309">
          <cell r="C2309" t="str">
            <v>BAG-10845</v>
          </cell>
          <cell r="H2309">
            <v>106.03</v>
          </cell>
        </row>
        <row r="2310">
          <cell r="C2310" t="str">
            <v>BAG-10844</v>
          </cell>
          <cell r="H2310">
            <v>181.9</v>
          </cell>
        </row>
        <row r="2311">
          <cell r="C2311" t="str">
            <v>9920-75</v>
          </cell>
          <cell r="H2311">
            <v>31.9</v>
          </cell>
        </row>
        <row r="2312">
          <cell r="C2312" t="str">
            <v>E-75871</v>
          </cell>
          <cell r="H2312">
            <v>4085.34</v>
          </cell>
        </row>
        <row r="2313">
          <cell r="C2313" t="str">
            <v>E-74414</v>
          </cell>
          <cell r="H2313">
            <v>275</v>
          </cell>
        </row>
        <row r="2314">
          <cell r="C2314" t="str">
            <v>E-68591</v>
          </cell>
          <cell r="H2314">
            <v>2888.79</v>
          </cell>
        </row>
        <row r="2315">
          <cell r="C2315" t="str">
            <v>E-66560</v>
          </cell>
          <cell r="H2315">
            <v>48935.34</v>
          </cell>
        </row>
        <row r="2316">
          <cell r="C2316" t="str">
            <v>E-30141</v>
          </cell>
          <cell r="H2316">
            <v>865.52</v>
          </cell>
        </row>
        <row r="2317">
          <cell r="C2317" t="str">
            <v>CIN-7K206 7N40</v>
          </cell>
          <cell r="H2317">
            <v>4986.21</v>
          </cell>
        </row>
        <row r="2318">
          <cell r="C2318" t="str">
            <v>76001</v>
          </cell>
          <cell r="H2318">
            <v>3961.21</v>
          </cell>
        </row>
        <row r="2319">
          <cell r="C2319" t="str">
            <v>74993</v>
          </cell>
          <cell r="H2319">
            <v>1388.79</v>
          </cell>
        </row>
        <row r="2320">
          <cell r="C2320" t="str">
            <v>74991</v>
          </cell>
          <cell r="H2320">
            <v>6297.41</v>
          </cell>
        </row>
        <row r="2321">
          <cell r="C2321" t="str">
            <v>74754</v>
          </cell>
          <cell r="H2321">
            <v>409.48</v>
          </cell>
        </row>
        <row r="2322">
          <cell r="C2322" t="str">
            <v>74753</v>
          </cell>
          <cell r="H2322">
            <v>1497.41</v>
          </cell>
        </row>
        <row r="2323">
          <cell r="C2323" t="str">
            <v>74654</v>
          </cell>
          <cell r="H2323">
            <v>377.59</v>
          </cell>
        </row>
        <row r="2324">
          <cell r="C2324" t="str">
            <v>74653</v>
          </cell>
          <cell r="H2324">
            <v>1368.97</v>
          </cell>
        </row>
        <row r="2325">
          <cell r="C2325" t="str">
            <v>74484</v>
          </cell>
          <cell r="H2325">
            <v>429.31</v>
          </cell>
        </row>
        <row r="2326">
          <cell r="C2326" t="str">
            <v>74483</v>
          </cell>
          <cell r="H2326">
            <v>1580.17</v>
          </cell>
        </row>
        <row r="2327">
          <cell r="C2327" t="str">
            <v>74134</v>
          </cell>
          <cell r="H2327">
            <v>450.86</v>
          </cell>
        </row>
        <row r="2328">
          <cell r="C2328" t="str">
            <v>74004</v>
          </cell>
          <cell r="H2328">
            <v>416.38</v>
          </cell>
        </row>
        <row r="2329">
          <cell r="C2329" t="str">
            <v>74003</v>
          </cell>
          <cell r="H2329">
            <v>1519.83</v>
          </cell>
        </row>
        <row r="2330">
          <cell r="C2330" t="str">
            <v>74001</v>
          </cell>
          <cell r="H2330">
            <v>6650</v>
          </cell>
        </row>
        <row r="2331">
          <cell r="C2331" t="str">
            <v>71041</v>
          </cell>
          <cell r="H2331">
            <v>718.97</v>
          </cell>
        </row>
        <row r="2332">
          <cell r="C2332" t="str">
            <v>71040</v>
          </cell>
          <cell r="H2332">
            <v>554.30999999999995</v>
          </cell>
        </row>
        <row r="2333">
          <cell r="C2333" t="str">
            <v>71039</v>
          </cell>
          <cell r="H2333">
            <v>703.45</v>
          </cell>
        </row>
        <row r="2334">
          <cell r="C2334" t="str">
            <v>71038</v>
          </cell>
          <cell r="H2334">
            <v>596.54999999999995</v>
          </cell>
        </row>
        <row r="2335">
          <cell r="C2335" t="str">
            <v>71037</v>
          </cell>
          <cell r="H2335">
            <v>607.76</v>
          </cell>
        </row>
        <row r="2336">
          <cell r="C2336" t="str">
            <v>71036</v>
          </cell>
          <cell r="H2336">
            <v>589.66</v>
          </cell>
        </row>
        <row r="2337">
          <cell r="C2337" t="str">
            <v>71035</v>
          </cell>
          <cell r="H2337">
            <v>678.45</v>
          </cell>
        </row>
        <row r="2338">
          <cell r="C2338" t="str">
            <v>71034</v>
          </cell>
          <cell r="H2338">
            <v>1191.3800000000001</v>
          </cell>
        </row>
        <row r="2339">
          <cell r="C2339" t="str">
            <v>71033</v>
          </cell>
          <cell r="H2339">
            <v>1325.86</v>
          </cell>
        </row>
        <row r="2340">
          <cell r="C2340" t="str">
            <v>71032</v>
          </cell>
          <cell r="H2340">
            <v>659.48</v>
          </cell>
        </row>
        <row r="2341">
          <cell r="C2341" t="str">
            <v>71031</v>
          </cell>
          <cell r="H2341">
            <v>703.45</v>
          </cell>
        </row>
        <row r="2342">
          <cell r="C2342" t="str">
            <v>71030</v>
          </cell>
          <cell r="H2342">
            <v>918.97</v>
          </cell>
        </row>
        <row r="2343">
          <cell r="C2343" t="str">
            <v>70993</v>
          </cell>
          <cell r="H2343">
            <v>1878.45</v>
          </cell>
        </row>
        <row r="2344">
          <cell r="C2344" t="str">
            <v>70983</v>
          </cell>
          <cell r="H2344">
            <v>2651.72</v>
          </cell>
        </row>
        <row r="2345">
          <cell r="C2345" t="str">
            <v>70973</v>
          </cell>
          <cell r="H2345">
            <v>2651.72</v>
          </cell>
        </row>
        <row r="2346">
          <cell r="C2346" t="str">
            <v>70963</v>
          </cell>
          <cell r="H2346">
            <v>2651.72</v>
          </cell>
        </row>
        <row r="2347">
          <cell r="C2347" t="str">
            <v>70944</v>
          </cell>
          <cell r="H2347">
            <v>948.28</v>
          </cell>
        </row>
        <row r="2348">
          <cell r="C2348" t="str">
            <v>70933</v>
          </cell>
          <cell r="H2348">
            <v>1878.45</v>
          </cell>
        </row>
        <row r="2349">
          <cell r="C2349" t="str">
            <v>70923</v>
          </cell>
          <cell r="H2349">
            <v>2651.72</v>
          </cell>
        </row>
        <row r="2350">
          <cell r="C2350" t="str">
            <v>70913</v>
          </cell>
          <cell r="H2350">
            <v>2651.72</v>
          </cell>
        </row>
        <row r="2351">
          <cell r="C2351" t="str">
            <v>70803</v>
          </cell>
          <cell r="H2351">
            <v>1513.79</v>
          </cell>
        </row>
        <row r="2352">
          <cell r="C2352" t="str">
            <v>70753</v>
          </cell>
          <cell r="H2352">
            <v>1878.45</v>
          </cell>
        </row>
        <row r="2353">
          <cell r="C2353" t="str">
            <v>70734</v>
          </cell>
          <cell r="H2353">
            <v>799.14</v>
          </cell>
        </row>
        <row r="2354">
          <cell r="C2354" t="str">
            <v>70693</v>
          </cell>
          <cell r="H2354">
            <v>2651.72</v>
          </cell>
        </row>
        <row r="2355">
          <cell r="C2355" t="str">
            <v>70683</v>
          </cell>
          <cell r="H2355">
            <v>1513.79</v>
          </cell>
        </row>
        <row r="2356">
          <cell r="C2356" t="str">
            <v>70673</v>
          </cell>
          <cell r="H2356">
            <v>2651.72</v>
          </cell>
        </row>
        <row r="2357">
          <cell r="C2357" t="str">
            <v>70653</v>
          </cell>
          <cell r="H2357">
            <v>2651.72</v>
          </cell>
        </row>
        <row r="2358">
          <cell r="C2358" t="str">
            <v>70643</v>
          </cell>
          <cell r="H2358">
            <v>2505.17</v>
          </cell>
        </row>
        <row r="2359">
          <cell r="C2359" t="str">
            <v>70634</v>
          </cell>
          <cell r="H2359">
            <v>858.62</v>
          </cell>
        </row>
        <row r="2360">
          <cell r="C2360" t="str">
            <v>70534</v>
          </cell>
          <cell r="H2360">
            <v>1793.1</v>
          </cell>
        </row>
        <row r="2361">
          <cell r="C2361" t="str">
            <v>70514</v>
          </cell>
          <cell r="H2361">
            <v>1132.76</v>
          </cell>
        </row>
        <row r="2362">
          <cell r="C2362" t="str">
            <v>70483</v>
          </cell>
          <cell r="H2362">
            <v>2651.72</v>
          </cell>
        </row>
        <row r="2363">
          <cell r="C2363" t="str">
            <v>70473</v>
          </cell>
          <cell r="H2363">
            <v>2651.72</v>
          </cell>
        </row>
        <row r="2364">
          <cell r="C2364" t="str">
            <v>70453</v>
          </cell>
          <cell r="H2364">
            <v>2651.72</v>
          </cell>
        </row>
        <row r="2365">
          <cell r="C2365" t="str">
            <v>70443</v>
          </cell>
          <cell r="H2365">
            <v>2651.72</v>
          </cell>
        </row>
        <row r="2366">
          <cell r="C2366" t="str">
            <v>70433</v>
          </cell>
          <cell r="H2366">
            <v>2651.72</v>
          </cell>
        </row>
        <row r="2367">
          <cell r="C2367" t="str">
            <v>70353</v>
          </cell>
          <cell r="H2367">
            <v>2419.83</v>
          </cell>
        </row>
        <row r="2368">
          <cell r="C2368" t="str">
            <v>70204</v>
          </cell>
          <cell r="H2368">
            <v>1037.93</v>
          </cell>
        </row>
        <row r="2369">
          <cell r="C2369" t="str">
            <v>70193</v>
          </cell>
          <cell r="H2369">
            <v>2651.72</v>
          </cell>
        </row>
        <row r="2370">
          <cell r="C2370" t="str">
            <v>70183</v>
          </cell>
          <cell r="H2370">
            <v>1878.45</v>
          </cell>
        </row>
        <row r="2371">
          <cell r="C2371" t="str">
            <v>70133</v>
          </cell>
          <cell r="H2371">
            <v>1878.45</v>
          </cell>
        </row>
        <row r="2372">
          <cell r="C2372" t="str">
            <v>70024</v>
          </cell>
          <cell r="H2372">
            <v>879.31</v>
          </cell>
        </row>
        <row r="2373">
          <cell r="C2373" t="str">
            <v>70014</v>
          </cell>
          <cell r="H2373">
            <v>858.62</v>
          </cell>
        </row>
        <row r="2374">
          <cell r="C2374" t="str">
            <v>70003</v>
          </cell>
          <cell r="H2374">
            <v>1878.45</v>
          </cell>
        </row>
        <row r="2375">
          <cell r="C2375" t="str">
            <v>69994</v>
          </cell>
          <cell r="H2375">
            <v>454.31</v>
          </cell>
        </row>
        <row r="2376">
          <cell r="C2376" t="str">
            <v>69993</v>
          </cell>
          <cell r="H2376">
            <v>1600</v>
          </cell>
        </row>
        <row r="2377">
          <cell r="C2377" t="str">
            <v>69754</v>
          </cell>
          <cell r="H2377">
            <v>407.76</v>
          </cell>
        </row>
        <row r="2378">
          <cell r="C2378" t="str">
            <v>69753</v>
          </cell>
          <cell r="H2378">
            <v>1567.24</v>
          </cell>
        </row>
        <row r="2379">
          <cell r="C2379" t="str">
            <v>69684</v>
          </cell>
          <cell r="H2379">
            <v>332.76</v>
          </cell>
        </row>
        <row r="2380">
          <cell r="C2380" t="str">
            <v>69674</v>
          </cell>
          <cell r="H2380">
            <v>353.45</v>
          </cell>
        </row>
        <row r="2381">
          <cell r="C2381" t="str">
            <v>69673</v>
          </cell>
          <cell r="H2381">
            <v>1349.14</v>
          </cell>
        </row>
        <row r="2382">
          <cell r="C2382" t="str">
            <v>69654</v>
          </cell>
          <cell r="H2382">
            <v>394.83</v>
          </cell>
        </row>
        <row r="2383">
          <cell r="C2383" t="str">
            <v>69653</v>
          </cell>
          <cell r="H2383">
            <v>1512.07</v>
          </cell>
        </row>
        <row r="2384">
          <cell r="C2384" t="str">
            <v>69614</v>
          </cell>
          <cell r="H2384">
            <v>1337.07</v>
          </cell>
        </row>
        <row r="2385">
          <cell r="C2385" t="str">
            <v>69613</v>
          </cell>
          <cell r="H2385">
            <v>3308.62</v>
          </cell>
        </row>
        <row r="2386">
          <cell r="C2386" t="str">
            <v>69564</v>
          </cell>
          <cell r="H2386">
            <v>535.34</v>
          </cell>
        </row>
        <row r="2387">
          <cell r="C2387" t="str">
            <v>69464</v>
          </cell>
          <cell r="H2387">
            <v>443.97</v>
          </cell>
        </row>
        <row r="2388">
          <cell r="C2388" t="str">
            <v>69463</v>
          </cell>
          <cell r="H2388">
            <v>1707.76</v>
          </cell>
        </row>
        <row r="2389">
          <cell r="C2389" t="str">
            <v>69454</v>
          </cell>
          <cell r="H2389">
            <v>601.72</v>
          </cell>
        </row>
        <row r="2390">
          <cell r="C2390" t="str">
            <v>69453</v>
          </cell>
          <cell r="H2390">
            <v>1967.24</v>
          </cell>
        </row>
        <row r="2391">
          <cell r="C2391" t="str">
            <v>69354</v>
          </cell>
          <cell r="H2391">
            <v>706.03</v>
          </cell>
        </row>
        <row r="2392">
          <cell r="C2392" t="str">
            <v>69353</v>
          </cell>
          <cell r="H2392">
            <v>2756.03</v>
          </cell>
        </row>
        <row r="2393">
          <cell r="C2393" t="str">
            <v>69264</v>
          </cell>
          <cell r="H2393">
            <v>361.21</v>
          </cell>
        </row>
        <row r="2394">
          <cell r="C2394" t="str">
            <v>69173</v>
          </cell>
          <cell r="H2394">
            <v>2126.7199999999998</v>
          </cell>
        </row>
        <row r="2395">
          <cell r="C2395" t="str">
            <v>69164</v>
          </cell>
          <cell r="H2395">
            <v>575.86</v>
          </cell>
        </row>
        <row r="2396">
          <cell r="C2396" t="str">
            <v>69154</v>
          </cell>
          <cell r="H2396">
            <v>537.07000000000005</v>
          </cell>
        </row>
        <row r="2397">
          <cell r="C2397" t="str">
            <v>69153</v>
          </cell>
          <cell r="H2397">
            <v>2087.0700000000002</v>
          </cell>
        </row>
        <row r="2398">
          <cell r="C2398" t="str">
            <v>69134</v>
          </cell>
          <cell r="H2398">
            <v>418.1</v>
          </cell>
        </row>
        <row r="2399">
          <cell r="C2399" t="str">
            <v>69004</v>
          </cell>
          <cell r="H2399">
            <v>350</v>
          </cell>
        </row>
        <row r="2400">
          <cell r="C2400" t="str">
            <v>69003</v>
          </cell>
          <cell r="H2400">
            <v>1331.9</v>
          </cell>
        </row>
        <row r="2401">
          <cell r="C2401" t="str">
            <v>68999</v>
          </cell>
          <cell r="H2401">
            <v>0.01</v>
          </cell>
        </row>
        <row r="2402">
          <cell r="C2402" t="str">
            <v>68994</v>
          </cell>
          <cell r="H2402">
            <v>529.30999999999995</v>
          </cell>
        </row>
        <row r="2403">
          <cell r="C2403" t="str">
            <v>68759</v>
          </cell>
          <cell r="H2403">
            <v>0.01</v>
          </cell>
        </row>
        <row r="2404">
          <cell r="C2404" t="str">
            <v>68754</v>
          </cell>
          <cell r="H2404">
            <v>529.30999999999995</v>
          </cell>
        </row>
        <row r="2405">
          <cell r="C2405" t="str">
            <v>68659</v>
          </cell>
          <cell r="H2405">
            <v>0.01</v>
          </cell>
        </row>
        <row r="2406">
          <cell r="C2406" t="str">
            <v>68654</v>
          </cell>
          <cell r="H2406">
            <v>529.30999999999995</v>
          </cell>
        </row>
        <row r="2407">
          <cell r="C2407" t="str">
            <v>68599</v>
          </cell>
          <cell r="H2407">
            <v>0.01</v>
          </cell>
        </row>
        <row r="2408">
          <cell r="C2408" t="str">
            <v>68594</v>
          </cell>
          <cell r="H2408">
            <v>529.30999999999995</v>
          </cell>
        </row>
        <row r="2409">
          <cell r="C2409" t="str">
            <v>68589</v>
          </cell>
          <cell r="H2409">
            <v>0.01</v>
          </cell>
        </row>
        <row r="2410">
          <cell r="C2410" t="str">
            <v>68584</v>
          </cell>
          <cell r="H2410">
            <v>529.30999999999995</v>
          </cell>
        </row>
        <row r="2411">
          <cell r="C2411" t="str">
            <v>68569</v>
          </cell>
          <cell r="H2411">
            <v>0.01</v>
          </cell>
        </row>
        <row r="2412">
          <cell r="C2412" t="str">
            <v>68479</v>
          </cell>
          <cell r="H2412">
            <v>0.01</v>
          </cell>
        </row>
        <row r="2413">
          <cell r="C2413" t="str">
            <v>68474</v>
          </cell>
          <cell r="H2413">
            <v>529.30999999999995</v>
          </cell>
        </row>
        <row r="2414">
          <cell r="C2414" t="str">
            <v>68459</v>
          </cell>
          <cell r="H2414">
            <v>0.01</v>
          </cell>
        </row>
        <row r="2415">
          <cell r="C2415" t="str">
            <v>68454</v>
          </cell>
          <cell r="H2415">
            <v>529.30999999999995</v>
          </cell>
        </row>
        <row r="2416">
          <cell r="C2416" t="str">
            <v>68269</v>
          </cell>
          <cell r="H2416">
            <v>0.01</v>
          </cell>
        </row>
        <row r="2417">
          <cell r="C2417" t="str">
            <v>68264</v>
          </cell>
          <cell r="H2417">
            <v>529.30999999999995</v>
          </cell>
        </row>
        <row r="2418">
          <cell r="C2418" t="str">
            <v>68169</v>
          </cell>
          <cell r="H2418">
            <v>0.01</v>
          </cell>
        </row>
        <row r="2419">
          <cell r="C2419" t="str">
            <v>68164</v>
          </cell>
          <cell r="H2419">
            <v>529.30999999999995</v>
          </cell>
        </row>
        <row r="2420">
          <cell r="C2420" t="str">
            <v>68159</v>
          </cell>
          <cell r="H2420">
            <v>0.01</v>
          </cell>
        </row>
        <row r="2421">
          <cell r="C2421" t="str">
            <v>68154</v>
          </cell>
          <cell r="H2421">
            <v>529.30999999999995</v>
          </cell>
        </row>
        <row r="2422">
          <cell r="C2422" t="str">
            <v>68009</v>
          </cell>
          <cell r="H2422">
            <v>0.01</v>
          </cell>
        </row>
        <row r="2423">
          <cell r="C2423" t="str">
            <v>68004</v>
          </cell>
          <cell r="H2423">
            <v>529.30999999999995</v>
          </cell>
        </row>
        <row r="2424">
          <cell r="C2424" t="str">
            <v>62585</v>
          </cell>
          <cell r="H2424">
            <v>87.07</v>
          </cell>
        </row>
        <row r="2425">
          <cell r="C2425" t="str">
            <v>62155</v>
          </cell>
          <cell r="H2425">
            <v>187.93</v>
          </cell>
        </row>
        <row r="2426">
          <cell r="C2426" t="str">
            <v>61753</v>
          </cell>
          <cell r="H2426">
            <v>272.41000000000003</v>
          </cell>
        </row>
        <row r="2427">
          <cell r="C2427" t="str">
            <v>61751</v>
          </cell>
          <cell r="H2427">
            <v>1224.1400000000001</v>
          </cell>
        </row>
        <row r="2428">
          <cell r="C2428" t="str">
            <v>61404</v>
          </cell>
          <cell r="H2428">
            <v>60.34</v>
          </cell>
        </row>
        <row r="2429">
          <cell r="C2429" t="str">
            <v>61403</v>
          </cell>
          <cell r="H2429">
            <v>151.72</v>
          </cell>
        </row>
        <row r="2430">
          <cell r="C2430" t="str">
            <v>61401</v>
          </cell>
          <cell r="H2430">
            <v>540.52</v>
          </cell>
        </row>
        <row r="2431">
          <cell r="C2431" t="str">
            <v>61391</v>
          </cell>
          <cell r="H2431">
            <v>547.41</v>
          </cell>
        </row>
        <row r="2432">
          <cell r="C2432" t="str">
            <v>61202</v>
          </cell>
          <cell r="H2432">
            <v>1443.97</v>
          </cell>
        </row>
        <row r="2433">
          <cell r="C2433" t="str">
            <v>61200</v>
          </cell>
          <cell r="H2433">
            <v>452.59</v>
          </cell>
        </row>
        <row r="2434">
          <cell r="C2434" t="str">
            <v>60613</v>
          </cell>
          <cell r="H2434">
            <v>744.83</v>
          </cell>
        </row>
        <row r="2435">
          <cell r="C2435" t="str">
            <v>60603</v>
          </cell>
          <cell r="H2435">
            <v>521.54999999999995</v>
          </cell>
        </row>
        <row r="2436">
          <cell r="C2436" t="str">
            <v>60601</v>
          </cell>
          <cell r="H2436">
            <v>2131.0300000000002</v>
          </cell>
        </row>
        <row r="2437">
          <cell r="C2437" t="str">
            <v>60600</v>
          </cell>
          <cell r="H2437">
            <v>20351.72</v>
          </cell>
        </row>
        <row r="2438">
          <cell r="C2438" t="str">
            <v>60454</v>
          </cell>
          <cell r="H2438">
            <v>151.72</v>
          </cell>
        </row>
        <row r="2439">
          <cell r="C2439" t="str">
            <v>60423</v>
          </cell>
          <cell r="H2439">
            <v>274.14</v>
          </cell>
        </row>
        <row r="2440">
          <cell r="C2440" t="str">
            <v>60421</v>
          </cell>
          <cell r="H2440">
            <v>839.66</v>
          </cell>
        </row>
        <row r="2441">
          <cell r="C2441" t="str">
            <v>60420</v>
          </cell>
          <cell r="H2441">
            <v>10424.14</v>
          </cell>
        </row>
        <row r="2442">
          <cell r="C2442" t="str">
            <v>60401</v>
          </cell>
          <cell r="H2442">
            <v>1666.38</v>
          </cell>
        </row>
        <row r="2443">
          <cell r="C2443" t="str">
            <v>60400</v>
          </cell>
          <cell r="H2443">
            <v>16119.83</v>
          </cell>
        </row>
        <row r="2444">
          <cell r="C2444" t="str">
            <v>60381</v>
          </cell>
          <cell r="H2444">
            <v>1368.1</v>
          </cell>
        </row>
        <row r="2445">
          <cell r="C2445" t="str">
            <v>60380</v>
          </cell>
          <cell r="H2445">
            <v>13200</v>
          </cell>
        </row>
        <row r="2446">
          <cell r="C2446" t="str">
            <v>60373</v>
          </cell>
          <cell r="H2446">
            <v>401.72</v>
          </cell>
        </row>
        <row r="2447">
          <cell r="C2447" t="str">
            <v>60371</v>
          </cell>
          <cell r="H2447">
            <v>1665.52</v>
          </cell>
        </row>
        <row r="2448">
          <cell r="C2448" t="str">
            <v>60370</v>
          </cell>
          <cell r="H2448">
            <v>16054.31</v>
          </cell>
        </row>
        <row r="2449">
          <cell r="C2449" t="str">
            <v>60363</v>
          </cell>
          <cell r="H2449">
            <v>318.97000000000003</v>
          </cell>
        </row>
        <row r="2450">
          <cell r="C2450" t="str">
            <v>60361</v>
          </cell>
          <cell r="H2450">
            <v>1118.97</v>
          </cell>
        </row>
        <row r="2451">
          <cell r="C2451" t="str">
            <v>60360</v>
          </cell>
          <cell r="H2451">
            <v>12211.21</v>
          </cell>
        </row>
        <row r="2452">
          <cell r="C2452" t="str">
            <v>60353</v>
          </cell>
          <cell r="H2452">
            <v>437.07</v>
          </cell>
        </row>
        <row r="2453">
          <cell r="C2453" t="str">
            <v>60351</v>
          </cell>
          <cell r="H2453">
            <v>1690.52</v>
          </cell>
        </row>
        <row r="2454">
          <cell r="C2454" t="str">
            <v>60350</v>
          </cell>
          <cell r="H2454">
            <v>17146.55</v>
          </cell>
        </row>
        <row r="2455">
          <cell r="C2455" t="str">
            <v>60321</v>
          </cell>
          <cell r="H2455">
            <v>1378.45</v>
          </cell>
        </row>
        <row r="2456">
          <cell r="C2456" t="str">
            <v>60320</v>
          </cell>
          <cell r="H2456">
            <v>13356.03</v>
          </cell>
        </row>
        <row r="2457">
          <cell r="C2457" t="str">
            <v>60301</v>
          </cell>
          <cell r="H2457">
            <v>1736.21</v>
          </cell>
        </row>
        <row r="2458">
          <cell r="C2458" t="str">
            <v>60213</v>
          </cell>
          <cell r="H2458">
            <v>510.34</v>
          </cell>
        </row>
        <row r="2459">
          <cell r="C2459" t="str">
            <v>60211</v>
          </cell>
          <cell r="H2459">
            <v>2220.69</v>
          </cell>
        </row>
        <row r="2460">
          <cell r="C2460" t="str">
            <v>60203</v>
          </cell>
          <cell r="H2460">
            <v>534.48</v>
          </cell>
        </row>
        <row r="2461">
          <cell r="C2461" t="str">
            <v>60201</v>
          </cell>
          <cell r="H2461">
            <v>2206.9</v>
          </cell>
        </row>
        <row r="2462">
          <cell r="C2462" t="str">
            <v>60200</v>
          </cell>
          <cell r="H2462">
            <v>21292.240000000002</v>
          </cell>
        </row>
        <row r="2463">
          <cell r="C2463" t="str">
            <v>60193</v>
          </cell>
          <cell r="H2463">
            <v>412.93</v>
          </cell>
        </row>
        <row r="2464">
          <cell r="C2464" t="str">
            <v>60191</v>
          </cell>
          <cell r="H2464">
            <v>1794.83</v>
          </cell>
        </row>
        <row r="2465">
          <cell r="C2465" t="str">
            <v>60190</v>
          </cell>
          <cell r="H2465">
            <v>17273.28</v>
          </cell>
        </row>
        <row r="2466">
          <cell r="C2466" t="str">
            <v>60171</v>
          </cell>
          <cell r="H2466">
            <v>2010.34</v>
          </cell>
        </row>
        <row r="2467">
          <cell r="C2467" t="str">
            <v>60170</v>
          </cell>
          <cell r="H2467">
            <v>19639.66</v>
          </cell>
        </row>
        <row r="2468">
          <cell r="C2468" t="str">
            <v>60053</v>
          </cell>
          <cell r="H2468">
            <v>401.72</v>
          </cell>
        </row>
        <row r="2469">
          <cell r="C2469" t="str">
            <v>60051</v>
          </cell>
          <cell r="H2469">
            <v>1376.72</v>
          </cell>
        </row>
        <row r="2470">
          <cell r="C2470" t="str">
            <v>60050</v>
          </cell>
          <cell r="H2470">
            <v>16069.83</v>
          </cell>
        </row>
        <row r="2471">
          <cell r="C2471" t="str">
            <v>60041</v>
          </cell>
          <cell r="H2471">
            <v>1691.38</v>
          </cell>
        </row>
        <row r="2472">
          <cell r="C2472" t="str">
            <v>60040</v>
          </cell>
          <cell r="H2472">
            <v>16587.07</v>
          </cell>
        </row>
        <row r="2473">
          <cell r="C2473" t="str">
            <v>60011</v>
          </cell>
          <cell r="H2473">
            <v>1866.38</v>
          </cell>
        </row>
        <row r="2474">
          <cell r="C2474" t="str">
            <v>60010</v>
          </cell>
          <cell r="H2474">
            <v>18027.59</v>
          </cell>
        </row>
        <row r="2475">
          <cell r="C2475" t="str">
            <v>59993</v>
          </cell>
          <cell r="H2475">
            <v>2052.59</v>
          </cell>
        </row>
        <row r="2476">
          <cell r="C2476" t="str">
            <v>59991</v>
          </cell>
          <cell r="H2476">
            <v>7394.83</v>
          </cell>
        </row>
        <row r="2477">
          <cell r="C2477" t="str">
            <v>59933</v>
          </cell>
          <cell r="H2477">
            <v>2207.7600000000002</v>
          </cell>
        </row>
        <row r="2478">
          <cell r="C2478" t="str">
            <v>59931</v>
          </cell>
          <cell r="H2478">
            <v>7967.24</v>
          </cell>
        </row>
        <row r="2479">
          <cell r="C2479" t="str">
            <v>59791</v>
          </cell>
          <cell r="H2479">
            <v>10854.31</v>
          </cell>
        </row>
        <row r="2480">
          <cell r="C2480" t="str">
            <v>59751</v>
          </cell>
          <cell r="H2480">
            <v>8531.9</v>
          </cell>
        </row>
        <row r="2481">
          <cell r="C2481" t="str">
            <v>59683</v>
          </cell>
          <cell r="H2481">
            <v>2752.59</v>
          </cell>
        </row>
        <row r="2482">
          <cell r="C2482" t="str">
            <v>59681</v>
          </cell>
          <cell r="H2482">
            <v>9922.41</v>
          </cell>
        </row>
        <row r="2483">
          <cell r="C2483" t="str">
            <v>59653</v>
          </cell>
          <cell r="H2483">
            <v>2370.69</v>
          </cell>
        </row>
        <row r="2484">
          <cell r="C2484" t="str">
            <v>59651</v>
          </cell>
          <cell r="H2484">
            <v>8531.9</v>
          </cell>
        </row>
        <row r="2485">
          <cell r="C2485" t="str">
            <v>59563</v>
          </cell>
          <cell r="H2485">
            <v>2052.59</v>
          </cell>
        </row>
        <row r="2486">
          <cell r="C2486" t="str">
            <v>59561</v>
          </cell>
          <cell r="H2486">
            <v>7394.83</v>
          </cell>
        </row>
        <row r="2487">
          <cell r="C2487" t="str">
            <v>59331</v>
          </cell>
          <cell r="H2487">
            <v>10103.450000000001</v>
          </cell>
        </row>
        <row r="2488">
          <cell r="C2488" t="str">
            <v>59153</v>
          </cell>
          <cell r="H2488">
            <v>2457.7600000000002</v>
          </cell>
        </row>
        <row r="2489">
          <cell r="C2489" t="str">
            <v>59151</v>
          </cell>
          <cell r="H2489">
            <v>8824.14</v>
          </cell>
        </row>
        <row r="2490">
          <cell r="C2490" t="str">
            <v>59143</v>
          </cell>
          <cell r="H2490">
            <v>3450.86</v>
          </cell>
        </row>
        <row r="2491">
          <cell r="C2491" t="str">
            <v>59141</v>
          </cell>
          <cell r="H2491">
            <v>12388.79</v>
          </cell>
        </row>
        <row r="2492">
          <cell r="C2492" t="str">
            <v>59031</v>
          </cell>
          <cell r="H2492">
            <v>8298.2800000000007</v>
          </cell>
        </row>
        <row r="2493">
          <cell r="C2493" t="str">
            <v>59023</v>
          </cell>
          <cell r="H2493">
            <v>1683.62</v>
          </cell>
        </row>
        <row r="2494">
          <cell r="C2494" t="str">
            <v>59014</v>
          </cell>
          <cell r="H2494">
            <v>676.72</v>
          </cell>
        </row>
        <row r="2495">
          <cell r="C2495" t="str">
            <v>59013</v>
          </cell>
          <cell r="H2495">
            <v>2021.55</v>
          </cell>
        </row>
        <row r="2496">
          <cell r="C2496" t="str">
            <v>59011</v>
          </cell>
          <cell r="H2496">
            <v>8605.17</v>
          </cell>
        </row>
        <row r="2497">
          <cell r="C2497" t="str">
            <v>59003</v>
          </cell>
          <cell r="H2497">
            <v>2309.48</v>
          </cell>
        </row>
        <row r="2498">
          <cell r="C2498" t="str">
            <v>59001</v>
          </cell>
          <cell r="H2498">
            <v>8298.2800000000007</v>
          </cell>
        </row>
        <row r="2499">
          <cell r="C2499" t="str">
            <v>59000</v>
          </cell>
          <cell r="H2499">
            <v>98538.79</v>
          </cell>
        </row>
        <row r="2500">
          <cell r="C2500" t="str">
            <v>58833</v>
          </cell>
          <cell r="H2500">
            <v>1799.14</v>
          </cell>
        </row>
        <row r="2501">
          <cell r="C2501" t="str">
            <v>58231</v>
          </cell>
          <cell r="H2501">
            <v>10594.83</v>
          </cell>
        </row>
        <row r="2502">
          <cell r="C2502" t="str">
            <v>58221</v>
          </cell>
          <cell r="H2502">
            <v>15219.83</v>
          </cell>
        </row>
        <row r="2503">
          <cell r="C2503" t="str">
            <v>57923</v>
          </cell>
          <cell r="H2503">
            <v>1603.45</v>
          </cell>
        </row>
        <row r="2504">
          <cell r="C2504" t="str">
            <v>57052</v>
          </cell>
          <cell r="H2504">
            <v>158.62</v>
          </cell>
        </row>
        <row r="2505">
          <cell r="C2505" t="str">
            <v>57014</v>
          </cell>
          <cell r="H2505">
            <v>757.76</v>
          </cell>
        </row>
        <row r="2506">
          <cell r="C2506" t="str">
            <v>57013</v>
          </cell>
          <cell r="H2506">
            <v>2563.79</v>
          </cell>
        </row>
        <row r="2507">
          <cell r="C2507" t="str">
            <v>57003</v>
          </cell>
          <cell r="H2507">
            <v>1603.45</v>
          </cell>
        </row>
        <row r="2508">
          <cell r="C2508" t="str">
            <v>56931</v>
          </cell>
          <cell r="H2508">
            <v>7131.9</v>
          </cell>
        </row>
        <row r="2509">
          <cell r="C2509" t="str">
            <v>56923</v>
          </cell>
          <cell r="H2509">
            <v>3398.28</v>
          </cell>
        </row>
        <row r="2510">
          <cell r="C2510" t="str">
            <v>56921</v>
          </cell>
          <cell r="H2510">
            <v>14506.9</v>
          </cell>
        </row>
        <row r="2511">
          <cell r="C2511" t="str">
            <v>56913</v>
          </cell>
          <cell r="H2511">
            <v>1790.52</v>
          </cell>
        </row>
        <row r="2512">
          <cell r="C2512" t="str">
            <v>56911</v>
          </cell>
          <cell r="H2512">
            <v>7646.55</v>
          </cell>
        </row>
        <row r="2513">
          <cell r="C2513" t="str">
            <v>56903</v>
          </cell>
          <cell r="H2513">
            <v>1190.52</v>
          </cell>
        </row>
        <row r="2514">
          <cell r="C2514" t="str">
            <v>56901</v>
          </cell>
          <cell r="H2514">
            <v>5068.97</v>
          </cell>
        </row>
        <row r="2515">
          <cell r="C2515" t="str">
            <v>56841</v>
          </cell>
          <cell r="H2515">
            <v>8126.72</v>
          </cell>
        </row>
        <row r="2516">
          <cell r="C2516" t="str">
            <v>56831</v>
          </cell>
          <cell r="H2516">
            <v>11812.93</v>
          </cell>
        </row>
        <row r="2517">
          <cell r="C2517" t="str">
            <v>56823</v>
          </cell>
          <cell r="H2517">
            <v>2125.86</v>
          </cell>
        </row>
        <row r="2518">
          <cell r="C2518" t="str">
            <v>56821</v>
          </cell>
          <cell r="H2518">
            <v>8126.72</v>
          </cell>
        </row>
        <row r="2519">
          <cell r="C2519" t="str">
            <v>56811</v>
          </cell>
          <cell r="H2519">
            <v>6159.48</v>
          </cell>
        </row>
        <row r="2520">
          <cell r="C2520" t="str">
            <v>56803</v>
          </cell>
          <cell r="H2520">
            <v>2125.86</v>
          </cell>
        </row>
        <row r="2521">
          <cell r="C2521" t="str">
            <v>56801</v>
          </cell>
          <cell r="H2521">
            <v>8126.72</v>
          </cell>
        </row>
        <row r="2522">
          <cell r="C2522" t="str">
            <v>56561</v>
          </cell>
          <cell r="H2522">
            <v>5816.38</v>
          </cell>
        </row>
        <row r="2523">
          <cell r="C2523" t="str">
            <v>56261</v>
          </cell>
          <cell r="H2523">
            <v>6216.38</v>
          </cell>
        </row>
        <row r="2524">
          <cell r="C2524" t="str">
            <v>56014</v>
          </cell>
          <cell r="H2524">
            <v>670.69</v>
          </cell>
        </row>
        <row r="2525">
          <cell r="C2525" t="str">
            <v>56013</v>
          </cell>
          <cell r="H2525">
            <v>2550.86</v>
          </cell>
        </row>
        <row r="2526">
          <cell r="C2526" t="str">
            <v>56003</v>
          </cell>
          <cell r="H2526">
            <v>2125.86</v>
          </cell>
        </row>
        <row r="2527">
          <cell r="C2527" t="str">
            <v>56001</v>
          </cell>
          <cell r="H2527">
            <v>8126.72</v>
          </cell>
        </row>
        <row r="2528">
          <cell r="C2528" t="str">
            <v>55993</v>
          </cell>
          <cell r="H2528">
            <v>1909.48</v>
          </cell>
        </row>
        <row r="2529">
          <cell r="C2529" t="str">
            <v>55991</v>
          </cell>
          <cell r="H2529">
            <v>6980.17</v>
          </cell>
        </row>
        <row r="2530">
          <cell r="C2530" t="str">
            <v>55933</v>
          </cell>
          <cell r="H2530">
            <v>2316.38</v>
          </cell>
        </row>
        <row r="2531">
          <cell r="C2531" t="str">
            <v>55931</v>
          </cell>
          <cell r="H2531">
            <v>8357.76</v>
          </cell>
        </row>
        <row r="2532">
          <cell r="C2532" t="str">
            <v>55844</v>
          </cell>
          <cell r="H2532">
            <v>1306.9000000000001</v>
          </cell>
        </row>
        <row r="2533">
          <cell r="C2533" t="str">
            <v>55843</v>
          </cell>
          <cell r="H2533">
            <v>3846.55</v>
          </cell>
        </row>
        <row r="2534">
          <cell r="C2534" t="str">
            <v>55803</v>
          </cell>
          <cell r="H2534">
            <v>2017.24</v>
          </cell>
        </row>
        <row r="2535">
          <cell r="C2535" t="str">
            <v>55801</v>
          </cell>
          <cell r="H2535">
            <v>7473.28</v>
          </cell>
        </row>
        <row r="2536">
          <cell r="C2536" t="str">
            <v>55800</v>
          </cell>
          <cell r="H2536">
            <v>88232.76</v>
          </cell>
        </row>
        <row r="2537">
          <cell r="C2537" t="str">
            <v>55783</v>
          </cell>
          <cell r="H2537">
            <v>2518.1</v>
          </cell>
        </row>
        <row r="2538">
          <cell r="C2538" t="str">
            <v>55781</v>
          </cell>
          <cell r="H2538">
            <v>9010.34</v>
          </cell>
        </row>
        <row r="2539">
          <cell r="C2539" t="str">
            <v>55683</v>
          </cell>
          <cell r="H2539">
            <v>2737.93</v>
          </cell>
        </row>
        <row r="2540">
          <cell r="C2540" t="str">
            <v>55681</v>
          </cell>
          <cell r="H2540">
            <v>9808.6200000000008</v>
          </cell>
        </row>
        <row r="2541">
          <cell r="C2541" t="str">
            <v>55653</v>
          </cell>
          <cell r="H2541">
            <v>2518.1</v>
          </cell>
        </row>
        <row r="2542">
          <cell r="C2542" t="str">
            <v>55651</v>
          </cell>
          <cell r="H2542">
            <v>9010.34</v>
          </cell>
        </row>
        <row r="2543">
          <cell r="C2543" t="str">
            <v>55561</v>
          </cell>
          <cell r="H2543">
            <v>7341.38</v>
          </cell>
        </row>
        <row r="2544">
          <cell r="C2544" t="str">
            <v>55483</v>
          </cell>
          <cell r="H2544">
            <v>3068.97</v>
          </cell>
        </row>
        <row r="2545">
          <cell r="C2545" t="str">
            <v>55481</v>
          </cell>
          <cell r="H2545">
            <v>10968.97</v>
          </cell>
        </row>
        <row r="2546">
          <cell r="C2546" t="str">
            <v>55361</v>
          </cell>
          <cell r="H2546">
            <v>10968.97</v>
          </cell>
        </row>
        <row r="2547">
          <cell r="C2547" t="str">
            <v>55153</v>
          </cell>
          <cell r="H2547">
            <v>2737.93</v>
          </cell>
        </row>
        <row r="2548">
          <cell r="C2548" t="str">
            <v>55151</v>
          </cell>
          <cell r="H2548">
            <v>9808.6200000000008</v>
          </cell>
        </row>
        <row r="2549">
          <cell r="C2549" t="str">
            <v>55143</v>
          </cell>
          <cell r="H2549">
            <v>2737.93</v>
          </cell>
        </row>
        <row r="2550">
          <cell r="C2550" t="str">
            <v>55141</v>
          </cell>
          <cell r="H2550">
            <v>9808.6200000000008</v>
          </cell>
        </row>
        <row r="2551">
          <cell r="C2551" t="str">
            <v>55014</v>
          </cell>
          <cell r="H2551">
            <v>1095.69</v>
          </cell>
        </row>
        <row r="2552">
          <cell r="C2552" t="str">
            <v>55013</v>
          </cell>
          <cell r="H2552">
            <v>3250</v>
          </cell>
        </row>
        <row r="2553">
          <cell r="C2553" t="str">
            <v>55004</v>
          </cell>
          <cell r="H2553">
            <v>575.86</v>
          </cell>
        </row>
        <row r="2554">
          <cell r="C2554" t="str">
            <v>55003</v>
          </cell>
          <cell r="H2554">
            <v>2316.38</v>
          </cell>
        </row>
        <row r="2555">
          <cell r="C2555" t="str">
            <v>55001</v>
          </cell>
          <cell r="H2555">
            <v>7400.86</v>
          </cell>
        </row>
        <row r="2556">
          <cell r="C2556" t="str">
            <v>53933</v>
          </cell>
          <cell r="H2556">
            <v>2913.79</v>
          </cell>
        </row>
        <row r="2557">
          <cell r="C2557" t="str">
            <v>53931</v>
          </cell>
          <cell r="H2557">
            <v>10620.69</v>
          </cell>
        </row>
        <row r="2558">
          <cell r="C2558" t="str">
            <v>53860</v>
          </cell>
          <cell r="H2558">
            <v>58584.480000000003</v>
          </cell>
        </row>
        <row r="2559">
          <cell r="C2559" t="str">
            <v>53593</v>
          </cell>
          <cell r="H2559">
            <v>4936.21</v>
          </cell>
        </row>
        <row r="2560">
          <cell r="C2560" t="str">
            <v>53532</v>
          </cell>
          <cell r="H2560">
            <v>508.62</v>
          </cell>
        </row>
        <row r="2561">
          <cell r="C2561" t="str">
            <v>53524</v>
          </cell>
          <cell r="H2561">
            <v>1965.52</v>
          </cell>
        </row>
        <row r="2562">
          <cell r="C2562" t="str">
            <v>53014</v>
          </cell>
          <cell r="H2562">
            <v>508.62</v>
          </cell>
        </row>
        <row r="2563">
          <cell r="C2563" t="str">
            <v>53013</v>
          </cell>
          <cell r="H2563">
            <v>1543.1</v>
          </cell>
        </row>
        <row r="2564">
          <cell r="C2564" t="str">
            <v>53011</v>
          </cell>
          <cell r="H2564">
            <v>6572.41</v>
          </cell>
        </row>
        <row r="2565">
          <cell r="C2565" t="str">
            <v>53003</v>
          </cell>
          <cell r="H2565">
            <v>2658.62</v>
          </cell>
        </row>
        <row r="2566">
          <cell r="C2566" t="str">
            <v>53001</v>
          </cell>
          <cell r="H2566">
            <v>9928.4500000000007</v>
          </cell>
        </row>
        <row r="2567">
          <cell r="C2567" t="str">
            <v>50943</v>
          </cell>
          <cell r="H2567">
            <v>1759.48</v>
          </cell>
        </row>
        <row r="2568">
          <cell r="C2568" t="str">
            <v>50941</v>
          </cell>
          <cell r="H2568">
            <v>6910.34</v>
          </cell>
        </row>
        <row r="2569">
          <cell r="C2569" t="str">
            <v>50923</v>
          </cell>
          <cell r="H2569">
            <v>1596.55</v>
          </cell>
        </row>
        <row r="2570">
          <cell r="C2570" t="str">
            <v>50921</v>
          </cell>
          <cell r="H2570">
            <v>6282.76</v>
          </cell>
        </row>
        <row r="2571">
          <cell r="C2571" t="str">
            <v>50903</v>
          </cell>
          <cell r="H2571">
            <v>1596.55</v>
          </cell>
        </row>
        <row r="2572">
          <cell r="C2572" t="str">
            <v>50901</v>
          </cell>
          <cell r="H2572">
            <v>6282.76</v>
          </cell>
        </row>
        <row r="2573">
          <cell r="C2573" t="str">
            <v>50753</v>
          </cell>
          <cell r="H2573">
            <v>1596.55</v>
          </cell>
        </row>
        <row r="2574">
          <cell r="C2574" t="str">
            <v>50751</v>
          </cell>
          <cell r="H2574">
            <v>6282.76</v>
          </cell>
        </row>
        <row r="2575">
          <cell r="C2575" t="str">
            <v>50653</v>
          </cell>
          <cell r="H2575">
            <v>1596.55</v>
          </cell>
        </row>
        <row r="2576">
          <cell r="C2576" t="str">
            <v>50651</v>
          </cell>
          <cell r="H2576">
            <v>6282.76</v>
          </cell>
        </row>
        <row r="2577">
          <cell r="C2577" t="str">
            <v>50483</v>
          </cell>
          <cell r="H2577">
            <v>1917.24</v>
          </cell>
        </row>
        <row r="2578">
          <cell r="C2578" t="str">
            <v>50481</v>
          </cell>
          <cell r="H2578">
            <v>7537.93</v>
          </cell>
        </row>
        <row r="2579">
          <cell r="C2579" t="str">
            <v>50143</v>
          </cell>
          <cell r="H2579">
            <v>1917.24</v>
          </cell>
        </row>
        <row r="2580">
          <cell r="C2580" t="str">
            <v>50141</v>
          </cell>
          <cell r="H2580">
            <v>7537.93</v>
          </cell>
        </row>
        <row r="2581">
          <cell r="C2581" t="str">
            <v>61101</v>
          </cell>
          <cell r="H2581">
            <v>1276.72</v>
          </cell>
        </row>
        <row r="2582">
          <cell r="C2582" t="str">
            <v>76000</v>
          </cell>
          <cell r="H2582">
            <v>39634.480000000003</v>
          </cell>
        </row>
        <row r="2583">
          <cell r="C2583" t="str">
            <v>61303</v>
          </cell>
          <cell r="H2583">
            <v>706.03</v>
          </cell>
        </row>
        <row r="2584">
          <cell r="C2584" t="str">
            <v>61301</v>
          </cell>
          <cell r="H2584">
            <v>2664.66</v>
          </cell>
        </row>
        <row r="2585">
          <cell r="C2585" t="str">
            <v>61104</v>
          </cell>
          <cell r="H2585">
            <v>85.34</v>
          </cell>
        </row>
        <row r="2586">
          <cell r="C2586" t="str">
            <v>61103</v>
          </cell>
          <cell r="H2586">
            <v>340.52</v>
          </cell>
        </row>
        <row r="2587">
          <cell r="C2587" t="str">
            <v>61100</v>
          </cell>
          <cell r="H2587">
            <v>12767.24</v>
          </cell>
        </row>
        <row r="2588">
          <cell r="C2588" t="str">
            <v>61050</v>
          </cell>
          <cell r="H2588">
            <v>7643.97</v>
          </cell>
        </row>
        <row r="2589">
          <cell r="C2589" t="str">
            <v>61003</v>
          </cell>
          <cell r="H2589">
            <v>255.17</v>
          </cell>
        </row>
        <row r="2590">
          <cell r="C2590" t="str">
            <v>61001</v>
          </cell>
          <cell r="H2590">
            <v>960.34</v>
          </cell>
        </row>
        <row r="2591">
          <cell r="C2591" t="str">
            <v>58981</v>
          </cell>
          <cell r="H2591">
            <v>6708.62</v>
          </cell>
        </row>
        <row r="2592">
          <cell r="C2592" t="str">
            <v>58971</v>
          </cell>
          <cell r="H2592">
            <v>4773.28</v>
          </cell>
        </row>
        <row r="2593">
          <cell r="C2593" t="str">
            <v>56843</v>
          </cell>
          <cell r="H2593">
            <v>1653.45</v>
          </cell>
        </row>
        <row r="2594">
          <cell r="C2594" t="str">
            <v>53151</v>
          </cell>
          <cell r="H2594">
            <v>10620.69</v>
          </cell>
        </row>
        <row r="2595">
          <cell r="C2595" t="str">
            <v>60450</v>
          </cell>
          <cell r="H2595">
            <v>27501.72</v>
          </cell>
        </row>
        <row r="2596">
          <cell r="C2596" t="str">
            <v>59990</v>
          </cell>
          <cell r="H2596">
            <v>87807.76</v>
          </cell>
        </row>
        <row r="2597">
          <cell r="C2597" t="str">
            <v>59010</v>
          </cell>
          <cell r="H2597">
            <v>81523.28</v>
          </cell>
        </row>
        <row r="2598">
          <cell r="C2598" t="str">
            <v>58853</v>
          </cell>
          <cell r="H2598">
            <v>2956.9</v>
          </cell>
        </row>
        <row r="2599">
          <cell r="C2599" t="str">
            <v>58003</v>
          </cell>
          <cell r="H2599">
            <v>4041.38</v>
          </cell>
        </row>
        <row r="2600">
          <cell r="C2600" t="str">
            <v>58001</v>
          </cell>
          <cell r="H2600">
            <v>14506.03</v>
          </cell>
        </row>
        <row r="2601">
          <cell r="C2601" t="str">
            <v>50073</v>
          </cell>
          <cell r="H2601">
            <v>1596.55</v>
          </cell>
        </row>
        <row r="2602">
          <cell r="C2602" t="str">
            <v>50071</v>
          </cell>
          <cell r="H2602">
            <v>6282.76</v>
          </cell>
        </row>
        <row r="2603">
          <cell r="C2603" t="str">
            <v>50063</v>
          </cell>
          <cell r="H2603">
            <v>1596.55</v>
          </cell>
        </row>
        <row r="2604">
          <cell r="C2604" t="str">
            <v>50061</v>
          </cell>
          <cell r="H2604">
            <v>6282.76</v>
          </cell>
        </row>
        <row r="2605">
          <cell r="C2605" t="str">
            <v>50014</v>
          </cell>
          <cell r="H2605">
            <v>962.07</v>
          </cell>
        </row>
        <row r="2606">
          <cell r="C2606" t="str">
            <v>50013</v>
          </cell>
          <cell r="H2606">
            <v>3730.17</v>
          </cell>
        </row>
        <row r="2607">
          <cell r="C2607" t="str">
            <v>50003</v>
          </cell>
          <cell r="H2607">
            <v>1596.55</v>
          </cell>
        </row>
        <row r="2608">
          <cell r="C2608" t="str">
            <v>50001</v>
          </cell>
          <cell r="H2608">
            <v>6282.76</v>
          </cell>
        </row>
        <row r="2609">
          <cell r="C2609" t="str">
            <v>49963</v>
          </cell>
          <cell r="H2609">
            <v>2901.72</v>
          </cell>
        </row>
        <row r="2610">
          <cell r="C2610" t="str">
            <v>49953</v>
          </cell>
          <cell r="H2610">
            <v>1023.28</v>
          </cell>
        </row>
        <row r="2611">
          <cell r="C2611" t="str">
            <v>49753</v>
          </cell>
          <cell r="H2611">
            <v>718.97</v>
          </cell>
        </row>
        <row r="2612">
          <cell r="C2612" t="str">
            <v>49751</v>
          </cell>
          <cell r="H2612">
            <v>2875.86</v>
          </cell>
        </row>
        <row r="2613">
          <cell r="C2613" t="str">
            <v>48843</v>
          </cell>
          <cell r="H2613">
            <v>650.86</v>
          </cell>
        </row>
        <row r="2614">
          <cell r="C2614" t="str">
            <v>48841</v>
          </cell>
          <cell r="H2614">
            <v>2669.83</v>
          </cell>
        </row>
        <row r="2615">
          <cell r="C2615" t="str">
            <v>48834</v>
          </cell>
          <cell r="H2615">
            <v>143.1</v>
          </cell>
        </row>
        <row r="2616">
          <cell r="C2616" t="str">
            <v>48833</v>
          </cell>
          <cell r="H2616">
            <v>530.16999999999996</v>
          </cell>
        </row>
        <row r="2617">
          <cell r="C2617" t="str">
            <v>48831</v>
          </cell>
          <cell r="H2617">
            <v>2157.7600000000002</v>
          </cell>
        </row>
        <row r="2618">
          <cell r="C2618" t="str">
            <v>43993</v>
          </cell>
          <cell r="H2618">
            <v>1235.3399999999999</v>
          </cell>
        </row>
        <row r="2619">
          <cell r="C2619" t="str">
            <v>43991</v>
          </cell>
          <cell r="H2619">
            <v>9393.9699999999993</v>
          </cell>
        </row>
        <row r="2620">
          <cell r="C2620" t="str">
            <v>43981</v>
          </cell>
          <cell r="H2620">
            <v>6638.79</v>
          </cell>
        </row>
        <row r="2621">
          <cell r="C2621" t="str">
            <v>43974</v>
          </cell>
          <cell r="H2621">
            <v>1147.4100000000001</v>
          </cell>
        </row>
        <row r="2622">
          <cell r="C2622" t="str">
            <v>43973</v>
          </cell>
          <cell r="H2622">
            <v>3380.17</v>
          </cell>
        </row>
        <row r="2623">
          <cell r="C2623" t="str">
            <v>43963</v>
          </cell>
          <cell r="H2623">
            <v>1279.31</v>
          </cell>
        </row>
        <row r="2624">
          <cell r="C2624" t="str">
            <v>43961</v>
          </cell>
          <cell r="H2624">
            <v>4605.17</v>
          </cell>
        </row>
        <row r="2625">
          <cell r="C2625" t="str">
            <v>43933</v>
          </cell>
          <cell r="H2625">
            <v>3398.28</v>
          </cell>
        </row>
        <row r="2626">
          <cell r="C2626" t="str">
            <v>43914</v>
          </cell>
          <cell r="H2626">
            <v>250</v>
          </cell>
        </row>
        <row r="2627">
          <cell r="C2627" t="str">
            <v>43903</v>
          </cell>
          <cell r="H2627">
            <v>813.79</v>
          </cell>
        </row>
        <row r="2628">
          <cell r="C2628" t="str">
            <v>43593</v>
          </cell>
          <cell r="H2628">
            <v>1985.34</v>
          </cell>
        </row>
        <row r="2629">
          <cell r="C2629" t="str">
            <v>43581</v>
          </cell>
          <cell r="H2629">
            <v>8660.34</v>
          </cell>
        </row>
        <row r="2630">
          <cell r="C2630" t="str">
            <v>43574</v>
          </cell>
          <cell r="H2630">
            <v>499.14</v>
          </cell>
        </row>
        <row r="2631">
          <cell r="C2631" t="str">
            <v>43573</v>
          </cell>
          <cell r="H2631">
            <v>1513.79</v>
          </cell>
        </row>
        <row r="2632">
          <cell r="C2632" t="str">
            <v>43563</v>
          </cell>
          <cell r="H2632">
            <v>1734.48</v>
          </cell>
        </row>
        <row r="2633">
          <cell r="C2633" t="str">
            <v>43561</v>
          </cell>
          <cell r="H2633">
            <v>6206.9</v>
          </cell>
        </row>
        <row r="2634">
          <cell r="C2634" t="str">
            <v>43024</v>
          </cell>
          <cell r="H2634">
            <v>609.48</v>
          </cell>
        </row>
        <row r="2635">
          <cell r="C2635" t="str">
            <v>43023</v>
          </cell>
          <cell r="H2635">
            <v>1815.52</v>
          </cell>
        </row>
        <row r="2636">
          <cell r="C2636" t="str">
            <v>43013</v>
          </cell>
          <cell r="H2636">
            <v>2063.79</v>
          </cell>
        </row>
        <row r="2637">
          <cell r="C2637" t="str">
            <v>43011</v>
          </cell>
          <cell r="H2637">
            <v>7384.48</v>
          </cell>
        </row>
        <row r="2638">
          <cell r="C2638" t="str">
            <v>43003</v>
          </cell>
          <cell r="H2638">
            <v>2336.21</v>
          </cell>
        </row>
        <row r="2639">
          <cell r="C2639" t="str">
            <v>43001</v>
          </cell>
          <cell r="H2639">
            <v>8431.9</v>
          </cell>
        </row>
        <row r="2640">
          <cell r="C2640" t="str">
            <v>42803</v>
          </cell>
          <cell r="H2640">
            <v>1290.52</v>
          </cell>
        </row>
        <row r="2641">
          <cell r="C2641" t="str">
            <v>42801</v>
          </cell>
          <cell r="H2641">
            <v>3542.24</v>
          </cell>
        </row>
        <row r="2642">
          <cell r="C2642" t="str">
            <v>42753</v>
          </cell>
          <cell r="H2642">
            <v>1037.93</v>
          </cell>
        </row>
        <row r="2643">
          <cell r="C2643" t="str">
            <v>42751</v>
          </cell>
          <cell r="H2643">
            <v>6352.59</v>
          </cell>
        </row>
        <row r="2644">
          <cell r="C2644" t="str">
            <v>41941</v>
          </cell>
          <cell r="H2644">
            <v>4350</v>
          </cell>
        </row>
        <row r="2645">
          <cell r="C2645" t="str">
            <v>41302</v>
          </cell>
          <cell r="H2645">
            <v>394.83</v>
          </cell>
        </row>
        <row r="2646">
          <cell r="C2646" t="str">
            <v>41202</v>
          </cell>
          <cell r="H2646">
            <v>273.27999999999997</v>
          </cell>
        </row>
        <row r="2647">
          <cell r="C2647" t="str">
            <v>41103</v>
          </cell>
          <cell r="H2647">
            <v>1782.76</v>
          </cell>
        </row>
        <row r="2648">
          <cell r="C2648" t="str">
            <v>41054</v>
          </cell>
          <cell r="H2648">
            <v>911.21</v>
          </cell>
        </row>
        <row r="2649">
          <cell r="C2649" t="str">
            <v>41004</v>
          </cell>
          <cell r="H2649">
            <v>475</v>
          </cell>
        </row>
        <row r="2650">
          <cell r="C2650" t="str">
            <v>41003</v>
          </cell>
          <cell r="H2650">
            <v>1782.76</v>
          </cell>
        </row>
        <row r="2651">
          <cell r="C2651" t="str">
            <v>40944</v>
          </cell>
          <cell r="H2651">
            <v>519.83000000000004</v>
          </cell>
        </row>
        <row r="2652">
          <cell r="C2652" t="str">
            <v>40943</v>
          </cell>
          <cell r="H2652">
            <v>1950</v>
          </cell>
        </row>
        <row r="2653">
          <cell r="C2653" t="str">
            <v>40941</v>
          </cell>
          <cell r="H2653">
            <v>9050.86</v>
          </cell>
        </row>
        <row r="2654">
          <cell r="C2654" t="str">
            <v>40924</v>
          </cell>
          <cell r="H2654">
            <v>470.69</v>
          </cell>
        </row>
        <row r="2655">
          <cell r="C2655" t="str">
            <v>40923</v>
          </cell>
          <cell r="H2655">
            <v>1773.28</v>
          </cell>
        </row>
        <row r="2656">
          <cell r="C2656" t="str">
            <v>40921</v>
          </cell>
          <cell r="H2656">
            <v>8222.41</v>
          </cell>
        </row>
        <row r="2657">
          <cell r="C2657" t="str">
            <v>40904</v>
          </cell>
          <cell r="H2657">
            <v>470.69</v>
          </cell>
        </row>
        <row r="2658">
          <cell r="C2658" t="str">
            <v>40903</v>
          </cell>
          <cell r="H2658">
            <v>1773.28</v>
          </cell>
        </row>
        <row r="2659">
          <cell r="C2659" t="str">
            <v>40901</v>
          </cell>
          <cell r="H2659">
            <v>8222.41</v>
          </cell>
        </row>
        <row r="2660">
          <cell r="C2660" t="str">
            <v>40504</v>
          </cell>
          <cell r="H2660">
            <v>368.97</v>
          </cell>
        </row>
        <row r="2661">
          <cell r="C2661" t="str">
            <v>40503</v>
          </cell>
          <cell r="H2661">
            <v>1372.41</v>
          </cell>
        </row>
        <row r="2662">
          <cell r="C2662" t="str">
            <v>40501</v>
          </cell>
          <cell r="H2662">
            <v>6322.41</v>
          </cell>
        </row>
        <row r="2663">
          <cell r="C2663" t="str">
            <v>40315</v>
          </cell>
          <cell r="H2663">
            <v>282.76</v>
          </cell>
        </row>
        <row r="2664">
          <cell r="C2664" t="str">
            <v>40314</v>
          </cell>
          <cell r="H2664">
            <v>519.83000000000004</v>
          </cell>
        </row>
        <row r="2665">
          <cell r="C2665" t="str">
            <v>40313</v>
          </cell>
          <cell r="H2665">
            <v>1969.83</v>
          </cell>
        </row>
        <row r="2666">
          <cell r="C2666" t="str">
            <v>40305</v>
          </cell>
          <cell r="H2666">
            <v>245.69</v>
          </cell>
        </row>
        <row r="2667">
          <cell r="C2667" t="str">
            <v>40304</v>
          </cell>
          <cell r="H2667">
            <v>449.14</v>
          </cell>
        </row>
        <row r="2668">
          <cell r="C2668" t="str">
            <v>40303</v>
          </cell>
          <cell r="H2668">
            <v>1687.07</v>
          </cell>
        </row>
        <row r="2669">
          <cell r="C2669" t="str">
            <v>40124</v>
          </cell>
          <cell r="H2669">
            <v>470.69</v>
          </cell>
        </row>
        <row r="2670">
          <cell r="C2670" t="str">
            <v>40123</v>
          </cell>
          <cell r="H2670">
            <v>1773.28</v>
          </cell>
        </row>
        <row r="2671">
          <cell r="C2671" t="str">
            <v>40121</v>
          </cell>
          <cell r="H2671">
            <v>8222.41</v>
          </cell>
        </row>
        <row r="2672">
          <cell r="C2672" t="str">
            <v>40104</v>
          </cell>
          <cell r="H2672">
            <v>470.69</v>
          </cell>
        </row>
        <row r="2673">
          <cell r="C2673" t="str">
            <v>40103</v>
          </cell>
          <cell r="H2673">
            <v>1773.28</v>
          </cell>
        </row>
        <row r="2674">
          <cell r="C2674" t="str">
            <v>40101</v>
          </cell>
          <cell r="H2674">
            <v>8222.41</v>
          </cell>
        </row>
        <row r="2675">
          <cell r="C2675" t="str">
            <v>40054</v>
          </cell>
          <cell r="H2675">
            <v>910.34</v>
          </cell>
        </row>
        <row r="2676">
          <cell r="C2676" t="str">
            <v>40053</v>
          </cell>
          <cell r="H2676">
            <v>3518.1</v>
          </cell>
        </row>
        <row r="2677">
          <cell r="C2677" t="str">
            <v>40003</v>
          </cell>
          <cell r="H2677">
            <v>1777.59</v>
          </cell>
        </row>
        <row r="2678">
          <cell r="C2678" t="str">
            <v>40001</v>
          </cell>
          <cell r="H2678">
            <v>6999.14</v>
          </cell>
        </row>
        <row r="2679">
          <cell r="C2679" t="str">
            <v>38681</v>
          </cell>
          <cell r="H2679">
            <v>1665.52</v>
          </cell>
        </row>
        <row r="2680">
          <cell r="C2680" t="str">
            <v>38671</v>
          </cell>
          <cell r="H2680">
            <v>1665.52</v>
          </cell>
        </row>
        <row r="2681">
          <cell r="C2681" t="str">
            <v>38591</v>
          </cell>
          <cell r="H2681">
            <v>3259.48</v>
          </cell>
        </row>
        <row r="2682">
          <cell r="C2682" t="str">
            <v>38561</v>
          </cell>
          <cell r="H2682">
            <v>2622.41</v>
          </cell>
        </row>
        <row r="2683">
          <cell r="C2683" t="str">
            <v>38553</v>
          </cell>
          <cell r="H2683">
            <v>309.48</v>
          </cell>
        </row>
        <row r="2684">
          <cell r="C2684" t="str">
            <v>38101</v>
          </cell>
          <cell r="H2684">
            <v>3259.48</v>
          </cell>
        </row>
        <row r="2685">
          <cell r="C2685" t="str">
            <v>38091</v>
          </cell>
          <cell r="H2685">
            <v>2622.41</v>
          </cell>
        </row>
        <row r="2686">
          <cell r="C2686" t="str">
            <v>38063</v>
          </cell>
          <cell r="H2686">
            <v>309.48</v>
          </cell>
        </row>
        <row r="2687">
          <cell r="C2687" t="str">
            <v>38061</v>
          </cell>
          <cell r="H2687">
            <v>1168.0999999999999</v>
          </cell>
        </row>
        <row r="2688">
          <cell r="C2688" t="str">
            <v>38033</v>
          </cell>
          <cell r="H2688">
            <v>502.59</v>
          </cell>
        </row>
        <row r="2689">
          <cell r="C2689" t="str">
            <v>38031</v>
          </cell>
          <cell r="H2689">
            <v>1924.14</v>
          </cell>
        </row>
        <row r="2690">
          <cell r="C2690" t="str">
            <v>37474</v>
          </cell>
          <cell r="H2690">
            <v>603.45000000000005</v>
          </cell>
        </row>
        <row r="2691">
          <cell r="C2691" t="str">
            <v>36094</v>
          </cell>
          <cell r="H2691">
            <v>93.1</v>
          </cell>
        </row>
        <row r="2692">
          <cell r="C2692" t="str">
            <v>36093</v>
          </cell>
          <cell r="H2692">
            <v>250.86</v>
          </cell>
        </row>
        <row r="2693">
          <cell r="C2693" t="str">
            <v>36091</v>
          </cell>
          <cell r="H2693">
            <v>948.28</v>
          </cell>
        </row>
        <row r="2694">
          <cell r="C2694" t="str">
            <v>36073</v>
          </cell>
          <cell r="H2694">
            <v>331.03</v>
          </cell>
        </row>
        <row r="2695">
          <cell r="C2695" t="str">
            <v>36071</v>
          </cell>
          <cell r="H2695">
            <v>1208.6199999999999</v>
          </cell>
        </row>
        <row r="2696">
          <cell r="C2696" t="str">
            <v>36070</v>
          </cell>
          <cell r="H2696">
            <v>12641.38</v>
          </cell>
        </row>
        <row r="2697">
          <cell r="C2697" t="str">
            <v>36064</v>
          </cell>
          <cell r="H2697">
            <v>57.76</v>
          </cell>
        </row>
        <row r="2698">
          <cell r="C2698" t="str">
            <v>36063</v>
          </cell>
          <cell r="H2698">
            <v>217.24</v>
          </cell>
        </row>
        <row r="2699">
          <cell r="C2699" t="str">
            <v>36061</v>
          </cell>
          <cell r="H2699">
            <v>968.97</v>
          </cell>
        </row>
        <row r="2700">
          <cell r="C2700" t="str">
            <v>36034</v>
          </cell>
          <cell r="H2700">
            <v>162.93</v>
          </cell>
        </row>
        <row r="2701">
          <cell r="C2701" t="str">
            <v>36033</v>
          </cell>
          <cell r="H2701">
            <v>436.21</v>
          </cell>
        </row>
        <row r="2702">
          <cell r="C2702" t="str">
            <v>36031</v>
          </cell>
          <cell r="H2702">
            <v>1891.38</v>
          </cell>
        </row>
        <row r="2703">
          <cell r="C2703" t="str">
            <v>36014</v>
          </cell>
          <cell r="H2703">
            <v>116.38</v>
          </cell>
        </row>
        <row r="2704">
          <cell r="C2704" t="str">
            <v>36013</v>
          </cell>
          <cell r="H2704">
            <v>380.17</v>
          </cell>
        </row>
        <row r="2705">
          <cell r="C2705" t="str">
            <v>36011</v>
          </cell>
          <cell r="H2705">
            <v>1493.1</v>
          </cell>
        </row>
        <row r="2706">
          <cell r="C2706" t="str">
            <v>35803</v>
          </cell>
          <cell r="H2706">
            <v>975</v>
          </cell>
        </row>
        <row r="2707">
          <cell r="C2707" t="str">
            <v>35801</v>
          </cell>
          <cell r="H2707">
            <v>3873.28</v>
          </cell>
        </row>
        <row r="2708">
          <cell r="C2708" t="str">
            <v>35763</v>
          </cell>
          <cell r="H2708">
            <v>975</v>
          </cell>
        </row>
        <row r="2709">
          <cell r="C2709" t="str">
            <v>35761</v>
          </cell>
          <cell r="H2709">
            <v>3873.28</v>
          </cell>
        </row>
        <row r="2710">
          <cell r="C2710" t="str">
            <v>35563</v>
          </cell>
          <cell r="H2710">
            <v>975</v>
          </cell>
        </row>
        <row r="2711">
          <cell r="C2711" t="str">
            <v>35561</v>
          </cell>
          <cell r="H2711">
            <v>3873.28</v>
          </cell>
        </row>
        <row r="2712">
          <cell r="C2712" t="str">
            <v>35083</v>
          </cell>
          <cell r="H2712">
            <v>845.69</v>
          </cell>
        </row>
        <row r="2713">
          <cell r="C2713" t="str">
            <v>35081</v>
          </cell>
          <cell r="H2713">
            <v>3256.03</v>
          </cell>
        </row>
        <row r="2714">
          <cell r="C2714" t="str">
            <v>35003</v>
          </cell>
          <cell r="H2714">
            <v>975</v>
          </cell>
        </row>
        <row r="2715">
          <cell r="C2715" t="str">
            <v>35001</v>
          </cell>
          <cell r="H2715">
            <v>3873.28</v>
          </cell>
        </row>
        <row r="2716">
          <cell r="C2716" t="str">
            <v>34773</v>
          </cell>
          <cell r="H2716">
            <v>231.9</v>
          </cell>
        </row>
        <row r="2717">
          <cell r="C2717" t="str">
            <v>34763</v>
          </cell>
          <cell r="H2717">
            <v>231.9</v>
          </cell>
        </row>
        <row r="2718">
          <cell r="C2718" t="str">
            <v>34733</v>
          </cell>
          <cell r="H2718">
            <v>231.9</v>
          </cell>
        </row>
        <row r="2719">
          <cell r="C2719" t="str">
            <v>34643</v>
          </cell>
          <cell r="H2719">
            <v>231.9</v>
          </cell>
        </row>
        <row r="2720">
          <cell r="C2720" t="str">
            <v>34613</v>
          </cell>
          <cell r="H2720">
            <v>231.9</v>
          </cell>
        </row>
        <row r="2721">
          <cell r="C2721" t="str">
            <v>34563</v>
          </cell>
          <cell r="H2721">
            <v>231.9</v>
          </cell>
        </row>
        <row r="2722">
          <cell r="C2722" t="str">
            <v>34443</v>
          </cell>
          <cell r="H2722">
            <v>231.9</v>
          </cell>
        </row>
        <row r="2723">
          <cell r="C2723" t="str">
            <v>34423</v>
          </cell>
          <cell r="H2723">
            <v>231.9</v>
          </cell>
        </row>
        <row r="2724">
          <cell r="C2724" t="str">
            <v>34323</v>
          </cell>
          <cell r="H2724">
            <v>231.9</v>
          </cell>
        </row>
        <row r="2725">
          <cell r="C2725" t="str">
            <v>34263</v>
          </cell>
          <cell r="H2725">
            <v>231.9</v>
          </cell>
        </row>
        <row r="2726">
          <cell r="C2726" t="str">
            <v>34223</v>
          </cell>
          <cell r="H2726">
            <v>231.9</v>
          </cell>
        </row>
        <row r="2727">
          <cell r="C2727" t="str">
            <v>34213</v>
          </cell>
          <cell r="H2727">
            <v>231.9</v>
          </cell>
        </row>
        <row r="2728">
          <cell r="C2728" t="str">
            <v>34123</v>
          </cell>
          <cell r="H2728">
            <v>231.9</v>
          </cell>
        </row>
        <row r="2729">
          <cell r="C2729" t="str">
            <v>34003</v>
          </cell>
          <cell r="H2729">
            <v>231.9</v>
          </cell>
        </row>
        <row r="2730">
          <cell r="C2730" t="str">
            <v>33984</v>
          </cell>
          <cell r="H2730">
            <v>91.38</v>
          </cell>
        </row>
        <row r="2731">
          <cell r="C2731" t="str">
            <v>33983</v>
          </cell>
          <cell r="H2731">
            <v>326.72000000000003</v>
          </cell>
        </row>
        <row r="2732">
          <cell r="C2732" t="str">
            <v>33981</v>
          </cell>
          <cell r="H2732">
            <v>1381.03</v>
          </cell>
        </row>
        <row r="2733">
          <cell r="C2733" t="str">
            <v>33574</v>
          </cell>
          <cell r="H2733">
            <v>91.38</v>
          </cell>
        </row>
        <row r="2734">
          <cell r="C2734" t="str">
            <v>33573</v>
          </cell>
          <cell r="H2734">
            <v>326.72000000000003</v>
          </cell>
        </row>
        <row r="2735">
          <cell r="C2735" t="str">
            <v>33571</v>
          </cell>
          <cell r="H2735">
            <v>1381.03</v>
          </cell>
        </row>
        <row r="2736">
          <cell r="C2736" t="str">
            <v>33274</v>
          </cell>
          <cell r="H2736">
            <v>91.38</v>
          </cell>
        </row>
        <row r="2737">
          <cell r="C2737" t="str">
            <v>33273</v>
          </cell>
          <cell r="H2737">
            <v>326.72000000000003</v>
          </cell>
        </row>
        <row r="2738">
          <cell r="C2738" t="str">
            <v>33271</v>
          </cell>
          <cell r="H2738">
            <v>1381.03</v>
          </cell>
        </row>
        <row r="2739">
          <cell r="C2739" t="str">
            <v>33044</v>
          </cell>
          <cell r="H2739">
            <v>87.07</v>
          </cell>
        </row>
        <row r="2740">
          <cell r="C2740" t="str">
            <v>33043</v>
          </cell>
          <cell r="H2740">
            <v>309.48</v>
          </cell>
        </row>
        <row r="2741">
          <cell r="C2741" t="str">
            <v>33041</v>
          </cell>
          <cell r="H2741">
            <v>1300</v>
          </cell>
        </row>
        <row r="2742">
          <cell r="C2742" t="str">
            <v>33015</v>
          </cell>
          <cell r="H2742">
            <v>131.03</v>
          </cell>
        </row>
        <row r="2743">
          <cell r="C2743" t="str">
            <v>33014</v>
          </cell>
          <cell r="H2743">
            <v>91.38</v>
          </cell>
        </row>
        <row r="2744">
          <cell r="C2744" t="str">
            <v>33013</v>
          </cell>
          <cell r="H2744">
            <v>326.72000000000003</v>
          </cell>
        </row>
        <row r="2745">
          <cell r="C2745" t="str">
            <v>33011</v>
          </cell>
          <cell r="H2745">
            <v>1381.03</v>
          </cell>
        </row>
        <row r="2746">
          <cell r="C2746" t="str">
            <v>33004</v>
          </cell>
          <cell r="H2746">
            <v>91.38</v>
          </cell>
        </row>
        <row r="2747">
          <cell r="C2747" t="str">
            <v>33003</v>
          </cell>
          <cell r="H2747">
            <v>326.72000000000003</v>
          </cell>
        </row>
        <row r="2748">
          <cell r="C2748" t="str">
            <v>33001</v>
          </cell>
          <cell r="H2748">
            <v>1381.03</v>
          </cell>
        </row>
        <row r="2749">
          <cell r="C2749" t="str">
            <v>32084</v>
          </cell>
          <cell r="H2749">
            <v>82.76</v>
          </cell>
        </row>
        <row r="2750">
          <cell r="C2750" t="str">
            <v>32071</v>
          </cell>
          <cell r="H2750">
            <v>1634.48</v>
          </cell>
        </row>
        <row r="2751">
          <cell r="C2751" t="str">
            <v>32060</v>
          </cell>
          <cell r="H2751">
            <v>21974.14</v>
          </cell>
        </row>
        <row r="2752">
          <cell r="C2752" t="str">
            <v>32054</v>
          </cell>
          <cell r="H2752">
            <v>132.76</v>
          </cell>
        </row>
        <row r="2753">
          <cell r="C2753" t="str">
            <v>32003</v>
          </cell>
          <cell r="H2753">
            <v>512.92999999999995</v>
          </cell>
        </row>
        <row r="2754">
          <cell r="C2754" t="str">
            <v>32002</v>
          </cell>
          <cell r="H2754">
            <v>2178.4499999999998</v>
          </cell>
        </row>
        <row r="2755">
          <cell r="C2755" t="str">
            <v>32001</v>
          </cell>
          <cell r="H2755">
            <v>2178.4499999999998</v>
          </cell>
        </row>
        <row r="2756">
          <cell r="C2756" t="str">
            <v>30001</v>
          </cell>
          <cell r="H2756">
            <v>3037.93</v>
          </cell>
        </row>
        <row r="2757">
          <cell r="C2757" t="str">
            <v>29746</v>
          </cell>
          <cell r="H2757">
            <v>223.28</v>
          </cell>
        </row>
        <row r="2758">
          <cell r="C2758" t="str">
            <v>29744</v>
          </cell>
          <cell r="H2758">
            <v>794.83</v>
          </cell>
        </row>
        <row r="2759">
          <cell r="C2759" t="str">
            <v>29734</v>
          </cell>
          <cell r="H2759">
            <v>253.45</v>
          </cell>
        </row>
        <row r="2760">
          <cell r="C2760" t="str">
            <v>29733</v>
          </cell>
          <cell r="H2760">
            <v>915.52</v>
          </cell>
        </row>
        <row r="2761">
          <cell r="C2761" t="str">
            <v>29714</v>
          </cell>
          <cell r="H2761">
            <v>322.41000000000003</v>
          </cell>
        </row>
        <row r="2762">
          <cell r="C2762" t="str">
            <v>29677</v>
          </cell>
          <cell r="H2762">
            <v>228.45</v>
          </cell>
        </row>
        <row r="2763">
          <cell r="C2763" t="str">
            <v>29675</v>
          </cell>
          <cell r="H2763">
            <v>648.28</v>
          </cell>
        </row>
        <row r="2764">
          <cell r="C2764" t="str">
            <v>29665</v>
          </cell>
          <cell r="H2764">
            <v>325</v>
          </cell>
        </row>
        <row r="2765">
          <cell r="C2765" t="str">
            <v>29657</v>
          </cell>
          <cell r="H2765">
            <v>94.83</v>
          </cell>
        </row>
        <row r="2766">
          <cell r="C2766" t="str">
            <v>29655</v>
          </cell>
          <cell r="H2766">
            <v>303.45</v>
          </cell>
        </row>
        <row r="2767">
          <cell r="C2767" t="str">
            <v>29646</v>
          </cell>
          <cell r="H2767">
            <v>142.24</v>
          </cell>
        </row>
        <row r="2768">
          <cell r="C2768" t="str">
            <v>29645</v>
          </cell>
          <cell r="H2768">
            <v>250.86</v>
          </cell>
        </row>
        <row r="2769">
          <cell r="C2769" t="str">
            <v>29644</v>
          </cell>
          <cell r="H2769">
            <v>619.83000000000004</v>
          </cell>
        </row>
        <row r="2770">
          <cell r="C2770" t="str">
            <v>29636</v>
          </cell>
          <cell r="H2770">
            <v>221.55</v>
          </cell>
        </row>
        <row r="2771">
          <cell r="C2771" t="str">
            <v>29635</v>
          </cell>
          <cell r="H2771">
            <v>396.55</v>
          </cell>
        </row>
        <row r="2772">
          <cell r="C2772" t="str">
            <v>29634</v>
          </cell>
          <cell r="H2772">
            <v>700</v>
          </cell>
        </row>
        <row r="2773">
          <cell r="C2773" t="str">
            <v>29614</v>
          </cell>
          <cell r="H2773">
            <v>212.93</v>
          </cell>
        </row>
        <row r="2774">
          <cell r="C2774" t="str">
            <v>29613</v>
          </cell>
          <cell r="H2774">
            <v>764.66</v>
          </cell>
        </row>
        <row r="2775">
          <cell r="C2775" t="str">
            <v>29604</v>
          </cell>
          <cell r="H2775">
            <v>418.1</v>
          </cell>
        </row>
        <row r="2776">
          <cell r="C2776" t="str">
            <v>29603</v>
          </cell>
          <cell r="H2776">
            <v>1537.93</v>
          </cell>
        </row>
        <row r="2777">
          <cell r="C2777" t="str">
            <v>29596</v>
          </cell>
          <cell r="H2777">
            <v>58.62</v>
          </cell>
        </row>
        <row r="2778">
          <cell r="C2778" t="str">
            <v>29595</v>
          </cell>
          <cell r="H2778">
            <v>102.59</v>
          </cell>
        </row>
        <row r="2779">
          <cell r="C2779" t="str">
            <v>29594</v>
          </cell>
          <cell r="H2779">
            <v>191.38</v>
          </cell>
        </row>
        <row r="2780">
          <cell r="C2780" t="str">
            <v>29593</v>
          </cell>
          <cell r="H2780">
            <v>680.17</v>
          </cell>
        </row>
        <row r="2781">
          <cell r="C2781" t="str">
            <v>29591</v>
          </cell>
          <cell r="H2781">
            <v>3031.03</v>
          </cell>
        </row>
        <row r="2782">
          <cell r="C2782" t="str">
            <v>29585</v>
          </cell>
          <cell r="H2782">
            <v>150.86000000000001</v>
          </cell>
        </row>
        <row r="2783">
          <cell r="C2783" t="str">
            <v>29565</v>
          </cell>
          <cell r="H2783">
            <v>73.28</v>
          </cell>
        </row>
        <row r="2784">
          <cell r="C2784" t="str">
            <v>29555</v>
          </cell>
          <cell r="H2784">
            <v>198.28</v>
          </cell>
        </row>
        <row r="2785">
          <cell r="C2785" t="str">
            <v>29546</v>
          </cell>
          <cell r="H2785">
            <v>99.14</v>
          </cell>
        </row>
        <row r="2786">
          <cell r="C2786" t="str">
            <v>29525</v>
          </cell>
          <cell r="H2786">
            <v>187.93</v>
          </cell>
        </row>
        <row r="2787">
          <cell r="C2787" t="str">
            <v>34000</v>
          </cell>
          <cell r="H2787">
            <v>11283.62</v>
          </cell>
        </row>
        <row r="2788">
          <cell r="C2788" t="str">
            <v>32994</v>
          </cell>
          <cell r="H2788">
            <v>143.97</v>
          </cell>
        </row>
        <row r="2789">
          <cell r="C2789" t="str">
            <v>32993</v>
          </cell>
          <cell r="H2789">
            <v>512.92999999999995</v>
          </cell>
        </row>
        <row r="2790">
          <cell r="C2790" t="str">
            <v>32991</v>
          </cell>
          <cell r="H2790">
            <v>2178.4499999999998</v>
          </cell>
        </row>
        <row r="2791">
          <cell r="C2791" t="str">
            <v>32734</v>
          </cell>
          <cell r="H2791">
            <v>143.97</v>
          </cell>
        </row>
        <row r="2792">
          <cell r="C2792" t="str">
            <v>32733</v>
          </cell>
          <cell r="H2792">
            <v>512.92999999999995</v>
          </cell>
        </row>
        <row r="2793">
          <cell r="C2793" t="str">
            <v>32731</v>
          </cell>
          <cell r="H2793">
            <v>2178.4499999999998</v>
          </cell>
        </row>
        <row r="2794">
          <cell r="C2794" t="str">
            <v>32684</v>
          </cell>
          <cell r="H2794">
            <v>143.97</v>
          </cell>
        </row>
        <row r="2795">
          <cell r="C2795" t="str">
            <v>32683</v>
          </cell>
          <cell r="H2795">
            <v>512.92999999999995</v>
          </cell>
        </row>
        <row r="2796">
          <cell r="C2796" t="str">
            <v>32681</v>
          </cell>
          <cell r="H2796">
            <v>2178.4499999999998</v>
          </cell>
        </row>
        <row r="2797">
          <cell r="C2797" t="str">
            <v>32673</v>
          </cell>
          <cell r="H2797">
            <v>512.92999999999995</v>
          </cell>
        </row>
        <row r="2798">
          <cell r="C2798" t="str">
            <v>32671</v>
          </cell>
          <cell r="H2798">
            <v>2178.4499999999998</v>
          </cell>
        </row>
        <row r="2799">
          <cell r="C2799" t="str">
            <v>32584</v>
          </cell>
          <cell r="H2799">
            <v>143.97</v>
          </cell>
        </row>
        <row r="2800">
          <cell r="C2800" t="str">
            <v>32583</v>
          </cell>
          <cell r="H2800">
            <v>512.92999999999995</v>
          </cell>
        </row>
        <row r="2801">
          <cell r="C2801" t="str">
            <v>32581</v>
          </cell>
          <cell r="H2801">
            <v>2178.4499999999998</v>
          </cell>
        </row>
        <row r="2802">
          <cell r="C2802" t="str">
            <v>32564</v>
          </cell>
          <cell r="H2802">
            <v>143.97</v>
          </cell>
        </row>
        <row r="2803">
          <cell r="C2803" t="str">
            <v>32563</v>
          </cell>
          <cell r="H2803">
            <v>512.92999999999995</v>
          </cell>
        </row>
        <row r="2804">
          <cell r="C2804" t="str">
            <v>32561</v>
          </cell>
          <cell r="H2804">
            <v>2178.4499999999998</v>
          </cell>
        </row>
        <row r="2805">
          <cell r="C2805" t="str">
            <v>32494</v>
          </cell>
          <cell r="H2805">
            <v>143.97</v>
          </cell>
        </row>
        <row r="2806">
          <cell r="C2806" t="str">
            <v>32493</v>
          </cell>
          <cell r="H2806">
            <v>512.92999999999995</v>
          </cell>
        </row>
        <row r="2807">
          <cell r="C2807" t="str">
            <v>32491</v>
          </cell>
          <cell r="H2807">
            <v>2178.4499999999998</v>
          </cell>
        </row>
        <row r="2808">
          <cell r="C2808" t="str">
            <v>32474</v>
          </cell>
          <cell r="H2808">
            <v>143.97</v>
          </cell>
        </row>
        <row r="2809">
          <cell r="C2809" t="str">
            <v>32473</v>
          </cell>
          <cell r="H2809">
            <v>512.92999999999995</v>
          </cell>
        </row>
        <row r="2810">
          <cell r="C2810" t="str">
            <v>32471</v>
          </cell>
          <cell r="H2810">
            <v>2178.4499999999998</v>
          </cell>
        </row>
        <row r="2811">
          <cell r="C2811" t="str">
            <v>32464</v>
          </cell>
          <cell r="H2811">
            <v>143.97</v>
          </cell>
        </row>
        <row r="2812">
          <cell r="C2812" t="str">
            <v>32463</v>
          </cell>
          <cell r="H2812">
            <v>512.92999999999995</v>
          </cell>
        </row>
        <row r="2813">
          <cell r="C2813" t="str">
            <v>32461</v>
          </cell>
          <cell r="H2813">
            <v>2178.4499999999998</v>
          </cell>
        </row>
        <row r="2814">
          <cell r="C2814" t="str">
            <v>32354</v>
          </cell>
          <cell r="H2814">
            <v>143.97</v>
          </cell>
        </row>
        <row r="2815">
          <cell r="C2815" t="str">
            <v>32353</v>
          </cell>
          <cell r="H2815">
            <v>512.92999999999995</v>
          </cell>
        </row>
        <row r="2816">
          <cell r="C2816" t="str">
            <v>32351</v>
          </cell>
          <cell r="H2816">
            <v>2178.4499999999998</v>
          </cell>
        </row>
        <row r="2817">
          <cell r="C2817" t="str">
            <v>32264</v>
          </cell>
          <cell r="H2817">
            <v>143.97</v>
          </cell>
        </row>
        <row r="2818">
          <cell r="C2818" t="str">
            <v>32263</v>
          </cell>
          <cell r="H2818">
            <v>512.92999999999995</v>
          </cell>
        </row>
        <row r="2819">
          <cell r="C2819" t="str">
            <v>32261</v>
          </cell>
          <cell r="H2819">
            <v>2178.4499999999998</v>
          </cell>
        </row>
        <row r="2820">
          <cell r="C2820" t="str">
            <v>32241</v>
          </cell>
          <cell r="H2820">
            <v>2178.4499999999998</v>
          </cell>
        </row>
        <row r="2821">
          <cell r="C2821" t="str">
            <v>32213</v>
          </cell>
          <cell r="H2821">
            <v>512.92999999999995</v>
          </cell>
        </row>
        <row r="2822">
          <cell r="C2822" t="str">
            <v>32211</v>
          </cell>
          <cell r="H2822">
            <v>2178.4499999999998</v>
          </cell>
        </row>
        <row r="2823">
          <cell r="C2823" t="str">
            <v>32164</v>
          </cell>
          <cell r="H2823">
            <v>143.97</v>
          </cell>
        </row>
        <row r="2824">
          <cell r="C2824" t="str">
            <v>32163</v>
          </cell>
          <cell r="H2824">
            <v>512.92999999999995</v>
          </cell>
        </row>
        <row r="2825">
          <cell r="C2825" t="str">
            <v>32161</v>
          </cell>
          <cell r="H2825">
            <v>2178.4499999999998</v>
          </cell>
        </row>
        <row r="2826">
          <cell r="C2826" t="str">
            <v>32151</v>
          </cell>
          <cell r="H2826">
            <v>2178.4499999999998</v>
          </cell>
        </row>
        <row r="2827">
          <cell r="C2827" t="str">
            <v>32144</v>
          </cell>
          <cell r="H2827">
            <v>143.97</v>
          </cell>
        </row>
        <row r="2828">
          <cell r="C2828" t="str">
            <v>32143</v>
          </cell>
          <cell r="H2828">
            <v>512.92999999999995</v>
          </cell>
        </row>
        <row r="2829">
          <cell r="C2829" t="str">
            <v>32141</v>
          </cell>
          <cell r="H2829">
            <v>2178.4499999999998</v>
          </cell>
        </row>
        <row r="2830">
          <cell r="C2830" t="str">
            <v>32083</v>
          </cell>
          <cell r="H2830">
            <v>268.97000000000003</v>
          </cell>
        </row>
        <row r="2831">
          <cell r="C2831" t="str">
            <v>32081</v>
          </cell>
          <cell r="H2831">
            <v>1014.66</v>
          </cell>
        </row>
        <row r="2832">
          <cell r="C2832" t="str">
            <v>32074</v>
          </cell>
          <cell r="H2832">
            <v>115.52</v>
          </cell>
        </row>
        <row r="2833">
          <cell r="C2833" t="str">
            <v>32073</v>
          </cell>
          <cell r="H2833">
            <v>400</v>
          </cell>
        </row>
        <row r="2834">
          <cell r="C2834" t="str">
            <v>32063</v>
          </cell>
          <cell r="H2834">
            <v>512.92999999999995</v>
          </cell>
        </row>
        <row r="2835">
          <cell r="C2835" t="str">
            <v>32061</v>
          </cell>
          <cell r="H2835">
            <v>2178.4499999999998</v>
          </cell>
        </row>
        <row r="2836">
          <cell r="C2836" t="str">
            <v>32053</v>
          </cell>
          <cell r="H2836">
            <v>465.52</v>
          </cell>
        </row>
        <row r="2837">
          <cell r="C2837" t="str">
            <v>32051</v>
          </cell>
          <cell r="H2837">
            <v>1944.83</v>
          </cell>
        </row>
        <row r="2838">
          <cell r="C2838" t="str">
            <v>32044</v>
          </cell>
          <cell r="H2838">
            <v>141.38</v>
          </cell>
        </row>
        <row r="2839">
          <cell r="C2839" t="str">
            <v>32043</v>
          </cell>
          <cell r="H2839">
            <v>500.86</v>
          </cell>
        </row>
        <row r="2840">
          <cell r="C2840" t="str">
            <v>32041</v>
          </cell>
          <cell r="H2840">
            <v>2115.52</v>
          </cell>
        </row>
        <row r="2841">
          <cell r="C2841" t="str">
            <v>32004</v>
          </cell>
          <cell r="H2841">
            <v>143.97</v>
          </cell>
        </row>
        <row r="2842">
          <cell r="C2842" t="str">
            <v>32000</v>
          </cell>
          <cell r="H2842">
            <v>21617.24</v>
          </cell>
        </row>
        <row r="2843">
          <cell r="C2843" t="str">
            <v>30993</v>
          </cell>
          <cell r="H2843">
            <v>716.38</v>
          </cell>
        </row>
        <row r="2844">
          <cell r="C2844" t="str">
            <v>30991</v>
          </cell>
          <cell r="H2844">
            <v>3037.93</v>
          </cell>
        </row>
        <row r="2845">
          <cell r="C2845" t="str">
            <v>30653</v>
          </cell>
          <cell r="H2845">
            <v>716.38</v>
          </cell>
        </row>
        <row r="2846">
          <cell r="C2846" t="str">
            <v>30651</v>
          </cell>
          <cell r="H2846">
            <v>3037.93</v>
          </cell>
        </row>
        <row r="2847">
          <cell r="C2847" t="str">
            <v>30454</v>
          </cell>
          <cell r="H2847">
            <v>201.72</v>
          </cell>
        </row>
        <row r="2848">
          <cell r="C2848" t="str">
            <v>30453</v>
          </cell>
          <cell r="H2848">
            <v>716.38</v>
          </cell>
        </row>
        <row r="2849">
          <cell r="C2849" t="str">
            <v>30451</v>
          </cell>
          <cell r="H2849">
            <v>3037.93</v>
          </cell>
        </row>
        <row r="2850">
          <cell r="C2850" t="str">
            <v>30351</v>
          </cell>
          <cell r="H2850">
            <v>3037.93</v>
          </cell>
        </row>
        <row r="2851">
          <cell r="C2851" t="str">
            <v>30163</v>
          </cell>
          <cell r="H2851">
            <v>716.38</v>
          </cell>
        </row>
        <row r="2852">
          <cell r="C2852" t="str">
            <v>30161</v>
          </cell>
          <cell r="H2852">
            <v>3037.93</v>
          </cell>
        </row>
        <row r="2853">
          <cell r="C2853" t="str">
            <v>30154</v>
          </cell>
          <cell r="H2853">
            <v>201.72</v>
          </cell>
        </row>
        <row r="2854">
          <cell r="C2854" t="str">
            <v>30153</v>
          </cell>
          <cell r="H2854">
            <v>716.38</v>
          </cell>
        </row>
        <row r="2855">
          <cell r="C2855" t="str">
            <v>30151</v>
          </cell>
          <cell r="H2855">
            <v>3037.93</v>
          </cell>
        </row>
        <row r="2856">
          <cell r="C2856" t="str">
            <v>30084</v>
          </cell>
          <cell r="H2856">
            <v>142.24</v>
          </cell>
        </row>
        <row r="2857">
          <cell r="C2857" t="str">
            <v>30083</v>
          </cell>
          <cell r="H2857">
            <v>477.59</v>
          </cell>
        </row>
        <row r="2858">
          <cell r="C2858" t="str">
            <v>30081</v>
          </cell>
          <cell r="H2858">
            <v>1900</v>
          </cell>
        </row>
        <row r="2859">
          <cell r="C2859" t="str">
            <v>30074</v>
          </cell>
          <cell r="H2859">
            <v>173.28</v>
          </cell>
        </row>
        <row r="2860">
          <cell r="C2860" t="str">
            <v>30073</v>
          </cell>
          <cell r="H2860">
            <v>606.03</v>
          </cell>
        </row>
        <row r="2861">
          <cell r="C2861" t="str">
            <v>30071</v>
          </cell>
          <cell r="H2861">
            <v>2506.9</v>
          </cell>
        </row>
        <row r="2862">
          <cell r="C2862" t="str">
            <v>30054</v>
          </cell>
          <cell r="H2862">
            <v>188.79</v>
          </cell>
        </row>
        <row r="2863">
          <cell r="C2863" t="str">
            <v>30053</v>
          </cell>
          <cell r="H2863">
            <v>668.97</v>
          </cell>
        </row>
        <row r="2864">
          <cell r="C2864" t="str">
            <v>30051</v>
          </cell>
          <cell r="H2864">
            <v>2809.48</v>
          </cell>
        </row>
        <row r="2865">
          <cell r="C2865" t="str">
            <v>30044</v>
          </cell>
          <cell r="H2865">
            <v>197.41</v>
          </cell>
        </row>
        <row r="2866">
          <cell r="C2866" t="str">
            <v>30043</v>
          </cell>
          <cell r="H2866">
            <v>704.31</v>
          </cell>
        </row>
        <row r="2867">
          <cell r="C2867" t="str">
            <v>30041</v>
          </cell>
          <cell r="H2867">
            <v>2976.72</v>
          </cell>
        </row>
        <row r="2868">
          <cell r="C2868" t="str">
            <v>30004</v>
          </cell>
          <cell r="H2868">
            <v>201.72</v>
          </cell>
        </row>
        <row r="2869">
          <cell r="C2869" t="str">
            <v>30003</v>
          </cell>
          <cell r="H2869">
            <v>716.38</v>
          </cell>
        </row>
        <row r="2870">
          <cell r="C2870" t="str">
            <v>40813</v>
          </cell>
          <cell r="H2870">
            <v>3525</v>
          </cell>
        </row>
        <row r="2871">
          <cell r="C2871" t="str">
            <v>40801</v>
          </cell>
          <cell r="H2871">
            <v>5140.5200000000004</v>
          </cell>
        </row>
        <row r="2872">
          <cell r="C2872" t="str">
            <v>30000</v>
          </cell>
          <cell r="H2872">
            <v>29279.31</v>
          </cell>
        </row>
        <row r="2873">
          <cell r="C2873" t="str">
            <v>38021</v>
          </cell>
          <cell r="H2873">
            <v>1489.66</v>
          </cell>
        </row>
        <row r="2874">
          <cell r="C2874" t="str">
            <v>36010</v>
          </cell>
          <cell r="H2874">
            <v>14933.62</v>
          </cell>
        </row>
        <row r="2875">
          <cell r="C2875" t="str">
            <v>43983</v>
          </cell>
          <cell r="H2875">
            <v>1235.3399999999999</v>
          </cell>
        </row>
        <row r="2876">
          <cell r="C2876" t="str">
            <v>42561</v>
          </cell>
          <cell r="H2876">
            <v>3962.93</v>
          </cell>
        </row>
        <row r="2877">
          <cell r="C2877" t="str">
            <v>38683</v>
          </cell>
          <cell r="H2877">
            <v>419.83</v>
          </cell>
        </row>
        <row r="2878">
          <cell r="C2878" t="str">
            <v>38673</v>
          </cell>
          <cell r="H2878">
            <v>419.83</v>
          </cell>
        </row>
        <row r="2879">
          <cell r="C2879" t="str">
            <v>38663</v>
          </cell>
          <cell r="H2879">
            <v>343.97</v>
          </cell>
        </row>
        <row r="2880">
          <cell r="C2880" t="str">
            <v>38653</v>
          </cell>
          <cell r="H2880">
            <v>343.97</v>
          </cell>
        </row>
        <row r="2881">
          <cell r="C2881" t="str">
            <v>38651</v>
          </cell>
          <cell r="H2881">
            <v>1356.9</v>
          </cell>
        </row>
        <row r="2882">
          <cell r="C2882" t="str">
            <v>38583</v>
          </cell>
          <cell r="H2882">
            <v>388.79</v>
          </cell>
        </row>
        <row r="2883">
          <cell r="C2883" t="str">
            <v>38581</v>
          </cell>
          <cell r="H2883">
            <v>1489.66</v>
          </cell>
        </row>
        <row r="2884">
          <cell r="C2884" t="str">
            <v>38550</v>
          </cell>
          <cell r="H2884">
            <v>11637.93</v>
          </cell>
        </row>
        <row r="2885">
          <cell r="C2885" t="str">
            <v>38090</v>
          </cell>
          <cell r="H2885">
            <v>26887.93</v>
          </cell>
        </row>
        <row r="2886">
          <cell r="C2886" t="str">
            <v>38023</v>
          </cell>
          <cell r="H2886">
            <v>388.79</v>
          </cell>
        </row>
        <row r="2887">
          <cell r="C2887" t="str">
            <v>34771</v>
          </cell>
          <cell r="H2887">
            <v>979.31</v>
          </cell>
        </row>
        <row r="2888">
          <cell r="C2888" t="str">
            <v>34761</v>
          </cell>
          <cell r="H2888">
            <v>979.31</v>
          </cell>
        </row>
        <row r="2889">
          <cell r="C2889" t="str">
            <v>34731</v>
          </cell>
          <cell r="H2889">
            <v>979.31</v>
          </cell>
        </row>
        <row r="2890">
          <cell r="C2890" t="str">
            <v>34641</v>
          </cell>
          <cell r="H2890">
            <v>979.31</v>
          </cell>
        </row>
        <row r="2891">
          <cell r="C2891" t="str">
            <v>34611</v>
          </cell>
          <cell r="H2891">
            <v>979.31</v>
          </cell>
        </row>
        <row r="2892">
          <cell r="C2892" t="str">
            <v>34561</v>
          </cell>
          <cell r="H2892">
            <v>979.31</v>
          </cell>
        </row>
        <row r="2893">
          <cell r="C2893" t="str">
            <v>34441</v>
          </cell>
          <cell r="H2893">
            <v>979.31</v>
          </cell>
        </row>
        <row r="2894">
          <cell r="C2894" t="str">
            <v>34421</v>
          </cell>
          <cell r="H2894">
            <v>979.31</v>
          </cell>
        </row>
        <row r="2895">
          <cell r="C2895" t="str">
            <v>34321</v>
          </cell>
          <cell r="H2895">
            <v>979.31</v>
          </cell>
        </row>
        <row r="2896">
          <cell r="C2896" t="str">
            <v>34261</v>
          </cell>
          <cell r="H2896">
            <v>979.31</v>
          </cell>
        </row>
        <row r="2897">
          <cell r="C2897" t="str">
            <v>34221</v>
          </cell>
          <cell r="H2897">
            <v>979.31</v>
          </cell>
        </row>
        <row r="2898">
          <cell r="C2898" t="str">
            <v>34211</v>
          </cell>
          <cell r="H2898">
            <v>979.31</v>
          </cell>
        </row>
        <row r="2899">
          <cell r="C2899" t="str">
            <v>34121</v>
          </cell>
          <cell r="H2899">
            <v>979.31</v>
          </cell>
        </row>
        <row r="2900">
          <cell r="C2900" t="str">
            <v>34001</v>
          </cell>
          <cell r="H2900">
            <v>979.31</v>
          </cell>
        </row>
        <row r="2901">
          <cell r="C2901" t="str">
            <v>32951</v>
          </cell>
          <cell r="H2901">
            <v>2950.86</v>
          </cell>
        </row>
        <row r="2902">
          <cell r="C2902" t="str">
            <v>32851</v>
          </cell>
          <cell r="H2902">
            <v>2096.5500000000002</v>
          </cell>
        </row>
        <row r="2903">
          <cell r="C2903" t="str">
            <v>41561</v>
          </cell>
          <cell r="H2903">
            <v>4375</v>
          </cell>
        </row>
        <row r="2904">
          <cell r="C2904" t="str">
            <v>38560</v>
          </cell>
          <cell r="H2904">
            <v>26225.86</v>
          </cell>
        </row>
        <row r="2905">
          <cell r="C2905" t="str">
            <v>38020</v>
          </cell>
          <cell r="H2905">
            <v>15122.41</v>
          </cell>
        </row>
        <row r="2906">
          <cell r="C2906" t="str">
            <v>32990</v>
          </cell>
          <cell r="H2906">
            <v>22012.07</v>
          </cell>
        </row>
        <row r="2907">
          <cell r="C2907" t="str">
            <v>29508</v>
          </cell>
          <cell r="H2907">
            <v>20.69</v>
          </cell>
        </row>
        <row r="2908">
          <cell r="C2908" t="str">
            <v>29507</v>
          </cell>
          <cell r="H2908">
            <v>91.38</v>
          </cell>
        </row>
        <row r="2909">
          <cell r="C2909" t="str">
            <v>29506</v>
          </cell>
          <cell r="H2909">
            <v>58.62</v>
          </cell>
        </row>
        <row r="2910">
          <cell r="C2910" t="str">
            <v>29505</v>
          </cell>
          <cell r="H2910">
            <v>102.59</v>
          </cell>
        </row>
        <row r="2911">
          <cell r="C2911" t="str">
            <v>29504</v>
          </cell>
          <cell r="H2911">
            <v>191.38</v>
          </cell>
        </row>
        <row r="2912">
          <cell r="C2912" t="str">
            <v>29503</v>
          </cell>
          <cell r="H2912">
            <v>680.17</v>
          </cell>
        </row>
        <row r="2913">
          <cell r="C2913" t="str">
            <v>29501</v>
          </cell>
          <cell r="H2913">
            <v>3031.03</v>
          </cell>
        </row>
        <row r="2914">
          <cell r="C2914" t="str">
            <v>29495</v>
          </cell>
          <cell r="H2914">
            <v>132.76</v>
          </cell>
        </row>
        <row r="2915">
          <cell r="C2915" t="str">
            <v>29494</v>
          </cell>
          <cell r="H2915">
            <v>257.76</v>
          </cell>
        </row>
        <row r="2916">
          <cell r="C2916" t="str">
            <v>29493</v>
          </cell>
          <cell r="H2916">
            <v>915.52</v>
          </cell>
        </row>
        <row r="2917">
          <cell r="C2917" t="str">
            <v>29485</v>
          </cell>
          <cell r="H2917">
            <v>136.21</v>
          </cell>
        </row>
        <row r="2918">
          <cell r="C2918" t="str">
            <v>29484</v>
          </cell>
          <cell r="H2918">
            <v>268.97000000000003</v>
          </cell>
        </row>
        <row r="2919">
          <cell r="C2919" t="str">
            <v>29483</v>
          </cell>
          <cell r="H2919">
            <v>957.76</v>
          </cell>
        </row>
        <row r="2920">
          <cell r="C2920" t="str">
            <v>29475</v>
          </cell>
          <cell r="H2920">
            <v>136.21</v>
          </cell>
        </row>
        <row r="2921">
          <cell r="C2921" t="str">
            <v>29474</v>
          </cell>
          <cell r="H2921">
            <v>268.97000000000003</v>
          </cell>
        </row>
        <row r="2922">
          <cell r="C2922" t="str">
            <v>29473</v>
          </cell>
          <cell r="H2922">
            <v>957.76</v>
          </cell>
        </row>
        <row r="2923">
          <cell r="C2923" t="str">
            <v>29471</v>
          </cell>
          <cell r="H2923">
            <v>4206.8999999999996</v>
          </cell>
        </row>
        <row r="2924">
          <cell r="C2924" t="str">
            <v>29416</v>
          </cell>
          <cell r="H2924">
            <v>400.86</v>
          </cell>
        </row>
        <row r="2925">
          <cell r="C2925" t="str">
            <v>29405</v>
          </cell>
          <cell r="H2925">
            <v>132.76</v>
          </cell>
        </row>
        <row r="2926">
          <cell r="C2926" t="str">
            <v>29404</v>
          </cell>
          <cell r="H2926">
            <v>257.76</v>
          </cell>
        </row>
        <row r="2927">
          <cell r="C2927" t="str">
            <v>29403</v>
          </cell>
          <cell r="H2927">
            <v>915.52</v>
          </cell>
        </row>
        <row r="2928">
          <cell r="C2928" t="str">
            <v>29395</v>
          </cell>
          <cell r="H2928">
            <v>128.44999999999999</v>
          </cell>
        </row>
        <row r="2929">
          <cell r="C2929" t="str">
            <v>29394</v>
          </cell>
          <cell r="H2929">
            <v>243.97</v>
          </cell>
        </row>
        <row r="2930">
          <cell r="C2930" t="str">
            <v>29393</v>
          </cell>
          <cell r="H2930">
            <v>875.86</v>
          </cell>
        </row>
        <row r="2931">
          <cell r="C2931" t="str">
            <v>29391</v>
          </cell>
          <cell r="H2931">
            <v>3905.17</v>
          </cell>
        </row>
        <row r="2932">
          <cell r="C2932" t="str">
            <v>29385</v>
          </cell>
          <cell r="H2932">
            <v>128.44999999999999</v>
          </cell>
        </row>
        <row r="2933">
          <cell r="C2933" t="str">
            <v>29384</v>
          </cell>
          <cell r="H2933">
            <v>243.97</v>
          </cell>
        </row>
        <row r="2934">
          <cell r="C2934" t="str">
            <v>29383</v>
          </cell>
          <cell r="H2934">
            <v>875.86</v>
          </cell>
        </row>
        <row r="2935">
          <cell r="C2935" t="str">
            <v>29381</v>
          </cell>
          <cell r="H2935">
            <v>3905.17</v>
          </cell>
        </row>
        <row r="2936">
          <cell r="C2936" t="str">
            <v>29355</v>
          </cell>
          <cell r="H2936">
            <v>128.44999999999999</v>
          </cell>
        </row>
        <row r="2937">
          <cell r="C2937" t="str">
            <v>29354</v>
          </cell>
          <cell r="H2937">
            <v>243.97</v>
          </cell>
        </row>
        <row r="2938">
          <cell r="C2938" t="str">
            <v>29353</v>
          </cell>
          <cell r="H2938">
            <v>875.86</v>
          </cell>
        </row>
        <row r="2939">
          <cell r="C2939" t="str">
            <v>29351</v>
          </cell>
          <cell r="H2939">
            <v>3905.17</v>
          </cell>
        </row>
        <row r="2940">
          <cell r="C2940" t="str">
            <v>29334</v>
          </cell>
          <cell r="H2940">
            <v>336.21</v>
          </cell>
        </row>
        <row r="2941">
          <cell r="C2941" t="str">
            <v>29333</v>
          </cell>
          <cell r="H2941">
            <v>1123.28</v>
          </cell>
        </row>
        <row r="2942">
          <cell r="C2942" t="str">
            <v>29331</v>
          </cell>
          <cell r="H2942">
            <v>3783.62</v>
          </cell>
        </row>
        <row r="2943">
          <cell r="C2943" t="str">
            <v>29324</v>
          </cell>
          <cell r="H2943">
            <v>290.52</v>
          </cell>
        </row>
        <row r="2944">
          <cell r="C2944" t="str">
            <v>29323</v>
          </cell>
          <cell r="H2944">
            <v>1213.79</v>
          </cell>
        </row>
        <row r="2945">
          <cell r="C2945" t="str">
            <v>29321</v>
          </cell>
          <cell r="H2945">
            <v>5401.72</v>
          </cell>
        </row>
        <row r="2946">
          <cell r="C2946" t="str">
            <v>29314</v>
          </cell>
          <cell r="H2946">
            <v>243.97</v>
          </cell>
        </row>
        <row r="2947">
          <cell r="C2947" t="str">
            <v>29313</v>
          </cell>
          <cell r="H2947">
            <v>875.86</v>
          </cell>
        </row>
        <row r="2948">
          <cell r="C2948" t="str">
            <v>29311</v>
          </cell>
          <cell r="H2948">
            <v>3905.17</v>
          </cell>
        </row>
        <row r="2949">
          <cell r="C2949" t="str">
            <v>29305</v>
          </cell>
          <cell r="H2949">
            <v>128.44999999999999</v>
          </cell>
        </row>
        <row r="2950">
          <cell r="C2950" t="str">
            <v>29304</v>
          </cell>
          <cell r="H2950">
            <v>243.97</v>
          </cell>
        </row>
        <row r="2951">
          <cell r="C2951" t="str">
            <v>29303</v>
          </cell>
          <cell r="H2951">
            <v>875.86</v>
          </cell>
        </row>
        <row r="2952">
          <cell r="C2952" t="str">
            <v>29301</v>
          </cell>
          <cell r="H2952">
            <v>3905.17</v>
          </cell>
        </row>
        <row r="2953">
          <cell r="C2953" t="str">
            <v>29233</v>
          </cell>
          <cell r="H2953">
            <v>61.21</v>
          </cell>
        </row>
        <row r="2954">
          <cell r="C2954" t="str">
            <v>29225</v>
          </cell>
          <cell r="H2954">
            <v>9.48</v>
          </cell>
        </row>
        <row r="2955">
          <cell r="C2955" t="str">
            <v>29205</v>
          </cell>
          <cell r="H2955">
            <v>113.79</v>
          </cell>
        </row>
        <row r="2956">
          <cell r="C2956" t="str">
            <v>29203</v>
          </cell>
          <cell r="H2956">
            <v>706.9</v>
          </cell>
        </row>
        <row r="2957">
          <cell r="C2957" t="str">
            <v>29101</v>
          </cell>
          <cell r="H2957">
            <v>3732.76</v>
          </cell>
        </row>
        <row r="2958">
          <cell r="C2958" t="str">
            <v>29024</v>
          </cell>
          <cell r="H2958">
            <v>309.48</v>
          </cell>
        </row>
        <row r="2959">
          <cell r="C2959" t="str">
            <v>29014</v>
          </cell>
          <cell r="H2959">
            <v>137.07</v>
          </cell>
        </row>
        <row r="2960">
          <cell r="C2960" t="str">
            <v>29012</v>
          </cell>
          <cell r="H2960">
            <v>408.62</v>
          </cell>
        </row>
        <row r="2961">
          <cell r="C2961" t="str">
            <v>29004</v>
          </cell>
          <cell r="H2961">
            <v>137.07</v>
          </cell>
        </row>
        <row r="2962">
          <cell r="C2962" t="str">
            <v>29002</v>
          </cell>
          <cell r="H2962">
            <v>408.62</v>
          </cell>
        </row>
        <row r="2963">
          <cell r="C2963" t="str">
            <v>28985</v>
          </cell>
          <cell r="H2963">
            <v>90.52</v>
          </cell>
        </row>
        <row r="2964">
          <cell r="C2964" t="str">
            <v>28965</v>
          </cell>
          <cell r="H2964">
            <v>90.52</v>
          </cell>
        </row>
        <row r="2965">
          <cell r="C2965" t="str">
            <v>28946</v>
          </cell>
          <cell r="H2965">
            <v>56.03</v>
          </cell>
        </row>
        <row r="2966">
          <cell r="C2966" t="str">
            <v>28944</v>
          </cell>
          <cell r="H2966">
            <v>207.76</v>
          </cell>
        </row>
        <row r="2967">
          <cell r="C2967" t="str">
            <v>28943</v>
          </cell>
          <cell r="H2967">
            <v>812.93</v>
          </cell>
        </row>
        <row r="2968">
          <cell r="C2968" t="str">
            <v>28935</v>
          </cell>
          <cell r="H2968">
            <v>90.52</v>
          </cell>
        </row>
        <row r="2969">
          <cell r="C2969" t="str">
            <v>28915</v>
          </cell>
          <cell r="H2969">
            <v>59.48</v>
          </cell>
        </row>
        <row r="2970">
          <cell r="C2970" t="str">
            <v>28896</v>
          </cell>
          <cell r="H2970">
            <v>56.03</v>
          </cell>
        </row>
        <row r="2971">
          <cell r="C2971" t="str">
            <v>28894</v>
          </cell>
          <cell r="H2971">
            <v>207.76</v>
          </cell>
        </row>
        <row r="2972">
          <cell r="C2972" t="str">
            <v>28893</v>
          </cell>
          <cell r="H2972">
            <v>812.93</v>
          </cell>
        </row>
        <row r="2973">
          <cell r="C2973" t="str">
            <v>28886</v>
          </cell>
          <cell r="H2973">
            <v>56.03</v>
          </cell>
        </row>
        <row r="2974">
          <cell r="C2974" t="str">
            <v>28884</v>
          </cell>
          <cell r="H2974">
            <v>207.76</v>
          </cell>
        </row>
        <row r="2975">
          <cell r="C2975" t="str">
            <v>28883</v>
          </cell>
          <cell r="H2975">
            <v>812.93</v>
          </cell>
        </row>
        <row r="2976">
          <cell r="C2976" t="str">
            <v>28856</v>
          </cell>
          <cell r="H2976">
            <v>56.03</v>
          </cell>
        </row>
        <row r="2977">
          <cell r="C2977" t="str">
            <v>28854</v>
          </cell>
          <cell r="H2977">
            <v>207.76</v>
          </cell>
        </row>
        <row r="2978">
          <cell r="C2978" t="str">
            <v>28853</v>
          </cell>
          <cell r="H2978">
            <v>812.93</v>
          </cell>
        </row>
        <row r="2979">
          <cell r="C2979" t="str">
            <v>28846</v>
          </cell>
          <cell r="H2979">
            <v>56.03</v>
          </cell>
        </row>
        <row r="2980">
          <cell r="C2980" t="str">
            <v>28844</v>
          </cell>
          <cell r="H2980">
            <v>207.76</v>
          </cell>
        </row>
        <row r="2981">
          <cell r="C2981" t="str">
            <v>28843</v>
          </cell>
          <cell r="H2981">
            <v>812.93</v>
          </cell>
        </row>
        <row r="2982">
          <cell r="C2982" t="str">
            <v>28826</v>
          </cell>
          <cell r="H2982">
            <v>56.03</v>
          </cell>
        </row>
        <row r="2983">
          <cell r="C2983" t="str">
            <v>28824</v>
          </cell>
          <cell r="H2983">
            <v>207.76</v>
          </cell>
        </row>
        <row r="2984">
          <cell r="C2984" t="str">
            <v>28823</v>
          </cell>
          <cell r="H2984">
            <v>812.93</v>
          </cell>
        </row>
        <row r="2985">
          <cell r="C2985" t="str">
            <v>28775</v>
          </cell>
          <cell r="H2985">
            <v>90.52</v>
          </cell>
        </row>
        <row r="2986">
          <cell r="C2986" t="str">
            <v>28715</v>
          </cell>
          <cell r="H2986">
            <v>90.52</v>
          </cell>
        </row>
        <row r="2987">
          <cell r="C2987" t="str">
            <v>28665</v>
          </cell>
          <cell r="H2987">
            <v>90.52</v>
          </cell>
        </row>
        <row r="2988">
          <cell r="C2988" t="str">
            <v>28655</v>
          </cell>
          <cell r="H2988">
            <v>90.52</v>
          </cell>
        </row>
        <row r="2989">
          <cell r="C2989" t="str">
            <v>28645</v>
          </cell>
          <cell r="H2989">
            <v>90.52</v>
          </cell>
        </row>
        <row r="2990">
          <cell r="C2990" t="str">
            <v>28635</v>
          </cell>
          <cell r="H2990">
            <v>90.52</v>
          </cell>
        </row>
        <row r="2991">
          <cell r="C2991" t="str">
            <v>28585</v>
          </cell>
          <cell r="H2991">
            <v>90.52</v>
          </cell>
        </row>
        <row r="2992">
          <cell r="C2992" t="str">
            <v>28575</v>
          </cell>
          <cell r="H2992">
            <v>90.52</v>
          </cell>
        </row>
        <row r="2993">
          <cell r="C2993" t="str">
            <v>28565</v>
          </cell>
          <cell r="H2993">
            <v>90.52</v>
          </cell>
        </row>
        <row r="2994">
          <cell r="C2994" t="str">
            <v>28455</v>
          </cell>
          <cell r="H2994">
            <v>90.52</v>
          </cell>
        </row>
        <row r="2995">
          <cell r="C2995" t="str">
            <v>28355</v>
          </cell>
          <cell r="H2995">
            <v>90.52</v>
          </cell>
        </row>
        <row r="2996">
          <cell r="C2996" t="str">
            <v>28305</v>
          </cell>
          <cell r="H2996">
            <v>90.52</v>
          </cell>
        </row>
        <row r="2997">
          <cell r="C2997" t="str">
            <v>28265</v>
          </cell>
          <cell r="H2997">
            <v>90.52</v>
          </cell>
        </row>
        <row r="2998">
          <cell r="C2998" t="str">
            <v>28215</v>
          </cell>
          <cell r="H2998">
            <v>90.52</v>
          </cell>
        </row>
        <row r="2999">
          <cell r="C2999" t="str">
            <v>28155</v>
          </cell>
          <cell r="H2999">
            <v>90.52</v>
          </cell>
        </row>
        <row r="3000">
          <cell r="C3000" t="str">
            <v>28135</v>
          </cell>
          <cell r="H3000">
            <v>90.52</v>
          </cell>
        </row>
        <row r="3001">
          <cell r="C3001" t="str">
            <v>28105</v>
          </cell>
          <cell r="H3001">
            <v>90.52</v>
          </cell>
        </row>
        <row r="3002">
          <cell r="C3002" t="str">
            <v>28035</v>
          </cell>
          <cell r="H3002">
            <v>90.52</v>
          </cell>
        </row>
        <row r="3003">
          <cell r="C3003" t="str">
            <v>28015</v>
          </cell>
          <cell r="H3003">
            <v>90.52</v>
          </cell>
        </row>
        <row r="3004">
          <cell r="C3004" t="str">
            <v>28005</v>
          </cell>
          <cell r="H3004">
            <v>90.52</v>
          </cell>
        </row>
        <row r="3005">
          <cell r="C3005" t="str">
            <v>27814</v>
          </cell>
          <cell r="H3005">
            <v>85.34</v>
          </cell>
        </row>
        <row r="3006">
          <cell r="C3006" t="str">
            <v>25993</v>
          </cell>
          <cell r="H3006">
            <v>1149.1400000000001</v>
          </cell>
        </row>
        <row r="3007">
          <cell r="C3007" t="str">
            <v>25991</v>
          </cell>
          <cell r="H3007">
            <v>5137.93</v>
          </cell>
        </row>
        <row r="3008">
          <cell r="C3008" t="str">
            <v>25983</v>
          </cell>
          <cell r="H3008">
            <v>1396.55</v>
          </cell>
        </row>
        <row r="3009">
          <cell r="C3009" t="str">
            <v>25963</v>
          </cell>
          <cell r="H3009">
            <v>1396.55</v>
          </cell>
        </row>
        <row r="3010">
          <cell r="C3010" t="str">
            <v>25943</v>
          </cell>
          <cell r="H3010">
            <v>1396.55</v>
          </cell>
        </row>
        <row r="3011">
          <cell r="C3011" t="str">
            <v>25933</v>
          </cell>
          <cell r="H3011">
            <v>1396.55</v>
          </cell>
        </row>
        <row r="3012">
          <cell r="C3012" t="str">
            <v>25931</v>
          </cell>
          <cell r="H3012">
            <v>5368.97</v>
          </cell>
        </row>
        <row r="3013">
          <cell r="C3013" t="str">
            <v>25923</v>
          </cell>
          <cell r="H3013">
            <v>1149.1400000000001</v>
          </cell>
        </row>
        <row r="3014">
          <cell r="C3014" t="str">
            <v>25913</v>
          </cell>
          <cell r="H3014">
            <v>1396.55</v>
          </cell>
        </row>
        <row r="3015">
          <cell r="C3015" t="str">
            <v>25803</v>
          </cell>
          <cell r="H3015">
            <v>1149.1400000000001</v>
          </cell>
        </row>
        <row r="3016">
          <cell r="C3016" t="str">
            <v>25801</v>
          </cell>
          <cell r="H3016">
            <v>4275</v>
          </cell>
        </row>
        <row r="3017">
          <cell r="C3017" t="str">
            <v>25753</v>
          </cell>
          <cell r="H3017">
            <v>1149.1400000000001</v>
          </cell>
        </row>
        <row r="3018">
          <cell r="C3018" t="str">
            <v>25734</v>
          </cell>
          <cell r="H3018">
            <v>2308.62</v>
          </cell>
        </row>
        <row r="3019">
          <cell r="C3019" t="str">
            <v>25693</v>
          </cell>
          <cell r="H3019">
            <v>1396.55</v>
          </cell>
        </row>
        <row r="3020">
          <cell r="C3020" t="str">
            <v>25683</v>
          </cell>
          <cell r="H3020">
            <v>1149.1400000000001</v>
          </cell>
        </row>
        <row r="3021">
          <cell r="C3021" t="str">
            <v>25673</v>
          </cell>
          <cell r="H3021">
            <v>1990.52</v>
          </cell>
        </row>
        <row r="3022">
          <cell r="C3022" t="str">
            <v>25653</v>
          </cell>
          <cell r="H3022">
            <v>1149.1400000000001</v>
          </cell>
        </row>
        <row r="3023">
          <cell r="C3023" t="str">
            <v>25643</v>
          </cell>
          <cell r="H3023">
            <v>1396.55</v>
          </cell>
        </row>
        <row r="3024">
          <cell r="C3024" t="str">
            <v>25634</v>
          </cell>
          <cell r="H3024">
            <v>2020.69</v>
          </cell>
        </row>
        <row r="3025">
          <cell r="C3025" t="str">
            <v>25563</v>
          </cell>
          <cell r="H3025">
            <v>1149.1400000000001</v>
          </cell>
        </row>
        <row r="3026">
          <cell r="C3026" t="str">
            <v>25534</v>
          </cell>
          <cell r="H3026">
            <v>1395.69</v>
          </cell>
        </row>
        <row r="3027">
          <cell r="C3027" t="str">
            <v>25483</v>
          </cell>
          <cell r="H3027">
            <v>1396.55</v>
          </cell>
        </row>
        <row r="3028">
          <cell r="C3028" t="str">
            <v>25473</v>
          </cell>
          <cell r="H3028">
            <v>1990.52</v>
          </cell>
        </row>
        <row r="3029">
          <cell r="C3029" t="str">
            <v>25453</v>
          </cell>
          <cell r="H3029">
            <v>1990.52</v>
          </cell>
        </row>
        <row r="3030">
          <cell r="C3030" t="str">
            <v>25443</v>
          </cell>
          <cell r="H3030">
            <v>1396.55</v>
          </cell>
        </row>
        <row r="3031">
          <cell r="C3031" t="str">
            <v>25433</v>
          </cell>
          <cell r="H3031">
            <v>1990.52</v>
          </cell>
        </row>
        <row r="3032">
          <cell r="C3032" t="str">
            <v>25353</v>
          </cell>
          <cell r="H3032">
            <v>1396.55</v>
          </cell>
        </row>
        <row r="3033">
          <cell r="C3033" t="str">
            <v>25263</v>
          </cell>
          <cell r="H3033">
            <v>1149.1400000000001</v>
          </cell>
        </row>
        <row r="3034">
          <cell r="C3034" t="str">
            <v>25193</v>
          </cell>
          <cell r="H3034">
            <v>1990.52</v>
          </cell>
        </row>
        <row r="3035">
          <cell r="C3035" t="str">
            <v>25183</v>
          </cell>
          <cell r="H3035">
            <v>1149.1400000000001</v>
          </cell>
        </row>
        <row r="3036">
          <cell r="C3036" t="str">
            <v>25153</v>
          </cell>
          <cell r="H3036">
            <v>1149.1400000000001</v>
          </cell>
        </row>
        <row r="3037">
          <cell r="C3037" t="str">
            <v>25151</v>
          </cell>
          <cell r="H3037">
            <v>5494.83</v>
          </cell>
        </row>
        <row r="3038">
          <cell r="C3038" t="str">
            <v>25133</v>
          </cell>
          <cell r="H3038">
            <v>1396.55</v>
          </cell>
        </row>
        <row r="3039">
          <cell r="C3039" t="str">
            <v>25003</v>
          </cell>
          <cell r="H3039">
            <v>1149.1400000000001</v>
          </cell>
        </row>
        <row r="3040">
          <cell r="C3040" t="str">
            <v>25001</v>
          </cell>
          <cell r="H3040">
            <v>5137.93</v>
          </cell>
        </row>
        <row r="3041">
          <cell r="C3041" t="str">
            <v>24007</v>
          </cell>
          <cell r="H3041">
            <v>55.17</v>
          </cell>
        </row>
        <row r="3042">
          <cell r="C3042" t="str">
            <v>24006</v>
          </cell>
          <cell r="H3042">
            <v>68.099999999999994</v>
          </cell>
        </row>
        <row r="3043">
          <cell r="C3043" t="str">
            <v>24005</v>
          </cell>
          <cell r="H3043">
            <v>95.69</v>
          </cell>
        </row>
        <row r="3044">
          <cell r="C3044" t="str">
            <v>22770</v>
          </cell>
          <cell r="H3044">
            <v>31414.66</v>
          </cell>
        </row>
        <row r="3045">
          <cell r="C3045" t="str">
            <v>22640</v>
          </cell>
          <cell r="H3045">
            <v>30726.720000000001</v>
          </cell>
        </row>
        <row r="3046">
          <cell r="C3046" t="str">
            <v>22560</v>
          </cell>
          <cell r="H3046">
            <v>30901.72</v>
          </cell>
        </row>
        <row r="3047">
          <cell r="C3047" t="str">
            <v>22450</v>
          </cell>
          <cell r="H3047">
            <v>29550</v>
          </cell>
        </row>
        <row r="3048">
          <cell r="C3048" t="str">
            <v>22350</v>
          </cell>
          <cell r="H3048">
            <v>30726.720000000001</v>
          </cell>
        </row>
        <row r="3049">
          <cell r="C3049" t="str">
            <v>22000</v>
          </cell>
          <cell r="H3049">
            <v>29990.52</v>
          </cell>
        </row>
        <row r="3050">
          <cell r="C3050" t="str">
            <v>21996</v>
          </cell>
          <cell r="H3050">
            <v>80.17</v>
          </cell>
        </row>
        <row r="3051">
          <cell r="C3051" t="str">
            <v>21994</v>
          </cell>
          <cell r="H3051">
            <v>257.76</v>
          </cell>
        </row>
        <row r="3052">
          <cell r="C3052" t="str">
            <v>21993</v>
          </cell>
          <cell r="H3052">
            <v>917.24</v>
          </cell>
        </row>
        <row r="3053">
          <cell r="C3053" t="str">
            <v>21991</v>
          </cell>
          <cell r="H3053">
            <v>3890.52</v>
          </cell>
        </row>
        <row r="3054">
          <cell r="C3054" t="str">
            <v>21986</v>
          </cell>
          <cell r="H3054">
            <v>80.17</v>
          </cell>
        </row>
        <row r="3055">
          <cell r="C3055" t="str">
            <v>21984</v>
          </cell>
          <cell r="H3055">
            <v>257.76</v>
          </cell>
        </row>
        <row r="3056">
          <cell r="C3056" t="str">
            <v>21983</v>
          </cell>
          <cell r="H3056">
            <v>917.24</v>
          </cell>
        </row>
        <row r="3057">
          <cell r="C3057" t="str">
            <v>21981</v>
          </cell>
          <cell r="H3057">
            <v>3890.52</v>
          </cell>
        </row>
        <row r="3058">
          <cell r="C3058" t="str">
            <v>21933</v>
          </cell>
          <cell r="H3058">
            <v>1590.52</v>
          </cell>
        </row>
        <row r="3059">
          <cell r="C3059" t="str">
            <v>21931</v>
          </cell>
          <cell r="H3059">
            <v>7043.97</v>
          </cell>
        </row>
        <row r="3060">
          <cell r="C3060" t="str">
            <v>21926</v>
          </cell>
          <cell r="H3060">
            <v>80.17</v>
          </cell>
        </row>
        <row r="3061">
          <cell r="C3061" t="str">
            <v>21924</v>
          </cell>
          <cell r="H3061">
            <v>257.76</v>
          </cell>
        </row>
        <row r="3062">
          <cell r="C3062" t="str">
            <v>21923</v>
          </cell>
          <cell r="H3062">
            <v>917.24</v>
          </cell>
        </row>
        <row r="3063">
          <cell r="C3063" t="str">
            <v>21921</v>
          </cell>
          <cell r="H3063">
            <v>3890.52</v>
          </cell>
        </row>
        <row r="3064">
          <cell r="C3064" t="str">
            <v>21920</v>
          </cell>
          <cell r="H3064">
            <v>38324.14</v>
          </cell>
        </row>
        <row r="3065">
          <cell r="C3065" t="str">
            <v>21916</v>
          </cell>
          <cell r="H3065">
            <v>180.17</v>
          </cell>
        </row>
        <row r="3066">
          <cell r="C3066" t="str">
            <v>21914</v>
          </cell>
          <cell r="H3066">
            <v>489.66</v>
          </cell>
        </row>
        <row r="3067">
          <cell r="C3067" t="str">
            <v>21913</v>
          </cell>
          <cell r="H3067">
            <v>1754.31</v>
          </cell>
        </row>
        <row r="3068">
          <cell r="C3068" t="str">
            <v>21904</v>
          </cell>
          <cell r="H3068">
            <v>257.76</v>
          </cell>
        </row>
        <row r="3069">
          <cell r="C3069" t="str">
            <v>21903</v>
          </cell>
          <cell r="H3069">
            <v>917.24</v>
          </cell>
        </row>
        <row r="3070">
          <cell r="C3070" t="str">
            <v>21901</v>
          </cell>
          <cell r="H3070">
            <v>3890.52</v>
          </cell>
        </row>
        <row r="3071">
          <cell r="C3071" t="str">
            <v>21776</v>
          </cell>
          <cell r="H3071">
            <v>80.17</v>
          </cell>
        </row>
        <row r="3072">
          <cell r="C3072" t="str">
            <v>21774</v>
          </cell>
          <cell r="H3072">
            <v>257.76</v>
          </cell>
        </row>
        <row r="3073">
          <cell r="C3073" t="str">
            <v>21773</v>
          </cell>
          <cell r="H3073">
            <v>917.24</v>
          </cell>
        </row>
        <row r="3074">
          <cell r="C3074" t="str">
            <v>21771</v>
          </cell>
          <cell r="H3074">
            <v>3498.28</v>
          </cell>
        </row>
        <row r="3075">
          <cell r="C3075" t="str">
            <v>21716</v>
          </cell>
          <cell r="H3075">
            <v>72.41</v>
          </cell>
        </row>
        <row r="3076">
          <cell r="C3076" t="str">
            <v>21656</v>
          </cell>
          <cell r="H3076">
            <v>72.41</v>
          </cell>
        </row>
        <row r="3077">
          <cell r="C3077" t="str">
            <v>21654</v>
          </cell>
          <cell r="H3077">
            <v>257.76</v>
          </cell>
        </row>
        <row r="3078">
          <cell r="C3078" t="str">
            <v>21653</v>
          </cell>
          <cell r="H3078">
            <v>917.24</v>
          </cell>
        </row>
        <row r="3079">
          <cell r="C3079" t="str">
            <v>21644</v>
          </cell>
          <cell r="H3079">
            <v>257.76</v>
          </cell>
        </row>
        <row r="3080">
          <cell r="C3080" t="str">
            <v>21643</v>
          </cell>
          <cell r="H3080">
            <v>917.24</v>
          </cell>
        </row>
        <row r="3081">
          <cell r="C3081" t="str">
            <v>21641</v>
          </cell>
          <cell r="H3081">
            <v>3890.52</v>
          </cell>
        </row>
        <row r="3082">
          <cell r="C3082" t="str">
            <v>21586</v>
          </cell>
          <cell r="H3082">
            <v>80.17</v>
          </cell>
        </row>
        <row r="3083">
          <cell r="C3083" t="str">
            <v>21584</v>
          </cell>
          <cell r="H3083">
            <v>257.76</v>
          </cell>
        </row>
        <row r="3084">
          <cell r="C3084" t="str">
            <v>21583</v>
          </cell>
          <cell r="H3084">
            <v>917.24</v>
          </cell>
        </row>
        <row r="3085">
          <cell r="C3085" t="str">
            <v>21581</v>
          </cell>
          <cell r="H3085">
            <v>3890.52</v>
          </cell>
        </row>
        <row r="3086">
          <cell r="C3086" t="str">
            <v>21576</v>
          </cell>
          <cell r="H3086">
            <v>80.17</v>
          </cell>
        </row>
        <row r="3087">
          <cell r="C3087" t="str">
            <v>21574</v>
          </cell>
          <cell r="H3087">
            <v>257.76</v>
          </cell>
        </row>
        <row r="3088">
          <cell r="C3088" t="str">
            <v>21573</v>
          </cell>
          <cell r="H3088">
            <v>917.24</v>
          </cell>
        </row>
        <row r="3089">
          <cell r="C3089" t="str">
            <v>21564</v>
          </cell>
          <cell r="H3089">
            <v>257.76</v>
          </cell>
        </row>
        <row r="3090">
          <cell r="C3090" t="str">
            <v>21563</v>
          </cell>
          <cell r="H3090">
            <v>917.24</v>
          </cell>
        </row>
        <row r="3091">
          <cell r="C3091" t="str">
            <v>21494</v>
          </cell>
          <cell r="H3091">
            <v>489.66</v>
          </cell>
        </row>
        <row r="3092">
          <cell r="C3092" t="str">
            <v>21493</v>
          </cell>
          <cell r="H3092">
            <v>1754.31</v>
          </cell>
        </row>
        <row r="3093">
          <cell r="C3093" t="str">
            <v>28495</v>
          </cell>
          <cell r="H3093">
            <v>91.38</v>
          </cell>
        </row>
        <row r="3094">
          <cell r="C3094" t="str">
            <v>28445</v>
          </cell>
          <cell r="H3094">
            <v>90.52</v>
          </cell>
        </row>
        <row r="3095">
          <cell r="C3095" t="str">
            <v>22996</v>
          </cell>
          <cell r="H3095">
            <v>57.76</v>
          </cell>
        </row>
        <row r="3096">
          <cell r="C3096" t="str">
            <v>22995</v>
          </cell>
          <cell r="H3096">
            <v>105.17</v>
          </cell>
        </row>
        <row r="3097">
          <cell r="C3097" t="str">
            <v>22991</v>
          </cell>
          <cell r="H3097">
            <v>2845.69</v>
          </cell>
        </row>
        <row r="3098">
          <cell r="C3098" t="str">
            <v>22936</v>
          </cell>
          <cell r="H3098">
            <v>57.76</v>
          </cell>
        </row>
        <row r="3099">
          <cell r="C3099" t="str">
            <v>22934</v>
          </cell>
          <cell r="H3099">
            <v>187.93</v>
          </cell>
        </row>
        <row r="3100">
          <cell r="C3100" t="str">
            <v>22933</v>
          </cell>
          <cell r="H3100">
            <v>671.55</v>
          </cell>
        </row>
        <row r="3101">
          <cell r="C3101" t="str">
            <v>22931</v>
          </cell>
          <cell r="H3101">
            <v>2845.69</v>
          </cell>
        </row>
        <row r="3102">
          <cell r="C3102" t="str">
            <v>22776</v>
          </cell>
          <cell r="H3102">
            <v>57.76</v>
          </cell>
        </row>
        <row r="3103">
          <cell r="C3103" t="str">
            <v>22774</v>
          </cell>
          <cell r="H3103">
            <v>187.93</v>
          </cell>
        </row>
        <row r="3104">
          <cell r="C3104" t="str">
            <v>22773</v>
          </cell>
          <cell r="H3104">
            <v>671.55</v>
          </cell>
        </row>
        <row r="3105">
          <cell r="C3105" t="str">
            <v>22771</v>
          </cell>
          <cell r="H3105">
            <v>2845.69</v>
          </cell>
        </row>
        <row r="3106">
          <cell r="C3106" t="str">
            <v>22756</v>
          </cell>
          <cell r="H3106">
            <v>57.76</v>
          </cell>
        </row>
        <row r="3107">
          <cell r="C3107" t="str">
            <v>22754</v>
          </cell>
          <cell r="H3107">
            <v>187.93</v>
          </cell>
        </row>
        <row r="3108">
          <cell r="C3108" t="str">
            <v>22753</v>
          </cell>
          <cell r="H3108">
            <v>671.55</v>
          </cell>
        </row>
        <row r="3109">
          <cell r="C3109" t="str">
            <v>22751</v>
          </cell>
          <cell r="H3109">
            <v>2845.69</v>
          </cell>
        </row>
        <row r="3110">
          <cell r="C3110" t="str">
            <v>22666</v>
          </cell>
          <cell r="H3110">
            <v>57.76</v>
          </cell>
        </row>
        <row r="3111">
          <cell r="C3111" t="str">
            <v>22664</v>
          </cell>
          <cell r="H3111">
            <v>187.93</v>
          </cell>
        </row>
        <row r="3112">
          <cell r="C3112" t="str">
            <v>22663</v>
          </cell>
          <cell r="H3112">
            <v>671.55</v>
          </cell>
        </row>
        <row r="3113">
          <cell r="C3113" t="str">
            <v>22661</v>
          </cell>
          <cell r="H3113">
            <v>2845.69</v>
          </cell>
        </row>
        <row r="3114">
          <cell r="C3114" t="str">
            <v>22656</v>
          </cell>
          <cell r="H3114">
            <v>57.76</v>
          </cell>
        </row>
        <row r="3115">
          <cell r="C3115" t="str">
            <v>22654</v>
          </cell>
          <cell r="H3115">
            <v>187.93</v>
          </cell>
        </row>
        <row r="3116">
          <cell r="C3116" t="str">
            <v>22653</v>
          </cell>
          <cell r="H3116">
            <v>671.55</v>
          </cell>
        </row>
        <row r="3117">
          <cell r="C3117" t="str">
            <v>22651</v>
          </cell>
          <cell r="H3117">
            <v>2845.69</v>
          </cell>
        </row>
        <row r="3118">
          <cell r="C3118" t="str">
            <v>22646</v>
          </cell>
          <cell r="H3118">
            <v>57.76</v>
          </cell>
        </row>
        <row r="3119">
          <cell r="C3119" t="str">
            <v>22644</v>
          </cell>
          <cell r="H3119">
            <v>187.93</v>
          </cell>
        </row>
        <row r="3120">
          <cell r="C3120" t="str">
            <v>22643</v>
          </cell>
          <cell r="H3120">
            <v>671.55</v>
          </cell>
        </row>
        <row r="3121">
          <cell r="C3121" t="str">
            <v>22641</v>
          </cell>
          <cell r="H3121">
            <v>2845.69</v>
          </cell>
        </row>
        <row r="3122">
          <cell r="C3122" t="str">
            <v>22636</v>
          </cell>
          <cell r="H3122">
            <v>57.76</v>
          </cell>
        </row>
        <row r="3123">
          <cell r="C3123" t="str">
            <v>22634</v>
          </cell>
          <cell r="H3123">
            <v>187.93</v>
          </cell>
        </row>
        <row r="3124">
          <cell r="C3124" t="str">
            <v>22633</v>
          </cell>
          <cell r="H3124">
            <v>671.55</v>
          </cell>
        </row>
        <row r="3125">
          <cell r="C3125" t="str">
            <v>22631</v>
          </cell>
          <cell r="H3125">
            <v>2845.69</v>
          </cell>
        </row>
        <row r="3126">
          <cell r="C3126" t="str">
            <v>22586</v>
          </cell>
          <cell r="H3126">
            <v>57.76</v>
          </cell>
        </row>
        <row r="3127">
          <cell r="C3127" t="str">
            <v>22584</v>
          </cell>
          <cell r="H3127">
            <v>187.93</v>
          </cell>
        </row>
        <row r="3128">
          <cell r="C3128" t="str">
            <v>22583</v>
          </cell>
          <cell r="H3128">
            <v>671.55</v>
          </cell>
        </row>
        <row r="3129">
          <cell r="C3129" t="str">
            <v>22581</v>
          </cell>
          <cell r="H3129">
            <v>2845.69</v>
          </cell>
        </row>
        <row r="3130">
          <cell r="C3130" t="str">
            <v>22566</v>
          </cell>
          <cell r="H3130">
            <v>57.76</v>
          </cell>
        </row>
        <row r="3131">
          <cell r="C3131" t="str">
            <v>22564</v>
          </cell>
          <cell r="H3131">
            <v>187.93</v>
          </cell>
        </row>
        <row r="3132">
          <cell r="C3132" t="str">
            <v>22563</v>
          </cell>
          <cell r="H3132">
            <v>671.55</v>
          </cell>
        </row>
        <row r="3133">
          <cell r="C3133" t="str">
            <v>22561</v>
          </cell>
          <cell r="H3133">
            <v>2845.69</v>
          </cell>
        </row>
        <row r="3134">
          <cell r="C3134" t="str">
            <v>22456</v>
          </cell>
          <cell r="H3134">
            <v>57.76</v>
          </cell>
        </row>
        <row r="3135">
          <cell r="C3135" t="str">
            <v>22454</v>
          </cell>
          <cell r="H3135">
            <v>187.93</v>
          </cell>
        </row>
        <row r="3136">
          <cell r="C3136" t="str">
            <v>22453</v>
          </cell>
          <cell r="H3136">
            <v>671.55</v>
          </cell>
        </row>
        <row r="3137">
          <cell r="C3137" t="str">
            <v>22451</v>
          </cell>
          <cell r="H3137">
            <v>2845.69</v>
          </cell>
        </row>
        <row r="3138">
          <cell r="C3138" t="str">
            <v>22446</v>
          </cell>
          <cell r="H3138">
            <v>61.21</v>
          </cell>
        </row>
        <row r="3139">
          <cell r="C3139" t="str">
            <v>22444</v>
          </cell>
          <cell r="H3139">
            <v>196.55</v>
          </cell>
        </row>
        <row r="3140">
          <cell r="C3140" t="str">
            <v>22443</v>
          </cell>
          <cell r="H3140">
            <v>699.14</v>
          </cell>
        </row>
        <row r="3141">
          <cell r="C3141" t="str">
            <v>22356</v>
          </cell>
          <cell r="H3141">
            <v>57.76</v>
          </cell>
        </row>
        <row r="3142">
          <cell r="C3142" t="str">
            <v>22354</v>
          </cell>
          <cell r="H3142">
            <v>187.93</v>
          </cell>
        </row>
        <row r="3143">
          <cell r="C3143" t="str">
            <v>22353</v>
          </cell>
          <cell r="H3143">
            <v>671.55</v>
          </cell>
        </row>
        <row r="3144">
          <cell r="C3144" t="str">
            <v>22351</v>
          </cell>
          <cell r="H3144">
            <v>2845.69</v>
          </cell>
        </row>
        <row r="3145">
          <cell r="C3145" t="str">
            <v>22266</v>
          </cell>
          <cell r="H3145">
            <v>57.76</v>
          </cell>
        </row>
        <row r="3146">
          <cell r="C3146" t="str">
            <v>22264</v>
          </cell>
          <cell r="H3146">
            <v>187.93</v>
          </cell>
        </row>
        <row r="3147">
          <cell r="C3147" t="str">
            <v>22263</v>
          </cell>
          <cell r="H3147">
            <v>671.55</v>
          </cell>
        </row>
        <row r="3148">
          <cell r="C3148" t="str">
            <v>22261</v>
          </cell>
          <cell r="H3148">
            <v>2845.69</v>
          </cell>
        </row>
        <row r="3149">
          <cell r="C3149" t="str">
            <v>22216</v>
          </cell>
          <cell r="H3149">
            <v>57.76</v>
          </cell>
        </row>
        <row r="3150">
          <cell r="C3150" t="str">
            <v>22214</v>
          </cell>
          <cell r="H3150">
            <v>187.93</v>
          </cell>
        </row>
        <row r="3151">
          <cell r="C3151" t="str">
            <v>22213</v>
          </cell>
          <cell r="H3151">
            <v>671.55</v>
          </cell>
        </row>
        <row r="3152">
          <cell r="C3152" t="str">
            <v>22211</v>
          </cell>
          <cell r="H3152">
            <v>2845.69</v>
          </cell>
        </row>
        <row r="3153">
          <cell r="C3153" t="str">
            <v>22156</v>
          </cell>
          <cell r="H3153">
            <v>57.76</v>
          </cell>
        </row>
        <row r="3154">
          <cell r="C3154" t="str">
            <v>22154</v>
          </cell>
          <cell r="H3154">
            <v>187.93</v>
          </cell>
        </row>
        <row r="3155">
          <cell r="C3155" t="str">
            <v>22153</v>
          </cell>
          <cell r="H3155">
            <v>671.55</v>
          </cell>
        </row>
        <row r="3156">
          <cell r="C3156" t="str">
            <v>22151</v>
          </cell>
          <cell r="H3156">
            <v>2845.69</v>
          </cell>
        </row>
        <row r="3157">
          <cell r="C3157" t="str">
            <v>22150</v>
          </cell>
          <cell r="H3157">
            <v>28993.97</v>
          </cell>
        </row>
        <row r="3158">
          <cell r="C3158" t="str">
            <v>22006</v>
          </cell>
          <cell r="H3158">
            <v>57.76</v>
          </cell>
        </row>
        <row r="3159">
          <cell r="C3159" t="str">
            <v>22005</v>
          </cell>
          <cell r="H3159">
            <v>105.17</v>
          </cell>
        </row>
        <row r="3160">
          <cell r="C3160" t="str">
            <v>22004</v>
          </cell>
          <cell r="H3160">
            <v>187.93</v>
          </cell>
        </row>
        <row r="3161">
          <cell r="C3161" t="str">
            <v>22001</v>
          </cell>
          <cell r="H3161">
            <v>2845.69</v>
          </cell>
        </row>
        <row r="3162">
          <cell r="C3162" t="str">
            <v>29515</v>
          </cell>
          <cell r="H3162">
            <v>280.17</v>
          </cell>
        </row>
        <row r="3163">
          <cell r="C3163" t="str">
            <v>29513</v>
          </cell>
          <cell r="H3163">
            <v>2156.9</v>
          </cell>
        </row>
        <row r="3164">
          <cell r="C3164" t="str">
            <v>29284</v>
          </cell>
          <cell r="H3164">
            <v>39.659999999999997</v>
          </cell>
        </row>
        <row r="3165">
          <cell r="C3165" t="str">
            <v>29273</v>
          </cell>
          <cell r="H3165">
            <v>111.21</v>
          </cell>
        </row>
        <row r="3166">
          <cell r="C3166" t="str">
            <v>29104</v>
          </cell>
          <cell r="H3166">
            <v>229.31</v>
          </cell>
        </row>
        <row r="3167">
          <cell r="C3167" t="str">
            <v>29244</v>
          </cell>
          <cell r="H3167">
            <v>38.79</v>
          </cell>
        </row>
        <row r="3168">
          <cell r="C3168" t="str">
            <v>28825</v>
          </cell>
          <cell r="H3168">
            <v>189.66</v>
          </cell>
        </row>
        <row r="3169">
          <cell r="C3169" t="str">
            <v>28353</v>
          </cell>
          <cell r="H3169">
            <v>533.62</v>
          </cell>
        </row>
        <row r="3170">
          <cell r="C3170" t="str">
            <v>28351</v>
          </cell>
          <cell r="H3170">
            <v>2311.21</v>
          </cell>
        </row>
        <row r="3171">
          <cell r="C3171" t="str">
            <v>28306</v>
          </cell>
          <cell r="H3171">
            <v>58.62</v>
          </cell>
        </row>
        <row r="3172">
          <cell r="C3172" t="str">
            <v>28304</v>
          </cell>
          <cell r="H3172">
            <v>150.86000000000001</v>
          </cell>
        </row>
        <row r="3173">
          <cell r="C3173" t="str">
            <v>28303</v>
          </cell>
          <cell r="H3173">
            <v>533.62</v>
          </cell>
        </row>
        <row r="3174">
          <cell r="C3174" t="str">
            <v>28266</v>
          </cell>
          <cell r="H3174">
            <v>58.62</v>
          </cell>
        </row>
        <row r="3175">
          <cell r="C3175" t="str">
            <v>28264</v>
          </cell>
          <cell r="H3175">
            <v>150.86000000000001</v>
          </cell>
        </row>
        <row r="3176">
          <cell r="C3176" t="str">
            <v>28263</v>
          </cell>
          <cell r="H3176">
            <v>533.62</v>
          </cell>
        </row>
        <row r="3177">
          <cell r="C3177" t="str">
            <v>28216</v>
          </cell>
          <cell r="H3177">
            <v>58.62</v>
          </cell>
        </row>
        <row r="3178">
          <cell r="C3178" t="str">
            <v>28214</v>
          </cell>
          <cell r="H3178">
            <v>150.86000000000001</v>
          </cell>
        </row>
        <row r="3179">
          <cell r="C3179" t="str">
            <v>28213</v>
          </cell>
          <cell r="H3179">
            <v>533.62</v>
          </cell>
        </row>
        <row r="3180">
          <cell r="C3180" t="str">
            <v>28156</v>
          </cell>
          <cell r="H3180">
            <v>58.62</v>
          </cell>
        </row>
        <row r="3181">
          <cell r="C3181" t="str">
            <v>28154</v>
          </cell>
          <cell r="H3181">
            <v>150.86000000000001</v>
          </cell>
        </row>
        <row r="3182">
          <cell r="C3182" t="str">
            <v>28153</v>
          </cell>
          <cell r="H3182">
            <v>533.62</v>
          </cell>
        </row>
        <row r="3183">
          <cell r="C3183" t="str">
            <v>28151</v>
          </cell>
          <cell r="H3183">
            <v>2311.21</v>
          </cell>
        </row>
        <row r="3184">
          <cell r="C3184" t="str">
            <v>28136</v>
          </cell>
          <cell r="H3184">
            <v>58.62</v>
          </cell>
        </row>
        <row r="3185">
          <cell r="C3185" t="str">
            <v>28134</v>
          </cell>
          <cell r="H3185">
            <v>150.86000000000001</v>
          </cell>
        </row>
        <row r="3186">
          <cell r="C3186" t="str">
            <v>28133</v>
          </cell>
          <cell r="H3186">
            <v>533.62</v>
          </cell>
        </row>
        <row r="3187">
          <cell r="C3187" t="str">
            <v>28106</v>
          </cell>
          <cell r="H3187">
            <v>58.62</v>
          </cell>
        </row>
        <row r="3188">
          <cell r="C3188" t="str">
            <v>28104</v>
          </cell>
          <cell r="H3188">
            <v>150.86000000000001</v>
          </cell>
        </row>
        <row r="3189">
          <cell r="C3189" t="str">
            <v>28103</v>
          </cell>
          <cell r="H3189">
            <v>533.62</v>
          </cell>
        </row>
        <row r="3190">
          <cell r="C3190" t="str">
            <v>28101</v>
          </cell>
          <cell r="H3190">
            <v>2311.21</v>
          </cell>
        </row>
        <row r="3191">
          <cell r="C3191" t="str">
            <v>28036</v>
          </cell>
          <cell r="H3191">
            <v>58.62</v>
          </cell>
        </row>
        <row r="3192">
          <cell r="C3192" t="str">
            <v>28034</v>
          </cell>
          <cell r="H3192">
            <v>150.86000000000001</v>
          </cell>
        </row>
        <row r="3193">
          <cell r="C3193" t="str">
            <v>28033</v>
          </cell>
          <cell r="H3193">
            <v>533.62</v>
          </cell>
        </row>
        <row r="3194">
          <cell r="C3194" t="str">
            <v>28016</v>
          </cell>
          <cell r="H3194">
            <v>58.62</v>
          </cell>
        </row>
        <row r="3195">
          <cell r="C3195" t="str">
            <v>28014</v>
          </cell>
          <cell r="H3195">
            <v>150.86000000000001</v>
          </cell>
        </row>
        <row r="3196">
          <cell r="C3196" t="str">
            <v>28013</v>
          </cell>
          <cell r="H3196">
            <v>533.62</v>
          </cell>
        </row>
        <row r="3197">
          <cell r="C3197" t="str">
            <v>28011</v>
          </cell>
          <cell r="H3197">
            <v>2311.21</v>
          </cell>
        </row>
        <row r="3198">
          <cell r="C3198" t="str">
            <v>28006</v>
          </cell>
          <cell r="H3198">
            <v>58.62</v>
          </cell>
        </row>
        <row r="3199">
          <cell r="C3199" t="str">
            <v>28004</v>
          </cell>
          <cell r="H3199">
            <v>150.86000000000001</v>
          </cell>
        </row>
        <row r="3200">
          <cell r="C3200" t="str">
            <v>28003</v>
          </cell>
          <cell r="H3200">
            <v>533.62</v>
          </cell>
        </row>
        <row r="3201">
          <cell r="C3201" t="str">
            <v>28001</v>
          </cell>
          <cell r="H3201">
            <v>2311.21</v>
          </cell>
        </row>
        <row r="3202">
          <cell r="C3202" t="str">
            <v>27804</v>
          </cell>
          <cell r="H3202">
            <v>287.93</v>
          </cell>
        </row>
        <row r="3203">
          <cell r="C3203" t="str">
            <v>27803</v>
          </cell>
          <cell r="H3203">
            <v>868.97</v>
          </cell>
        </row>
        <row r="3204">
          <cell r="C3204" t="str">
            <v>27801</v>
          </cell>
          <cell r="H3204">
            <v>3581.03</v>
          </cell>
        </row>
        <row r="3205">
          <cell r="C3205" t="str">
            <v>21911</v>
          </cell>
          <cell r="H3205">
            <v>7052.59</v>
          </cell>
        </row>
        <row r="3206">
          <cell r="C3206" t="str">
            <v>21456</v>
          </cell>
          <cell r="H3206">
            <v>80.17</v>
          </cell>
        </row>
        <row r="3207">
          <cell r="C3207" t="str">
            <v>28986</v>
          </cell>
          <cell r="H3207">
            <v>58.62</v>
          </cell>
        </row>
        <row r="3208">
          <cell r="C3208" t="str">
            <v>28984</v>
          </cell>
          <cell r="H3208">
            <v>150.86000000000001</v>
          </cell>
        </row>
        <row r="3209">
          <cell r="C3209" t="str">
            <v>28983</v>
          </cell>
          <cell r="H3209">
            <v>533.62</v>
          </cell>
        </row>
        <row r="3210">
          <cell r="C3210" t="str">
            <v>28981</v>
          </cell>
          <cell r="H3210">
            <v>2311.21</v>
          </cell>
        </row>
        <row r="3211">
          <cell r="C3211" t="str">
            <v>28966</v>
          </cell>
          <cell r="H3211">
            <v>58.62</v>
          </cell>
        </row>
        <row r="3212">
          <cell r="C3212" t="str">
            <v>28964</v>
          </cell>
          <cell r="H3212">
            <v>150.86000000000001</v>
          </cell>
        </row>
        <row r="3213">
          <cell r="C3213" t="str">
            <v>28963</v>
          </cell>
          <cell r="H3213">
            <v>533.62</v>
          </cell>
        </row>
        <row r="3214">
          <cell r="C3214" t="str">
            <v>28961</v>
          </cell>
          <cell r="H3214">
            <v>2311.21</v>
          </cell>
        </row>
        <row r="3215">
          <cell r="C3215" t="str">
            <v>28936</v>
          </cell>
          <cell r="H3215">
            <v>58.62</v>
          </cell>
        </row>
        <row r="3216">
          <cell r="C3216" t="str">
            <v>28934</v>
          </cell>
          <cell r="H3216">
            <v>150.86000000000001</v>
          </cell>
        </row>
        <row r="3217">
          <cell r="C3217" t="str">
            <v>28933</v>
          </cell>
          <cell r="H3217">
            <v>533.62</v>
          </cell>
        </row>
        <row r="3218">
          <cell r="C3218" t="str">
            <v>28931</v>
          </cell>
          <cell r="H3218">
            <v>2311.21</v>
          </cell>
        </row>
        <row r="3219">
          <cell r="C3219" t="str">
            <v>28924</v>
          </cell>
          <cell r="H3219">
            <v>287.93</v>
          </cell>
        </row>
        <row r="3220">
          <cell r="C3220" t="str">
            <v>28923</v>
          </cell>
          <cell r="H3220">
            <v>977.59</v>
          </cell>
        </row>
        <row r="3221">
          <cell r="C3221" t="str">
            <v>28916</v>
          </cell>
          <cell r="H3221">
            <v>58.62</v>
          </cell>
        </row>
        <row r="3222">
          <cell r="C3222" t="str">
            <v>28914</v>
          </cell>
          <cell r="H3222">
            <v>150.86000000000001</v>
          </cell>
        </row>
        <row r="3223">
          <cell r="C3223" t="str">
            <v>28913</v>
          </cell>
          <cell r="H3223">
            <v>533.62</v>
          </cell>
        </row>
        <row r="3224">
          <cell r="C3224" t="str">
            <v>28906</v>
          </cell>
          <cell r="H3224">
            <v>76.72</v>
          </cell>
        </row>
        <row r="3225">
          <cell r="C3225" t="str">
            <v>28904</v>
          </cell>
          <cell r="H3225">
            <v>232.76</v>
          </cell>
        </row>
        <row r="3226">
          <cell r="C3226" t="str">
            <v>28903</v>
          </cell>
          <cell r="H3226">
            <v>822.41</v>
          </cell>
        </row>
        <row r="3227">
          <cell r="C3227" t="str">
            <v>28866</v>
          </cell>
          <cell r="H3227">
            <v>76.72</v>
          </cell>
        </row>
        <row r="3228">
          <cell r="C3228" t="str">
            <v>28864</v>
          </cell>
          <cell r="H3228">
            <v>232.76</v>
          </cell>
        </row>
        <row r="3229">
          <cell r="C3229" t="str">
            <v>28863</v>
          </cell>
          <cell r="H3229">
            <v>822.41</v>
          </cell>
        </row>
        <row r="3230">
          <cell r="C3230" t="str">
            <v>28806</v>
          </cell>
          <cell r="H3230">
            <v>78.45</v>
          </cell>
        </row>
        <row r="3231">
          <cell r="C3231" t="str">
            <v>28804</v>
          </cell>
          <cell r="H3231">
            <v>232.76</v>
          </cell>
        </row>
        <row r="3232">
          <cell r="C3232" t="str">
            <v>28803</v>
          </cell>
          <cell r="H3232">
            <v>822.41</v>
          </cell>
        </row>
        <row r="3233">
          <cell r="C3233" t="str">
            <v>28801</v>
          </cell>
          <cell r="H3233">
            <v>3365.52</v>
          </cell>
        </row>
        <row r="3234">
          <cell r="C3234" t="str">
            <v>28776</v>
          </cell>
          <cell r="H3234">
            <v>58.62</v>
          </cell>
        </row>
        <row r="3235">
          <cell r="C3235" t="str">
            <v>28774</v>
          </cell>
          <cell r="H3235">
            <v>150.86000000000001</v>
          </cell>
        </row>
        <row r="3236">
          <cell r="C3236" t="str">
            <v>28773</v>
          </cell>
          <cell r="H3236">
            <v>533.62</v>
          </cell>
        </row>
        <row r="3237">
          <cell r="C3237" t="str">
            <v>28771</v>
          </cell>
          <cell r="H3237">
            <v>2311.21</v>
          </cell>
        </row>
        <row r="3238">
          <cell r="C3238" t="str">
            <v>28756</v>
          </cell>
          <cell r="H3238">
            <v>58.62</v>
          </cell>
        </row>
        <row r="3239">
          <cell r="C3239" t="str">
            <v>28755</v>
          </cell>
          <cell r="H3239">
            <v>59.48</v>
          </cell>
        </row>
        <row r="3240">
          <cell r="C3240" t="str">
            <v>28754</v>
          </cell>
          <cell r="H3240">
            <v>150.86000000000001</v>
          </cell>
        </row>
        <row r="3241">
          <cell r="C3241" t="str">
            <v>28753</v>
          </cell>
          <cell r="H3241">
            <v>533.62</v>
          </cell>
        </row>
        <row r="3242">
          <cell r="C3242" t="str">
            <v>28716</v>
          </cell>
          <cell r="H3242">
            <v>58.62</v>
          </cell>
        </row>
        <row r="3243">
          <cell r="C3243" t="str">
            <v>28714</v>
          </cell>
          <cell r="H3243">
            <v>150.86000000000001</v>
          </cell>
        </row>
        <row r="3244">
          <cell r="C3244" t="str">
            <v>28713</v>
          </cell>
          <cell r="H3244">
            <v>533.62</v>
          </cell>
        </row>
        <row r="3245">
          <cell r="C3245" t="str">
            <v>28666</v>
          </cell>
          <cell r="H3245">
            <v>58.62</v>
          </cell>
        </row>
        <row r="3246">
          <cell r="C3246" t="str">
            <v>28664</v>
          </cell>
          <cell r="H3246">
            <v>150.86000000000001</v>
          </cell>
        </row>
        <row r="3247">
          <cell r="C3247" t="str">
            <v>28663</v>
          </cell>
          <cell r="H3247">
            <v>533.62</v>
          </cell>
        </row>
        <row r="3248">
          <cell r="C3248" t="str">
            <v>28656</v>
          </cell>
          <cell r="H3248">
            <v>58.62</v>
          </cell>
        </row>
        <row r="3249">
          <cell r="C3249" t="str">
            <v>28654</v>
          </cell>
          <cell r="H3249">
            <v>150.86000000000001</v>
          </cell>
        </row>
        <row r="3250">
          <cell r="C3250" t="str">
            <v>28653</v>
          </cell>
          <cell r="H3250">
            <v>533.62</v>
          </cell>
        </row>
        <row r="3251">
          <cell r="C3251" t="str">
            <v>28651</v>
          </cell>
          <cell r="H3251">
            <v>2311.21</v>
          </cell>
        </row>
        <row r="3252">
          <cell r="C3252" t="str">
            <v>28646</v>
          </cell>
          <cell r="H3252">
            <v>58.62</v>
          </cell>
        </row>
        <row r="3253">
          <cell r="C3253" t="str">
            <v>28644</v>
          </cell>
          <cell r="H3253">
            <v>150.86000000000001</v>
          </cell>
        </row>
        <row r="3254">
          <cell r="C3254" t="str">
            <v>28643</v>
          </cell>
          <cell r="H3254">
            <v>533.62</v>
          </cell>
        </row>
        <row r="3255">
          <cell r="C3255" t="str">
            <v>28641</v>
          </cell>
          <cell r="H3255">
            <v>2311.21</v>
          </cell>
        </row>
        <row r="3256">
          <cell r="C3256" t="str">
            <v>28636</v>
          </cell>
          <cell r="H3256">
            <v>58.62</v>
          </cell>
        </row>
        <row r="3257">
          <cell r="C3257" t="str">
            <v>28634</v>
          </cell>
          <cell r="H3257">
            <v>150.86000000000001</v>
          </cell>
        </row>
        <row r="3258">
          <cell r="C3258" t="str">
            <v>28633</v>
          </cell>
          <cell r="H3258">
            <v>533.62</v>
          </cell>
        </row>
        <row r="3259">
          <cell r="C3259" t="str">
            <v>28586</v>
          </cell>
          <cell r="H3259">
            <v>58.62</v>
          </cell>
        </row>
        <row r="3260">
          <cell r="C3260" t="str">
            <v>28584</v>
          </cell>
          <cell r="H3260">
            <v>150.86000000000001</v>
          </cell>
        </row>
        <row r="3261">
          <cell r="C3261" t="str">
            <v>28583</v>
          </cell>
          <cell r="H3261">
            <v>533.62</v>
          </cell>
        </row>
        <row r="3262">
          <cell r="C3262" t="str">
            <v>28576</v>
          </cell>
          <cell r="H3262">
            <v>58.62</v>
          </cell>
        </row>
        <row r="3263">
          <cell r="C3263" t="str">
            <v>28574</v>
          </cell>
          <cell r="H3263">
            <v>150.86000000000001</v>
          </cell>
        </row>
        <row r="3264">
          <cell r="C3264" t="str">
            <v>28573</v>
          </cell>
          <cell r="H3264">
            <v>533.62</v>
          </cell>
        </row>
        <row r="3265">
          <cell r="C3265" t="str">
            <v>28566</v>
          </cell>
          <cell r="H3265">
            <v>58.62</v>
          </cell>
        </row>
        <row r="3266">
          <cell r="C3266" t="str">
            <v>28564</v>
          </cell>
          <cell r="H3266">
            <v>150.86000000000001</v>
          </cell>
        </row>
        <row r="3267">
          <cell r="C3267" t="str">
            <v>28563</v>
          </cell>
          <cell r="H3267">
            <v>533.62</v>
          </cell>
        </row>
        <row r="3268">
          <cell r="C3268" t="str">
            <v>28496</v>
          </cell>
          <cell r="H3268">
            <v>58.62</v>
          </cell>
        </row>
        <row r="3269">
          <cell r="C3269" t="str">
            <v>28494</v>
          </cell>
          <cell r="H3269">
            <v>150.86000000000001</v>
          </cell>
        </row>
        <row r="3270">
          <cell r="C3270" t="str">
            <v>28493</v>
          </cell>
          <cell r="H3270">
            <v>533.62</v>
          </cell>
        </row>
        <row r="3271">
          <cell r="C3271" t="str">
            <v>28456</v>
          </cell>
          <cell r="H3271">
            <v>58.62</v>
          </cell>
        </row>
        <row r="3272">
          <cell r="C3272" t="str">
            <v>28454</v>
          </cell>
          <cell r="H3272">
            <v>150.86000000000001</v>
          </cell>
        </row>
        <row r="3273">
          <cell r="C3273" t="str">
            <v>28453</v>
          </cell>
          <cell r="H3273">
            <v>533.62</v>
          </cell>
        </row>
        <row r="3274">
          <cell r="C3274" t="str">
            <v>28451</v>
          </cell>
          <cell r="H3274">
            <v>2311.21</v>
          </cell>
        </row>
        <row r="3275">
          <cell r="C3275" t="str">
            <v>28446</v>
          </cell>
          <cell r="H3275">
            <v>58.62</v>
          </cell>
        </row>
        <row r="3276">
          <cell r="C3276" t="str">
            <v>28444</v>
          </cell>
          <cell r="H3276">
            <v>150.86000000000001</v>
          </cell>
        </row>
        <row r="3277">
          <cell r="C3277" t="str">
            <v>28443</v>
          </cell>
          <cell r="H3277">
            <v>533.62</v>
          </cell>
        </row>
        <row r="3278">
          <cell r="C3278" t="str">
            <v>28356</v>
          </cell>
          <cell r="H3278">
            <v>58.62</v>
          </cell>
        </row>
        <row r="3279">
          <cell r="C3279" t="str">
            <v>28354</v>
          </cell>
          <cell r="H3279">
            <v>150.86000000000001</v>
          </cell>
        </row>
        <row r="3280">
          <cell r="C3280" t="str">
            <v>10503</v>
          </cell>
          <cell r="H3280">
            <v>665.52</v>
          </cell>
        </row>
        <row r="3281">
          <cell r="C3281" t="str">
            <v>10501</v>
          </cell>
          <cell r="H3281">
            <v>3083.62</v>
          </cell>
        </row>
        <row r="3282">
          <cell r="C3282" t="str">
            <v>10293</v>
          </cell>
          <cell r="H3282">
            <v>843.1</v>
          </cell>
        </row>
        <row r="3283">
          <cell r="C3283" t="str">
            <v>10291</v>
          </cell>
          <cell r="H3283">
            <v>3141.38</v>
          </cell>
        </row>
        <row r="3284">
          <cell r="C3284" t="str">
            <v>10251</v>
          </cell>
          <cell r="H3284">
            <v>3725.86</v>
          </cell>
        </row>
        <row r="3285">
          <cell r="C3285" t="str">
            <v>10221</v>
          </cell>
          <cell r="H3285">
            <v>3575.86</v>
          </cell>
        </row>
        <row r="3286">
          <cell r="C3286" t="str">
            <v>10204</v>
          </cell>
          <cell r="H3286">
            <v>206.03</v>
          </cell>
        </row>
        <row r="3287">
          <cell r="C3287" t="str">
            <v>10203</v>
          </cell>
          <cell r="H3287">
            <v>805.17</v>
          </cell>
        </row>
        <row r="3288">
          <cell r="C3288" t="str">
            <v>10201</v>
          </cell>
          <cell r="H3288">
            <v>3383.62</v>
          </cell>
        </row>
        <row r="3289">
          <cell r="C3289" t="str">
            <v>10011</v>
          </cell>
          <cell r="H3289">
            <v>6013.79</v>
          </cell>
        </row>
        <row r="3290">
          <cell r="C3290" t="str">
            <v>9917</v>
          </cell>
          <cell r="H3290">
            <v>157.76</v>
          </cell>
        </row>
        <row r="3291">
          <cell r="C3291" t="str">
            <v>9914</v>
          </cell>
          <cell r="H3291">
            <v>50.86</v>
          </cell>
        </row>
        <row r="3292">
          <cell r="C3292" t="str">
            <v>9913</v>
          </cell>
          <cell r="H3292">
            <v>50</v>
          </cell>
        </row>
        <row r="3293">
          <cell r="C3293" t="str">
            <v>9910</v>
          </cell>
          <cell r="H3293">
            <v>56.9</v>
          </cell>
        </row>
        <row r="3294">
          <cell r="C3294" t="str">
            <v>9907</v>
          </cell>
          <cell r="H3294">
            <v>37.07</v>
          </cell>
        </row>
        <row r="3295">
          <cell r="C3295" t="str">
            <v>9906</v>
          </cell>
          <cell r="H3295">
            <v>159.47999999999999</v>
          </cell>
        </row>
        <row r="3296">
          <cell r="C3296" t="str">
            <v>9905</v>
          </cell>
          <cell r="H3296">
            <v>81.900000000000006</v>
          </cell>
        </row>
        <row r="3297">
          <cell r="C3297" t="str">
            <v>9904</v>
          </cell>
          <cell r="H3297">
            <v>69.83</v>
          </cell>
        </row>
        <row r="3298">
          <cell r="C3298" t="str">
            <v>9903</v>
          </cell>
          <cell r="H3298">
            <v>56.9</v>
          </cell>
        </row>
        <row r="3299">
          <cell r="C3299" t="str">
            <v>9808</v>
          </cell>
          <cell r="H3299">
            <v>806.9</v>
          </cell>
        </row>
        <row r="3300">
          <cell r="C3300" t="str">
            <v>9807</v>
          </cell>
          <cell r="H3300">
            <v>877.59</v>
          </cell>
        </row>
        <row r="3301">
          <cell r="C3301" t="str">
            <v>9806</v>
          </cell>
          <cell r="H3301">
            <v>243.1</v>
          </cell>
        </row>
        <row r="3302">
          <cell r="C3302" t="str">
            <v>9667</v>
          </cell>
          <cell r="H3302">
            <v>27.59</v>
          </cell>
        </row>
        <row r="3303">
          <cell r="C3303" t="str">
            <v>9666</v>
          </cell>
          <cell r="H3303">
            <v>27.59</v>
          </cell>
        </row>
        <row r="3304">
          <cell r="C3304" t="str">
            <v>9659</v>
          </cell>
          <cell r="H3304">
            <v>13.79</v>
          </cell>
        </row>
        <row r="3305">
          <cell r="C3305" t="str">
            <v>9658</v>
          </cell>
          <cell r="H3305">
            <v>13.79</v>
          </cell>
        </row>
        <row r="3306">
          <cell r="C3306" t="str">
            <v>9656</v>
          </cell>
          <cell r="H3306">
            <v>13.79</v>
          </cell>
        </row>
        <row r="3307">
          <cell r="C3307" t="str">
            <v>9654</v>
          </cell>
          <cell r="H3307">
            <v>13.79</v>
          </cell>
        </row>
        <row r="3308">
          <cell r="C3308" t="str">
            <v>9652</v>
          </cell>
          <cell r="H3308">
            <v>13.79</v>
          </cell>
        </row>
        <row r="3309">
          <cell r="C3309" t="str">
            <v>9650</v>
          </cell>
          <cell r="H3309">
            <v>13.79</v>
          </cell>
        </row>
        <row r="3310">
          <cell r="C3310" t="str">
            <v>9648</v>
          </cell>
          <cell r="H3310">
            <v>13.79</v>
          </cell>
        </row>
        <row r="3311">
          <cell r="C3311" t="str">
            <v>9646</v>
          </cell>
          <cell r="H3311">
            <v>14.66</v>
          </cell>
        </row>
        <row r="3312">
          <cell r="C3312" t="str">
            <v>9644</v>
          </cell>
          <cell r="H3312">
            <v>17.239999999999998</v>
          </cell>
        </row>
        <row r="3313">
          <cell r="C3313" t="str">
            <v>9642</v>
          </cell>
          <cell r="H3313">
            <v>17.239999999999998</v>
          </cell>
        </row>
        <row r="3314">
          <cell r="C3314" t="str">
            <v>9640</v>
          </cell>
          <cell r="H3314">
            <v>18.97</v>
          </cell>
        </row>
        <row r="3315">
          <cell r="C3315" t="str">
            <v>9548</v>
          </cell>
          <cell r="H3315">
            <v>75.86</v>
          </cell>
        </row>
        <row r="3316">
          <cell r="C3316" t="str">
            <v>9547</v>
          </cell>
          <cell r="H3316">
            <v>59.48</v>
          </cell>
        </row>
        <row r="3317">
          <cell r="C3317" t="str">
            <v>9545</v>
          </cell>
          <cell r="H3317">
            <v>37.93</v>
          </cell>
        </row>
        <row r="3318">
          <cell r="C3318" t="str">
            <v>9541</v>
          </cell>
          <cell r="H3318">
            <v>5.17</v>
          </cell>
        </row>
        <row r="3319">
          <cell r="C3319" t="str">
            <v>9519</v>
          </cell>
          <cell r="H3319">
            <v>890.52</v>
          </cell>
        </row>
        <row r="3320">
          <cell r="C3320" t="str">
            <v>9502</v>
          </cell>
          <cell r="H3320">
            <v>3885.34</v>
          </cell>
        </row>
        <row r="3321">
          <cell r="C3321" t="str">
            <v>9495</v>
          </cell>
          <cell r="H3321">
            <v>1055.17</v>
          </cell>
        </row>
        <row r="3322">
          <cell r="C3322" t="str">
            <v>9490</v>
          </cell>
          <cell r="H3322">
            <v>82.76</v>
          </cell>
        </row>
        <row r="3323">
          <cell r="C3323" t="str">
            <v>9484</v>
          </cell>
          <cell r="H3323">
            <v>36.21</v>
          </cell>
        </row>
        <row r="3324">
          <cell r="C3324" t="str">
            <v>9480</v>
          </cell>
          <cell r="H3324">
            <v>22.41</v>
          </cell>
        </row>
        <row r="3325">
          <cell r="C3325" t="str">
            <v>9479</v>
          </cell>
          <cell r="H3325">
            <v>8.6199999999999992</v>
          </cell>
        </row>
        <row r="3326">
          <cell r="C3326" t="str">
            <v>9478</v>
          </cell>
          <cell r="H3326">
            <v>8.6199999999999992</v>
          </cell>
        </row>
        <row r="3327">
          <cell r="C3327" t="str">
            <v>9473</v>
          </cell>
          <cell r="H3327">
            <v>2231.9</v>
          </cell>
        </row>
        <row r="3328">
          <cell r="C3328" t="str">
            <v>9469</v>
          </cell>
          <cell r="H3328">
            <v>32.76</v>
          </cell>
        </row>
        <row r="3329">
          <cell r="C3329" t="str">
            <v>9468</v>
          </cell>
          <cell r="H3329">
            <v>31.9</v>
          </cell>
        </row>
        <row r="3330">
          <cell r="C3330" t="str">
            <v>9466</v>
          </cell>
          <cell r="H3330">
            <v>18.97</v>
          </cell>
        </row>
        <row r="3331">
          <cell r="C3331" t="str">
            <v>9464</v>
          </cell>
          <cell r="H3331">
            <v>27.59</v>
          </cell>
        </row>
        <row r="3332">
          <cell r="C3332" t="str">
            <v>9462</v>
          </cell>
          <cell r="H3332">
            <v>25.86</v>
          </cell>
        </row>
        <row r="3333">
          <cell r="C3333" t="str">
            <v>9460</v>
          </cell>
          <cell r="H3333">
            <v>23.28</v>
          </cell>
        </row>
        <row r="3334">
          <cell r="C3334" t="str">
            <v>9456</v>
          </cell>
          <cell r="H3334">
            <v>12.07</v>
          </cell>
        </row>
        <row r="3335">
          <cell r="C3335" t="str">
            <v>9436</v>
          </cell>
          <cell r="H3335">
            <v>40.520000000000003</v>
          </cell>
        </row>
        <row r="3336">
          <cell r="C3336" t="str">
            <v>9435</v>
          </cell>
          <cell r="H3336">
            <v>12.07</v>
          </cell>
        </row>
        <row r="3337">
          <cell r="C3337" t="str">
            <v>9434</v>
          </cell>
          <cell r="H3337">
            <v>10.34</v>
          </cell>
        </row>
        <row r="3338">
          <cell r="C3338" t="str">
            <v>9433</v>
          </cell>
          <cell r="H3338">
            <v>8.6199999999999992</v>
          </cell>
        </row>
        <row r="3339">
          <cell r="C3339" t="str">
            <v>9402</v>
          </cell>
          <cell r="H3339">
            <v>18.97</v>
          </cell>
        </row>
        <row r="3340">
          <cell r="C3340" t="str">
            <v>9401</v>
          </cell>
          <cell r="H3340">
            <v>18.97</v>
          </cell>
        </row>
        <row r="3341">
          <cell r="C3341" t="str">
            <v>9389</v>
          </cell>
          <cell r="H3341">
            <v>1957.76</v>
          </cell>
        </row>
        <row r="3342">
          <cell r="C3342" t="str">
            <v>9357</v>
          </cell>
          <cell r="H3342">
            <v>2530.17</v>
          </cell>
        </row>
        <row r="3343">
          <cell r="C3343" t="str">
            <v>9356</v>
          </cell>
          <cell r="H3343">
            <v>3306.03</v>
          </cell>
        </row>
        <row r="3344">
          <cell r="C3344" t="str">
            <v>9338</v>
          </cell>
          <cell r="H3344">
            <v>3370.69</v>
          </cell>
        </row>
        <row r="3345">
          <cell r="C3345" t="str">
            <v>9325</v>
          </cell>
          <cell r="H3345">
            <v>4683.62</v>
          </cell>
        </row>
        <row r="3346">
          <cell r="C3346" t="str">
            <v>9322</v>
          </cell>
          <cell r="H3346">
            <v>543.97</v>
          </cell>
        </row>
        <row r="3347">
          <cell r="C3347" t="str">
            <v>9303</v>
          </cell>
          <cell r="H3347">
            <v>3808.62</v>
          </cell>
        </row>
        <row r="3348">
          <cell r="C3348" t="str">
            <v>9301</v>
          </cell>
          <cell r="H3348">
            <v>1948.28</v>
          </cell>
        </row>
        <row r="3349">
          <cell r="C3349" t="str">
            <v>9270</v>
          </cell>
          <cell r="H3349">
            <v>40.520000000000003</v>
          </cell>
        </row>
        <row r="3350">
          <cell r="C3350" t="str">
            <v>9260</v>
          </cell>
          <cell r="H3350">
            <v>103.45</v>
          </cell>
        </row>
        <row r="3351">
          <cell r="C3351" t="str">
            <v>9252</v>
          </cell>
          <cell r="H3351">
            <v>73.28</v>
          </cell>
        </row>
        <row r="3352">
          <cell r="C3352" t="str">
            <v>9251</v>
          </cell>
          <cell r="H3352">
            <v>56.03</v>
          </cell>
        </row>
        <row r="3353">
          <cell r="C3353" t="str">
            <v>9250</v>
          </cell>
          <cell r="H3353">
            <v>41.38</v>
          </cell>
        </row>
        <row r="3354">
          <cell r="C3354" t="str">
            <v>9248</v>
          </cell>
          <cell r="H3354">
            <v>133.62</v>
          </cell>
        </row>
        <row r="3355">
          <cell r="C3355" t="str">
            <v>9247</v>
          </cell>
          <cell r="H3355">
            <v>115.52</v>
          </cell>
        </row>
        <row r="3356">
          <cell r="C3356" t="str">
            <v>9246</v>
          </cell>
          <cell r="H3356">
            <v>98.28</v>
          </cell>
        </row>
        <row r="3357">
          <cell r="C3357" t="str">
            <v>9243</v>
          </cell>
          <cell r="H3357">
            <v>44.83</v>
          </cell>
        </row>
        <row r="3358">
          <cell r="C3358" t="str">
            <v>9214</v>
          </cell>
          <cell r="H3358">
            <v>0.01</v>
          </cell>
        </row>
        <row r="3359">
          <cell r="C3359" t="str">
            <v>9212</v>
          </cell>
          <cell r="H3359">
            <v>65.52</v>
          </cell>
        </row>
        <row r="3360">
          <cell r="C3360" t="str">
            <v>9201</v>
          </cell>
          <cell r="H3360">
            <v>771.55</v>
          </cell>
        </row>
        <row r="3361">
          <cell r="C3361" t="str">
            <v>9197</v>
          </cell>
          <cell r="H3361">
            <v>71.55</v>
          </cell>
        </row>
        <row r="3362">
          <cell r="C3362" t="str">
            <v>9196</v>
          </cell>
          <cell r="H3362">
            <v>85.34</v>
          </cell>
        </row>
        <row r="3363">
          <cell r="C3363" t="str">
            <v>9195</v>
          </cell>
          <cell r="H3363">
            <v>44.83</v>
          </cell>
        </row>
        <row r="3364">
          <cell r="C3364" t="str">
            <v>9194</v>
          </cell>
          <cell r="H3364">
            <v>33.619999999999997</v>
          </cell>
        </row>
        <row r="3365">
          <cell r="C3365" t="str">
            <v>9193</v>
          </cell>
          <cell r="H3365">
            <v>41.38</v>
          </cell>
        </row>
        <row r="3366">
          <cell r="C3366" t="str">
            <v>9188</v>
          </cell>
          <cell r="H3366">
            <v>5.17</v>
          </cell>
        </row>
        <row r="3367">
          <cell r="C3367" t="str">
            <v>9187</v>
          </cell>
          <cell r="H3367">
            <v>23.28</v>
          </cell>
        </row>
        <row r="3368">
          <cell r="C3368" t="str">
            <v>9186</v>
          </cell>
          <cell r="H3368">
            <v>13.79</v>
          </cell>
        </row>
        <row r="3369">
          <cell r="C3369" t="str">
            <v>9185</v>
          </cell>
          <cell r="H3369">
            <v>13.79</v>
          </cell>
        </row>
        <row r="3370">
          <cell r="C3370" t="str">
            <v>9184</v>
          </cell>
          <cell r="H3370">
            <v>10.34</v>
          </cell>
        </row>
        <row r="3371">
          <cell r="C3371" t="str">
            <v>9179</v>
          </cell>
          <cell r="H3371">
            <v>67.239999999999995</v>
          </cell>
        </row>
        <row r="3372">
          <cell r="C3372" t="str">
            <v>9178</v>
          </cell>
          <cell r="H3372">
            <v>38.79</v>
          </cell>
        </row>
        <row r="3373">
          <cell r="C3373" t="str">
            <v>9177</v>
          </cell>
          <cell r="H3373">
            <v>45.69</v>
          </cell>
        </row>
        <row r="3374">
          <cell r="C3374" t="str">
            <v>9176</v>
          </cell>
          <cell r="H3374">
            <v>60.34</v>
          </cell>
        </row>
        <row r="3375">
          <cell r="C3375" t="str">
            <v>9174</v>
          </cell>
          <cell r="H3375">
            <v>40.520000000000003</v>
          </cell>
        </row>
        <row r="3376">
          <cell r="C3376" t="str">
            <v>9173</v>
          </cell>
          <cell r="H3376">
            <v>57.76</v>
          </cell>
        </row>
        <row r="3377">
          <cell r="C3377" t="str">
            <v>9172</v>
          </cell>
          <cell r="H3377">
            <v>118.97</v>
          </cell>
        </row>
        <row r="3378">
          <cell r="C3378" t="str">
            <v>9171</v>
          </cell>
          <cell r="H3378">
            <v>51.72</v>
          </cell>
        </row>
        <row r="3379">
          <cell r="C3379" t="str">
            <v>9170</v>
          </cell>
          <cell r="H3379">
            <v>54.31</v>
          </cell>
        </row>
        <row r="3380">
          <cell r="C3380" t="str">
            <v>9168</v>
          </cell>
          <cell r="H3380">
            <v>71.55</v>
          </cell>
        </row>
        <row r="3381">
          <cell r="C3381" t="str">
            <v>9160</v>
          </cell>
          <cell r="H3381">
            <v>115.52</v>
          </cell>
        </row>
        <row r="3382">
          <cell r="C3382" t="str">
            <v>9159</v>
          </cell>
          <cell r="H3382">
            <v>38.79</v>
          </cell>
        </row>
        <row r="3383">
          <cell r="C3383" t="str">
            <v>9151</v>
          </cell>
          <cell r="H3383">
            <v>721.55</v>
          </cell>
        </row>
        <row r="3384">
          <cell r="C3384" t="str">
            <v>9150</v>
          </cell>
          <cell r="H3384">
            <v>50.86</v>
          </cell>
        </row>
        <row r="3385">
          <cell r="C3385" t="str">
            <v>9149</v>
          </cell>
          <cell r="H3385">
            <v>1065.52</v>
          </cell>
        </row>
        <row r="3386">
          <cell r="C3386" t="str">
            <v>9127</v>
          </cell>
          <cell r="H3386">
            <v>381.03</v>
          </cell>
        </row>
        <row r="3387">
          <cell r="C3387" t="str">
            <v>9126</v>
          </cell>
          <cell r="H3387">
            <v>128.44999999999999</v>
          </cell>
        </row>
        <row r="3388">
          <cell r="C3388" t="str">
            <v>9124</v>
          </cell>
          <cell r="H3388">
            <v>69.83</v>
          </cell>
        </row>
        <row r="3389">
          <cell r="C3389" t="str">
            <v>9121</v>
          </cell>
          <cell r="H3389">
            <v>151.72</v>
          </cell>
        </row>
        <row r="3390">
          <cell r="C3390" t="str">
            <v>9120</v>
          </cell>
          <cell r="H3390">
            <v>18.100000000000001</v>
          </cell>
        </row>
        <row r="3391">
          <cell r="C3391" t="str">
            <v>9118</v>
          </cell>
          <cell r="H3391">
            <v>269.83</v>
          </cell>
        </row>
        <row r="3392">
          <cell r="C3392" t="str">
            <v>9117</v>
          </cell>
          <cell r="H3392">
            <v>176.72</v>
          </cell>
        </row>
        <row r="3393">
          <cell r="C3393" t="str">
            <v>9116</v>
          </cell>
          <cell r="H3393">
            <v>14.66</v>
          </cell>
        </row>
        <row r="3394">
          <cell r="C3394" t="str">
            <v>9112</v>
          </cell>
          <cell r="H3394">
            <v>52.59</v>
          </cell>
        </row>
        <row r="3395">
          <cell r="C3395" t="str">
            <v>9105</v>
          </cell>
          <cell r="H3395">
            <v>24.14</v>
          </cell>
        </row>
        <row r="3396">
          <cell r="C3396" t="str">
            <v>9104</v>
          </cell>
          <cell r="H3396">
            <v>25</v>
          </cell>
        </row>
        <row r="3397">
          <cell r="C3397" t="str">
            <v>9103</v>
          </cell>
          <cell r="H3397">
            <v>67.239999999999995</v>
          </cell>
        </row>
        <row r="3398">
          <cell r="C3398" t="str">
            <v>9102</v>
          </cell>
          <cell r="H3398">
            <v>50.86</v>
          </cell>
        </row>
        <row r="3399">
          <cell r="C3399" t="str">
            <v>9101</v>
          </cell>
          <cell r="H3399">
            <v>87.07</v>
          </cell>
        </row>
        <row r="3400">
          <cell r="C3400" t="str">
            <v>9097</v>
          </cell>
          <cell r="H3400">
            <v>537.92999999999995</v>
          </cell>
        </row>
        <row r="3401">
          <cell r="C3401" t="str">
            <v>9096</v>
          </cell>
          <cell r="H3401">
            <v>537.92999999999995</v>
          </cell>
        </row>
        <row r="3402">
          <cell r="C3402" t="str">
            <v>9048</v>
          </cell>
          <cell r="H3402">
            <v>46513.79</v>
          </cell>
        </row>
        <row r="3403">
          <cell r="C3403" t="str">
            <v>9047</v>
          </cell>
          <cell r="H3403">
            <v>153202.59</v>
          </cell>
        </row>
        <row r="3404">
          <cell r="C3404" t="str">
            <v>9046</v>
          </cell>
          <cell r="H3404">
            <v>110636.21</v>
          </cell>
        </row>
        <row r="3405">
          <cell r="C3405" t="str">
            <v>9045</v>
          </cell>
          <cell r="H3405">
            <v>133875</v>
          </cell>
        </row>
        <row r="3406">
          <cell r="C3406" t="str">
            <v>9044</v>
          </cell>
          <cell r="H3406">
            <v>939.66</v>
          </cell>
        </row>
        <row r="3407">
          <cell r="C3407" t="str">
            <v>9043</v>
          </cell>
          <cell r="H3407">
            <v>124759.48</v>
          </cell>
        </row>
        <row r="3408">
          <cell r="C3408" t="str">
            <v>9038</v>
          </cell>
          <cell r="H3408">
            <v>234498.28</v>
          </cell>
        </row>
        <row r="3409">
          <cell r="C3409" t="str">
            <v>9037</v>
          </cell>
          <cell r="H3409">
            <v>243001.72</v>
          </cell>
        </row>
        <row r="3410">
          <cell r="C3410" t="str">
            <v>9030</v>
          </cell>
          <cell r="H3410">
            <v>156127.59</v>
          </cell>
        </row>
        <row r="3411">
          <cell r="C3411" t="str">
            <v>9029</v>
          </cell>
          <cell r="H3411">
            <v>76421.55</v>
          </cell>
        </row>
        <row r="3412">
          <cell r="C3412" t="str">
            <v>9027</v>
          </cell>
          <cell r="H3412">
            <v>104.31</v>
          </cell>
        </row>
        <row r="3413">
          <cell r="C3413" t="str">
            <v>9024</v>
          </cell>
          <cell r="H3413">
            <v>2565.52</v>
          </cell>
        </row>
        <row r="3414">
          <cell r="C3414" t="str">
            <v>9021</v>
          </cell>
          <cell r="H3414">
            <v>16525</v>
          </cell>
        </row>
        <row r="3415">
          <cell r="C3415" t="str">
            <v>9020</v>
          </cell>
          <cell r="H3415">
            <v>28.45</v>
          </cell>
        </row>
        <row r="3416">
          <cell r="C3416" t="str">
            <v>9019</v>
          </cell>
          <cell r="H3416">
            <v>250</v>
          </cell>
        </row>
        <row r="3417">
          <cell r="C3417" t="str">
            <v>9013</v>
          </cell>
          <cell r="H3417">
            <v>982.76</v>
          </cell>
        </row>
        <row r="3418">
          <cell r="C3418" t="str">
            <v>9009</v>
          </cell>
          <cell r="H3418">
            <v>72508.62</v>
          </cell>
        </row>
        <row r="3419">
          <cell r="C3419" t="str">
            <v>9004</v>
          </cell>
          <cell r="H3419">
            <v>6413.79</v>
          </cell>
        </row>
        <row r="3420">
          <cell r="C3420" t="str">
            <v>9002</v>
          </cell>
          <cell r="H3420">
            <v>30842.240000000002</v>
          </cell>
        </row>
        <row r="3421">
          <cell r="C3421" t="str">
            <v>6789</v>
          </cell>
          <cell r="H3421">
            <v>89.66</v>
          </cell>
        </row>
        <row r="3422">
          <cell r="C3422" t="str">
            <v>6788</v>
          </cell>
          <cell r="H3422">
            <v>82.76</v>
          </cell>
        </row>
        <row r="3423">
          <cell r="C3423" t="str">
            <v>6787</v>
          </cell>
          <cell r="H3423">
            <v>72.41</v>
          </cell>
        </row>
        <row r="3424">
          <cell r="C3424" t="str">
            <v>6776</v>
          </cell>
          <cell r="H3424">
            <v>56.03</v>
          </cell>
        </row>
        <row r="3425">
          <cell r="C3425" t="str">
            <v>6775</v>
          </cell>
          <cell r="H3425">
            <v>37.93</v>
          </cell>
        </row>
        <row r="3426">
          <cell r="C3426" t="str">
            <v>6772</v>
          </cell>
          <cell r="H3426">
            <v>18.100000000000001</v>
          </cell>
        </row>
        <row r="3427">
          <cell r="C3427" t="str">
            <v>6770</v>
          </cell>
          <cell r="H3427">
            <v>8.6199999999999992</v>
          </cell>
        </row>
        <row r="3428">
          <cell r="C3428" t="str">
            <v>6758</v>
          </cell>
          <cell r="H3428">
            <v>137.07</v>
          </cell>
        </row>
        <row r="3429">
          <cell r="C3429" t="str">
            <v>6757</v>
          </cell>
          <cell r="H3429">
            <v>109.48</v>
          </cell>
        </row>
        <row r="3430">
          <cell r="C3430" t="str">
            <v>6755</v>
          </cell>
          <cell r="H3430">
            <v>46.55</v>
          </cell>
        </row>
        <row r="3431">
          <cell r="C3431" t="str">
            <v>6754</v>
          </cell>
          <cell r="H3431">
            <v>39.659999999999997</v>
          </cell>
        </row>
        <row r="3432">
          <cell r="C3432" t="str">
            <v>6752</v>
          </cell>
          <cell r="H3432">
            <v>30.17</v>
          </cell>
        </row>
        <row r="3433">
          <cell r="C3433" t="str">
            <v>6751</v>
          </cell>
          <cell r="H3433">
            <v>18.97</v>
          </cell>
        </row>
        <row r="3434">
          <cell r="C3434" t="str">
            <v>6416</v>
          </cell>
          <cell r="H3434">
            <v>72.41</v>
          </cell>
        </row>
        <row r="3435">
          <cell r="C3435" t="str">
            <v>6415</v>
          </cell>
          <cell r="H3435">
            <v>189.66</v>
          </cell>
        </row>
        <row r="3436">
          <cell r="C3436" t="str">
            <v>6410</v>
          </cell>
          <cell r="H3436">
            <v>280.17</v>
          </cell>
        </row>
        <row r="3437">
          <cell r="C3437" t="str">
            <v>2957</v>
          </cell>
          <cell r="H3437">
            <v>870.69</v>
          </cell>
        </row>
        <row r="3438">
          <cell r="C3438" t="str">
            <v>2463</v>
          </cell>
          <cell r="H3438">
            <v>71.55</v>
          </cell>
        </row>
        <row r="3439">
          <cell r="C3439" t="str">
            <v>2462</v>
          </cell>
          <cell r="H3439">
            <v>71.55</v>
          </cell>
        </row>
        <row r="3440">
          <cell r="C3440" t="str">
            <v>2461</v>
          </cell>
          <cell r="H3440">
            <v>90.52</v>
          </cell>
        </row>
        <row r="3441">
          <cell r="C3441" t="str">
            <v>2454</v>
          </cell>
          <cell r="H3441">
            <v>71.55</v>
          </cell>
        </row>
        <row r="3442">
          <cell r="C3442" t="str">
            <v>2451</v>
          </cell>
          <cell r="H3442">
            <v>73.28</v>
          </cell>
        </row>
        <row r="3443">
          <cell r="C3443" t="str">
            <v>2411</v>
          </cell>
          <cell r="H3443">
            <v>73.28</v>
          </cell>
        </row>
        <row r="3444">
          <cell r="C3444" t="str">
            <v>2399</v>
          </cell>
          <cell r="H3444">
            <v>55.17</v>
          </cell>
        </row>
        <row r="3445">
          <cell r="C3445" t="str">
            <v>2398</v>
          </cell>
          <cell r="H3445">
            <v>55.17</v>
          </cell>
        </row>
        <row r="3446">
          <cell r="C3446" t="str">
            <v>2397</v>
          </cell>
          <cell r="H3446">
            <v>55.17</v>
          </cell>
        </row>
        <row r="3447">
          <cell r="C3447" t="str">
            <v>2396</v>
          </cell>
          <cell r="H3447">
            <v>71.55</v>
          </cell>
        </row>
        <row r="3448">
          <cell r="C3448" t="str">
            <v>2393</v>
          </cell>
          <cell r="H3448">
            <v>55.17</v>
          </cell>
        </row>
        <row r="3449">
          <cell r="C3449" t="str">
            <v>2390</v>
          </cell>
          <cell r="H3449">
            <v>55.17</v>
          </cell>
        </row>
        <row r="3450">
          <cell r="C3450" t="str">
            <v>2381</v>
          </cell>
          <cell r="H3450">
            <v>55.17</v>
          </cell>
        </row>
        <row r="3451">
          <cell r="C3451" t="str">
            <v>2380</v>
          </cell>
          <cell r="H3451">
            <v>71.55</v>
          </cell>
        </row>
        <row r="3452">
          <cell r="C3452" t="str">
            <v>2376</v>
          </cell>
          <cell r="H3452">
            <v>55.17</v>
          </cell>
        </row>
        <row r="3453">
          <cell r="C3453" t="str">
            <v>2375</v>
          </cell>
          <cell r="H3453">
            <v>55.17</v>
          </cell>
        </row>
        <row r="3454">
          <cell r="C3454" t="str">
            <v>2373</v>
          </cell>
          <cell r="H3454">
            <v>55.17</v>
          </cell>
        </row>
        <row r="3455">
          <cell r="C3455" t="str">
            <v>2367</v>
          </cell>
          <cell r="H3455">
            <v>55.17</v>
          </cell>
        </row>
        <row r="3456">
          <cell r="C3456" t="str">
            <v>2366</v>
          </cell>
          <cell r="H3456">
            <v>55.17</v>
          </cell>
        </row>
        <row r="3457">
          <cell r="C3457" t="str">
            <v>2365</v>
          </cell>
          <cell r="H3457">
            <v>55.17</v>
          </cell>
        </row>
        <row r="3458">
          <cell r="C3458" t="str">
            <v>2364</v>
          </cell>
          <cell r="H3458">
            <v>55.17</v>
          </cell>
        </row>
        <row r="3459">
          <cell r="C3459" t="str">
            <v>2358</v>
          </cell>
          <cell r="H3459">
            <v>55.17</v>
          </cell>
        </row>
        <row r="3460">
          <cell r="C3460" t="str">
            <v>2356</v>
          </cell>
          <cell r="H3460">
            <v>55.17</v>
          </cell>
        </row>
        <row r="3461">
          <cell r="C3461" t="str">
            <v>2345</v>
          </cell>
          <cell r="H3461">
            <v>55.17</v>
          </cell>
        </row>
        <row r="3462">
          <cell r="C3462" t="str">
            <v>2344</v>
          </cell>
          <cell r="H3462">
            <v>71.55</v>
          </cell>
        </row>
        <row r="3463">
          <cell r="C3463" t="str">
            <v>2343</v>
          </cell>
          <cell r="H3463">
            <v>55.17</v>
          </cell>
        </row>
        <row r="3464">
          <cell r="C3464" t="str">
            <v>2335</v>
          </cell>
          <cell r="H3464">
            <v>55.17</v>
          </cell>
        </row>
        <row r="3465">
          <cell r="C3465" t="str">
            <v>2324</v>
          </cell>
          <cell r="H3465">
            <v>55.17</v>
          </cell>
        </row>
        <row r="3466">
          <cell r="C3466" t="str">
            <v>2322</v>
          </cell>
          <cell r="H3466">
            <v>55.17</v>
          </cell>
        </row>
        <row r="3467">
          <cell r="C3467" t="str">
            <v>2317</v>
          </cell>
          <cell r="H3467">
            <v>55.17</v>
          </cell>
        </row>
        <row r="3468">
          <cell r="C3468" t="str">
            <v>2316</v>
          </cell>
          <cell r="H3468">
            <v>55.17</v>
          </cell>
        </row>
        <row r="3469">
          <cell r="C3469" t="str">
            <v>2315</v>
          </cell>
          <cell r="H3469">
            <v>55.17</v>
          </cell>
        </row>
        <row r="3470">
          <cell r="C3470" t="str">
            <v>2314</v>
          </cell>
          <cell r="H3470">
            <v>73.28</v>
          </cell>
        </row>
        <row r="3471">
          <cell r="C3471" t="str">
            <v>2301</v>
          </cell>
          <cell r="H3471">
            <v>55.17</v>
          </cell>
        </row>
        <row r="3472">
          <cell r="C3472" t="str">
            <v>2300</v>
          </cell>
          <cell r="H3472">
            <v>55.17</v>
          </cell>
        </row>
        <row r="3473">
          <cell r="C3473" t="str">
            <v>817</v>
          </cell>
          <cell r="H3473">
            <v>10068.969999999999</v>
          </cell>
        </row>
        <row r="3474">
          <cell r="C3474" t="str">
            <v>815</v>
          </cell>
          <cell r="H3474">
            <v>6347.41</v>
          </cell>
        </row>
        <row r="3475">
          <cell r="C3475" t="str">
            <v>813</v>
          </cell>
          <cell r="H3475">
            <v>52.59</v>
          </cell>
        </row>
        <row r="3476">
          <cell r="C3476" t="str">
            <v>810</v>
          </cell>
          <cell r="H3476">
            <v>479.31</v>
          </cell>
        </row>
        <row r="3477">
          <cell r="C3477" t="str">
            <v>809</v>
          </cell>
          <cell r="H3477">
            <v>536.21</v>
          </cell>
        </row>
        <row r="3478">
          <cell r="C3478" t="str">
            <v>808</v>
          </cell>
          <cell r="H3478">
            <v>80.17</v>
          </cell>
        </row>
        <row r="3479">
          <cell r="C3479" t="str">
            <v>807</v>
          </cell>
          <cell r="H3479">
            <v>219.83</v>
          </cell>
        </row>
        <row r="3480">
          <cell r="C3480" t="str">
            <v>806</v>
          </cell>
          <cell r="H3480">
            <v>1099.1400000000001</v>
          </cell>
        </row>
        <row r="3481">
          <cell r="C3481" t="str">
            <v>805</v>
          </cell>
          <cell r="H3481">
            <v>829.31</v>
          </cell>
        </row>
        <row r="3482">
          <cell r="C3482" t="str">
            <v>804</v>
          </cell>
          <cell r="H3482">
            <v>990.52</v>
          </cell>
        </row>
        <row r="3483">
          <cell r="C3483" t="str">
            <v>803</v>
          </cell>
          <cell r="H3483">
            <v>990.52</v>
          </cell>
        </row>
        <row r="3484">
          <cell r="C3484" t="str">
            <v>802</v>
          </cell>
          <cell r="H3484">
            <v>1092.24</v>
          </cell>
        </row>
        <row r="3485">
          <cell r="C3485" t="str">
            <v>801</v>
          </cell>
          <cell r="H3485">
            <v>998.28</v>
          </cell>
        </row>
        <row r="3486">
          <cell r="C3486" t="str">
            <v>800</v>
          </cell>
          <cell r="H3486">
            <v>907.76</v>
          </cell>
        </row>
        <row r="3487">
          <cell r="C3487" t="str">
            <v>739</v>
          </cell>
          <cell r="H3487">
            <v>60.34</v>
          </cell>
        </row>
        <row r="3488">
          <cell r="C3488" t="str">
            <v>738</v>
          </cell>
          <cell r="H3488">
            <v>566.38</v>
          </cell>
        </row>
        <row r="3489">
          <cell r="C3489" t="str">
            <v>736</v>
          </cell>
          <cell r="H3489">
            <v>759.48</v>
          </cell>
        </row>
        <row r="3490">
          <cell r="C3490" t="str">
            <v>735</v>
          </cell>
          <cell r="H3490">
            <v>326.72000000000003</v>
          </cell>
        </row>
        <row r="3491">
          <cell r="C3491" t="str">
            <v>734</v>
          </cell>
          <cell r="H3491">
            <v>300.86</v>
          </cell>
        </row>
        <row r="3492">
          <cell r="C3492" t="str">
            <v>733</v>
          </cell>
          <cell r="H3492">
            <v>1228.45</v>
          </cell>
        </row>
        <row r="3493">
          <cell r="C3493" t="str">
            <v>732</v>
          </cell>
          <cell r="H3493">
            <v>806.9</v>
          </cell>
        </row>
        <row r="3494">
          <cell r="C3494" t="str">
            <v>731</v>
          </cell>
          <cell r="H3494">
            <v>285.33999999999997</v>
          </cell>
        </row>
        <row r="3495">
          <cell r="C3495" t="str">
            <v>730</v>
          </cell>
          <cell r="H3495">
            <v>759.48</v>
          </cell>
        </row>
        <row r="3496">
          <cell r="C3496" t="str">
            <v>729</v>
          </cell>
          <cell r="H3496">
            <v>387.93</v>
          </cell>
        </row>
        <row r="3497">
          <cell r="C3497" t="str">
            <v>728</v>
          </cell>
          <cell r="H3497">
            <v>346.55</v>
          </cell>
        </row>
        <row r="3498">
          <cell r="C3498" t="str">
            <v>727</v>
          </cell>
          <cell r="H3498">
            <v>354.31</v>
          </cell>
        </row>
        <row r="3499">
          <cell r="C3499" t="str">
            <v>726</v>
          </cell>
          <cell r="H3499">
            <v>759.48</v>
          </cell>
        </row>
        <row r="3500">
          <cell r="C3500" t="str">
            <v>725</v>
          </cell>
          <cell r="H3500">
            <v>1311.21</v>
          </cell>
        </row>
        <row r="3501">
          <cell r="C3501" t="str">
            <v>724</v>
          </cell>
          <cell r="H3501">
            <v>872.41</v>
          </cell>
        </row>
        <row r="3502">
          <cell r="C3502" t="str">
            <v>723</v>
          </cell>
          <cell r="H3502">
            <v>1439.66</v>
          </cell>
        </row>
        <row r="3503">
          <cell r="C3503" t="str">
            <v>722</v>
          </cell>
          <cell r="H3503">
            <v>1439.66</v>
          </cell>
        </row>
        <row r="3504">
          <cell r="C3504" t="str">
            <v>721</v>
          </cell>
          <cell r="H3504">
            <v>1100.8599999999999</v>
          </cell>
        </row>
        <row r="3505">
          <cell r="C3505" t="str">
            <v>720</v>
          </cell>
          <cell r="H3505">
            <v>1100.8599999999999</v>
          </cell>
        </row>
        <row r="3506">
          <cell r="C3506" t="str">
            <v>715</v>
          </cell>
          <cell r="H3506">
            <v>32.76</v>
          </cell>
        </row>
        <row r="3507">
          <cell r="C3507" t="str">
            <v>714</v>
          </cell>
          <cell r="H3507">
            <v>566.38</v>
          </cell>
        </row>
        <row r="3508">
          <cell r="C3508" t="str">
            <v>713</v>
          </cell>
          <cell r="H3508">
            <v>223.28</v>
          </cell>
        </row>
        <row r="3509">
          <cell r="C3509" t="str">
            <v>712</v>
          </cell>
          <cell r="H3509">
            <v>331.9</v>
          </cell>
        </row>
        <row r="3510">
          <cell r="C3510" t="str">
            <v>711</v>
          </cell>
          <cell r="H3510">
            <v>4020.69</v>
          </cell>
        </row>
        <row r="3511">
          <cell r="C3511" t="str">
            <v>710</v>
          </cell>
          <cell r="H3511">
            <v>539.66</v>
          </cell>
        </row>
        <row r="3512">
          <cell r="C3512" t="str">
            <v>709</v>
          </cell>
          <cell r="H3512">
            <v>566.38</v>
          </cell>
        </row>
        <row r="3513">
          <cell r="C3513" t="str">
            <v>707</v>
          </cell>
          <cell r="H3513">
            <v>484.48</v>
          </cell>
        </row>
        <row r="3514">
          <cell r="C3514" t="str">
            <v>706</v>
          </cell>
          <cell r="H3514">
            <v>718.1</v>
          </cell>
        </row>
        <row r="3515">
          <cell r="C3515" t="str">
            <v>705</v>
          </cell>
          <cell r="H3515">
            <v>1503.45</v>
          </cell>
        </row>
        <row r="3516">
          <cell r="C3516" t="str">
            <v>660</v>
          </cell>
          <cell r="H3516">
            <v>1962.07</v>
          </cell>
        </row>
        <row r="3517">
          <cell r="C3517" t="str">
            <v>644</v>
          </cell>
          <cell r="H3517">
            <v>10303.450000000001</v>
          </cell>
        </row>
        <row r="3518">
          <cell r="C3518" t="str">
            <v>643</v>
          </cell>
          <cell r="H3518">
            <v>4969.83</v>
          </cell>
        </row>
        <row r="3519">
          <cell r="C3519" t="str">
            <v>641</v>
          </cell>
          <cell r="H3519">
            <v>3730.17</v>
          </cell>
        </row>
        <row r="3520">
          <cell r="C3520" t="str">
            <v>640</v>
          </cell>
          <cell r="H3520">
            <v>2850</v>
          </cell>
        </row>
        <row r="3521">
          <cell r="C3521" t="str">
            <v>630</v>
          </cell>
          <cell r="H3521">
            <v>2796.55</v>
          </cell>
        </row>
        <row r="3522">
          <cell r="C3522" t="str">
            <v>624</v>
          </cell>
          <cell r="H3522">
            <v>220.69</v>
          </cell>
        </row>
        <row r="3523">
          <cell r="C3523" t="str">
            <v>623</v>
          </cell>
          <cell r="H3523">
            <v>181.03</v>
          </cell>
        </row>
        <row r="3524">
          <cell r="C3524" t="str">
            <v>622</v>
          </cell>
          <cell r="H3524">
            <v>173.28</v>
          </cell>
        </row>
        <row r="3525">
          <cell r="C3525" t="str">
            <v>621</v>
          </cell>
          <cell r="H3525">
            <v>154.31</v>
          </cell>
        </row>
        <row r="3526">
          <cell r="C3526" t="str">
            <v>620</v>
          </cell>
          <cell r="H3526">
            <v>1616.38</v>
          </cell>
        </row>
        <row r="3527">
          <cell r="C3527" t="str">
            <v>610</v>
          </cell>
          <cell r="H3527">
            <v>16418.099999999999</v>
          </cell>
        </row>
        <row r="3528">
          <cell r="C3528" t="str">
            <v>602</v>
          </cell>
          <cell r="H3528">
            <v>4662.93</v>
          </cell>
        </row>
        <row r="3529">
          <cell r="C3529" t="str">
            <v>601</v>
          </cell>
          <cell r="H3529">
            <v>10253.450000000001</v>
          </cell>
        </row>
        <row r="3530">
          <cell r="C3530" t="str">
            <v>600</v>
          </cell>
          <cell r="H3530">
            <v>13200</v>
          </cell>
        </row>
        <row r="3531">
          <cell r="C3531" t="str">
            <v>565</v>
          </cell>
          <cell r="H3531">
            <v>0.01</v>
          </cell>
        </row>
        <row r="3532">
          <cell r="C3532" t="str">
            <v>514</v>
          </cell>
          <cell r="H3532">
            <v>0.01</v>
          </cell>
        </row>
        <row r="3533">
          <cell r="C3533" t="str">
            <v>513</v>
          </cell>
          <cell r="H3533">
            <v>0.01</v>
          </cell>
        </row>
        <row r="3534">
          <cell r="C3534" t="str">
            <v>498</v>
          </cell>
          <cell r="H3534">
            <v>1.72</v>
          </cell>
        </row>
        <row r="3535">
          <cell r="C3535" t="str">
            <v>481</v>
          </cell>
          <cell r="H3535">
            <v>134.47999999999999</v>
          </cell>
        </row>
        <row r="3536">
          <cell r="C3536" t="str">
            <v>467</v>
          </cell>
          <cell r="H3536">
            <v>0.01</v>
          </cell>
        </row>
        <row r="3537">
          <cell r="C3537" t="str">
            <v>464</v>
          </cell>
          <cell r="H3537">
            <v>186.21</v>
          </cell>
        </row>
        <row r="3538">
          <cell r="C3538" t="str">
            <v>457</v>
          </cell>
          <cell r="H3538">
            <v>15.52</v>
          </cell>
        </row>
        <row r="3539">
          <cell r="C3539" t="str">
            <v>396</v>
          </cell>
          <cell r="H3539">
            <v>0.01</v>
          </cell>
        </row>
        <row r="3540">
          <cell r="C3540" t="str">
            <v>360</v>
          </cell>
          <cell r="H3540">
            <v>1.72</v>
          </cell>
        </row>
        <row r="3541">
          <cell r="C3541" t="str">
            <v>343</v>
          </cell>
          <cell r="H3541">
            <v>108.62</v>
          </cell>
        </row>
        <row r="3542">
          <cell r="C3542" t="str">
            <v>342</v>
          </cell>
          <cell r="H3542">
            <v>3.45</v>
          </cell>
        </row>
        <row r="3543">
          <cell r="C3543" t="str">
            <v>341</v>
          </cell>
          <cell r="H3543">
            <v>4.3099999999999996</v>
          </cell>
        </row>
        <row r="3544">
          <cell r="C3544" t="str">
            <v>340</v>
          </cell>
          <cell r="H3544">
            <v>6.03</v>
          </cell>
        </row>
        <row r="3545">
          <cell r="C3545" t="str">
            <v>322</v>
          </cell>
          <cell r="H3545">
            <v>13.79</v>
          </cell>
        </row>
        <row r="3546">
          <cell r="C3546" t="str">
            <v>314</v>
          </cell>
          <cell r="H3546">
            <v>0.01</v>
          </cell>
        </row>
        <row r="3547">
          <cell r="C3547" t="str">
            <v>305</v>
          </cell>
          <cell r="H3547">
            <v>9.48</v>
          </cell>
        </row>
        <row r="3548">
          <cell r="C3548" t="str">
            <v>10290</v>
          </cell>
          <cell r="H3548">
            <v>31417.24</v>
          </cell>
        </row>
        <row r="3549">
          <cell r="C3549" t="str">
            <v>422</v>
          </cell>
          <cell r="H3549">
            <v>16.38</v>
          </cell>
        </row>
        <row r="3550">
          <cell r="C3550" t="str">
            <v>392</v>
          </cell>
          <cell r="H3550">
            <v>0.86</v>
          </cell>
        </row>
        <row r="3551">
          <cell r="C3551" t="str">
            <v>390</v>
          </cell>
          <cell r="H3551">
            <v>531.9</v>
          </cell>
        </row>
        <row r="3552">
          <cell r="C3552" t="str">
            <v>351</v>
          </cell>
          <cell r="H3552">
            <v>0.86</v>
          </cell>
        </row>
        <row r="3553">
          <cell r="C3553" t="str">
            <v>347</v>
          </cell>
          <cell r="H3553">
            <v>77.59</v>
          </cell>
        </row>
        <row r="3554">
          <cell r="C3554" t="str">
            <v>10253</v>
          </cell>
          <cell r="H3554">
            <v>905.17</v>
          </cell>
        </row>
        <row r="3555">
          <cell r="C3555" t="str">
            <v>10223</v>
          </cell>
          <cell r="H3555">
            <v>862.07</v>
          </cell>
        </row>
        <row r="3556">
          <cell r="C3556" t="str">
            <v>10200</v>
          </cell>
          <cell r="H3556">
            <v>34268.97</v>
          </cell>
        </row>
        <row r="3557">
          <cell r="C3557" t="str">
            <v>9919</v>
          </cell>
          <cell r="H3557">
            <v>75.86</v>
          </cell>
        </row>
        <row r="3558">
          <cell r="C3558" t="str">
            <v>9918</v>
          </cell>
          <cell r="H3558">
            <v>92.24</v>
          </cell>
        </row>
        <row r="3559">
          <cell r="C3559" t="str">
            <v>476</v>
          </cell>
          <cell r="H3559">
            <v>0.01</v>
          </cell>
        </row>
        <row r="3560">
          <cell r="C3560" t="str">
            <v>475</v>
          </cell>
          <cell r="H3560">
            <v>0.01</v>
          </cell>
        </row>
        <row r="3561">
          <cell r="C3561" t="str">
            <v>474</v>
          </cell>
          <cell r="H3561">
            <v>0.01</v>
          </cell>
        </row>
        <row r="3562">
          <cell r="C3562" t="str">
            <v>473</v>
          </cell>
          <cell r="H3562">
            <v>0.01</v>
          </cell>
        </row>
        <row r="3563">
          <cell r="C3563" t="str">
            <v>10254</v>
          </cell>
          <cell r="H3563">
            <v>225.86</v>
          </cell>
        </row>
        <row r="3564">
          <cell r="C3564" t="str">
            <v>497</v>
          </cell>
          <cell r="H3564">
            <v>0.86</v>
          </cell>
        </row>
        <row r="3565">
          <cell r="C3565" t="str">
            <v>494</v>
          </cell>
          <cell r="H3565">
            <v>0.86</v>
          </cell>
        </row>
        <row r="3566">
          <cell r="C3566" t="str">
            <v>379</v>
          </cell>
          <cell r="H3566">
            <v>0.86</v>
          </cell>
        </row>
        <row r="3567">
          <cell r="C3567" t="str">
            <v>9815</v>
          </cell>
          <cell r="H3567">
            <v>0.01</v>
          </cell>
        </row>
        <row r="3568">
          <cell r="C3568" t="str">
            <v>21454</v>
          </cell>
          <cell r="H3568">
            <v>257.76</v>
          </cell>
        </row>
        <row r="3569">
          <cell r="C3569" t="str">
            <v>21453</v>
          </cell>
          <cell r="H3569">
            <v>917.24</v>
          </cell>
        </row>
        <row r="3570">
          <cell r="C3570" t="str">
            <v>21451</v>
          </cell>
          <cell r="H3570">
            <v>3890.52</v>
          </cell>
        </row>
        <row r="3571">
          <cell r="C3571" t="str">
            <v>21446</v>
          </cell>
          <cell r="H3571">
            <v>180.17</v>
          </cell>
        </row>
        <row r="3572">
          <cell r="C3572" t="str">
            <v>21444</v>
          </cell>
          <cell r="H3572">
            <v>489.66</v>
          </cell>
        </row>
        <row r="3573">
          <cell r="C3573" t="str">
            <v>21443</v>
          </cell>
          <cell r="H3573">
            <v>1754.31</v>
          </cell>
        </row>
        <row r="3574">
          <cell r="C3574" t="str">
            <v>21354</v>
          </cell>
          <cell r="H3574">
            <v>257.76</v>
          </cell>
        </row>
        <row r="3575">
          <cell r="C3575" t="str">
            <v>21353</v>
          </cell>
          <cell r="H3575">
            <v>917.24</v>
          </cell>
        </row>
        <row r="3576">
          <cell r="C3576" t="str">
            <v>21214</v>
          </cell>
          <cell r="H3576">
            <v>257.76</v>
          </cell>
        </row>
        <row r="3577">
          <cell r="C3577" t="str">
            <v>21213</v>
          </cell>
          <cell r="H3577">
            <v>917.24</v>
          </cell>
        </row>
        <row r="3578">
          <cell r="C3578" t="str">
            <v>21154</v>
          </cell>
          <cell r="H3578">
            <v>257.76</v>
          </cell>
        </row>
        <row r="3579">
          <cell r="C3579" t="str">
            <v>21153</v>
          </cell>
          <cell r="H3579">
            <v>917.24</v>
          </cell>
        </row>
        <row r="3580">
          <cell r="C3580" t="str">
            <v>21151</v>
          </cell>
          <cell r="H3580">
            <v>3890.52</v>
          </cell>
        </row>
        <row r="3581">
          <cell r="C3581" t="str">
            <v>21136</v>
          </cell>
          <cell r="H3581">
            <v>80.17</v>
          </cell>
        </row>
        <row r="3582">
          <cell r="C3582" t="str">
            <v>21134</v>
          </cell>
          <cell r="H3582">
            <v>257.76</v>
          </cell>
        </row>
        <row r="3583">
          <cell r="C3583" t="str">
            <v>21133</v>
          </cell>
          <cell r="H3583">
            <v>917.24</v>
          </cell>
        </row>
        <row r="3584">
          <cell r="C3584" t="str">
            <v>21131</v>
          </cell>
          <cell r="H3584">
            <v>3890.52</v>
          </cell>
        </row>
        <row r="3585">
          <cell r="C3585" t="str">
            <v>21096</v>
          </cell>
          <cell r="H3585">
            <v>180.17</v>
          </cell>
        </row>
        <row r="3586">
          <cell r="C3586" t="str">
            <v>21094</v>
          </cell>
          <cell r="H3586">
            <v>489.66</v>
          </cell>
        </row>
        <row r="3587">
          <cell r="C3587" t="str">
            <v>21093</v>
          </cell>
          <cell r="H3587">
            <v>1754.31</v>
          </cell>
        </row>
        <row r="3588">
          <cell r="C3588" t="str">
            <v>21084</v>
          </cell>
          <cell r="H3588">
            <v>192.24</v>
          </cell>
        </row>
        <row r="3589">
          <cell r="C3589" t="str">
            <v>21083</v>
          </cell>
          <cell r="H3589">
            <v>657.76</v>
          </cell>
        </row>
        <row r="3590">
          <cell r="C3590" t="str">
            <v>21081</v>
          </cell>
          <cell r="H3590">
            <v>2657.76</v>
          </cell>
        </row>
        <row r="3591">
          <cell r="C3591" t="str">
            <v>21074</v>
          </cell>
          <cell r="H3591">
            <v>227.59</v>
          </cell>
        </row>
        <row r="3592">
          <cell r="C3592" t="str">
            <v>21073</v>
          </cell>
          <cell r="H3592">
            <v>795.69</v>
          </cell>
        </row>
        <row r="3593">
          <cell r="C3593" t="str">
            <v>21071</v>
          </cell>
          <cell r="H3593">
            <v>3314.66</v>
          </cell>
        </row>
        <row r="3594">
          <cell r="C3594" t="str">
            <v>21054</v>
          </cell>
          <cell r="H3594">
            <v>257.76</v>
          </cell>
        </row>
        <row r="3595">
          <cell r="C3595" t="str">
            <v>21053</v>
          </cell>
          <cell r="H3595">
            <v>912.93</v>
          </cell>
        </row>
        <row r="3596">
          <cell r="C3596" t="str">
            <v>21051</v>
          </cell>
          <cell r="H3596">
            <v>3843.97</v>
          </cell>
        </row>
        <row r="3597">
          <cell r="C3597" t="str">
            <v>21044</v>
          </cell>
          <cell r="H3597">
            <v>254.31</v>
          </cell>
        </row>
        <row r="3598">
          <cell r="C3598" t="str">
            <v>21043</v>
          </cell>
          <cell r="H3598">
            <v>903.45</v>
          </cell>
        </row>
        <row r="3599">
          <cell r="C3599" t="str">
            <v>21041</v>
          </cell>
          <cell r="H3599">
            <v>3825</v>
          </cell>
        </row>
        <row r="3600">
          <cell r="C3600" t="str">
            <v>21034</v>
          </cell>
          <cell r="H3600">
            <v>257.76</v>
          </cell>
        </row>
        <row r="3601">
          <cell r="C3601" t="str">
            <v>21033</v>
          </cell>
          <cell r="H3601">
            <v>917.24</v>
          </cell>
        </row>
        <row r="3602">
          <cell r="C3602" t="str">
            <v>21031</v>
          </cell>
          <cell r="H3602">
            <v>3890.52</v>
          </cell>
        </row>
        <row r="3603">
          <cell r="C3603" t="str">
            <v>21016</v>
          </cell>
          <cell r="H3603">
            <v>72.41</v>
          </cell>
        </row>
        <row r="3604">
          <cell r="C3604" t="str">
            <v>21014</v>
          </cell>
          <cell r="H3604">
            <v>257.76</v>
          </cell>
        </row>
        <row r="3605">
          <cell r="C3605" t="str">
            <v>21013</v>
          </cell>
          <cell r="H3605">
            <v>917.24</v>
          </cell>
        </row>
        <row r="3606">
          <cell r="C3606" t="str">
            <v>21011</v>
          </cell>
          <cell r="H3606">
            <v>3890.52</v>
          </cell>
        </row>
        <row r="3607">
          <cell r="C3607" t="str">
            <v>21006</v>
          </cell>
          <cell r="H3607">
            <v>80.17</v>
          </cell>
        </row>
        <row r="3608">
          <cell r="C3608" t="str">
            <v>21004</v>
          </cell>
          <cell r="H3608">
            <v>257.76</v>
          </cell>
        </row>
        <row r="3609">
          <cell r="C3609" t="str">
            <v>21003</v>
          </cell>
          <cell r="H3609">
            <v>917.24</v>
          </cell>
        </row>
        <row r="3610">
          <cell r="C3610" t="str">
            <v>21001</v>
          </cell>
          <cell r="H3610">
            <v>3890.52</v>
          </cell>
        </row>
        <row r="3611">
          <cell r="C3611" t="str">
            <v>21000</v>
          </cell>
          <cell r="H3611">
            <v>35807.760000000002</v>
          </cell>
        </row>
        <row r="3612">
          <cell r="C3612" t="str">
            <v>20994</v>
          </cell>
          <cell r="H3612">
            <v>283.62</v>
          </cell>
        </row>
        <row r="3613">
          <cell r="C3613" t="str">
            <v>20993</v>
          </cell>
          <cell r="H3613">
            <v>1012.93</v>
          </cell>
        </row>
        <row r="3614">
          <cell r="C3614" t="str">
            <v>20991</v>
          </cell>
          <cell r="H3614">
            <v>4295.6899999999996</v>
          </cell>
        </row>
        <row r="3615">
          <cell r="C3615" t="str">
            <v>20084</v>
          </cell>
          <cell r="H3615">
            <v>219.83</v>
          </cell>
        </row>
        <row r="3616">
          <cell r="C3616" t="str">
            <v>20083</v>
          </cell>
          <cell r="H3616">
            <v>756.03</v>
          </cell>
        </row>
        <row r="3617">
          <cell r="C3617" t="str">
            <v>20081</v>
          </cell>
          <cell r="H3617">
            <v>3073.28</v>
          </cell>
        </row>
        <row r="3618">
          <cell r="C3618" t="str">
            <v>20074</v>
          </cell>
          <cell r="H3618">
            <v>253.45</v>
          </cell>
        </row>
        <row r="3619">
          <cell r="C3619" t="str">
            <v>20073</v>
          </cell>
          <cell r="H3619">
            <v>893.1</v>
          </cell>
        </row>
        <row r="3620">
          <cell r="C3620" t="str">
            <v>20071</v>
          </cell>
          <cell r="H3620">
            <v>3724.14</v>
          </cell>
        </row>
        <row r="3621">
          <cell r="C3621" t="str">
            <v>20044</v>
          </cell>
          <cell r="H3621">
            <v>280.17</v>
          </cell>
        </row>
        <row r="3622">
          <cell r="C3622" t="str">
            <v>20043</v>
          </cell>
          <cell r="H3622">
            <v>1000.86</v>
          </cell>
        </row>
        <row r="3623">
          <cell r="C3623" t="str">
            <v>20041</v>
          </cell>
          <cell r="H3623">
            <v>4230.17</v>
          </cell>
        </row>
        <row r="3624">
          <cell r="C3624" t="str">
            <v>20004</v>
          </cell>
          <cell r="H3624">
            <v>283.62</v>
          </cell>
        </row>
        <row r="3625">
          <cell r="C3625" t="str">
            <v>20003</v>
          </cell>
          <cell r="H3625">
            <v>1012.93</v>
          </cell>
        </row>
        <row r="3626">
          <cell r="C3626" t="str">
            <v>20001</v>
          </cell>
          <cell r="H3626">
            <v>4295.6899999999996</v>
          </cell>
        </row>
        <row r="3627">
          <cell r="C3627" t="str">
            <v>19934</v>
          </cell>
          <cell r="H3627">
            <v>255.17</v>
          </cell>
        </row>
        <row r="3628">
          <cell r="C3628" t="str">
            <v>19933</v>
          </cell>
          <cell r="H3628">
            <v>769.83</v>
          </cell>
        </row>
        <row r="3629">
          <cell r="C3629" t="str">
            <v>19931</v>
          </cell>
          <cell r="H3629">
            <v>3351.72</v>
          </cell>
        </row>
        <row r="3630">
          <cell r="C3630" t="str">
            <v>19930</v>
          </cell>
          <cell r="H3630">
            <v>33508.620000000003</v>
          </cell>
        </row>
        <row r="3631">
          <cell r="C3631" t="str">
            <v>19754</v>
          </cell>
          <cell r="H3631">
            <v>255.17</v>
          </cell>
        </row>
        <row r="3632">
          <cell r="C3632" t="str">
            <v>19753</v>
          </cell>
          <cell r="H3632">
            <v>769.83</v>
          </cell>
        </row>
        <row r="3633">
          <cell r="C3633" t="str">
            <v>19751</v>
          </cell>
          <cell r="H3633">
            <v>3351.72</v>
          </cell>
        </row>
        <row r="3634">
          <cell r="C3634" t="str">
            <v>19734</v>
          </cell>
          <cell r="H3634">
            <v>255.17</v>
          </cell>
        </row>
        <row r="3635">
          <cell r="C3635" t="str">
            <v>19733</v>
          </cell>
          <cell r="H3635">
            <v>769.83</v>
          </cell>
        </row>
        <row r="3636">
          <cell r="C3636" t="str">
            <v>19731</v>
          </cell>
          <cell r="H3636">
            <v>3351.72</v>
          </cell>
        </row>
        <row r="3637">
          <cell r="C3637" t="str">
            <v>19730</v>
          </cell>
          <cell r="H3637">
            <v>35307.760000000002</v>
          </cell>
        </row>
        <row r="3638">
          <cell r="C3638" t="str">
            <v>19674</v>
          </cell>
          <cell r="H3638">
            <v>255.17</v>
          </cell>
        </row>
        <row r="3639">
          <cell r="C3639" t="str">
            <v>19673</v>
          </cell>
          <cell r="H3639">
            <v>769.83</v>
          </cell>
        </row>
        <row r="3640">
          <cell r="C3640" t="str">
            <v>19671</v>
          </cell>
          <cell r="H3640">
            <v>3351.72</v>
          </cell>
        </row>
        <row r="3641">
          <cell r="C3641" t="str">
            <v>19670</v>
          </cell>
          <cell r="H3641">
            <v>33510.339999999997</v>
          </cell>
        </row>
        <row r="3642">
          <cell r="C3642" t="str">
            <v>17991</v>
          </cell>
          <cell r="H3642">
            <v>3812.07</v>
          </cell>
        </row>
        <row r="3643">
          <cell r="C3643" t="str">
            <v>17981</v>
          </cell>
          <cell r="H3643">
            <v>3812.07</v>
          </cell>
        </row>
        <row r="3644">
          <cell r="C3644" t="str">
            <v>17971</v>
          </cell>
          <cell r="H3644">
            <v>3562.93</v>
          </cell>
        </row>
        <row r="3645">
          <cell r="C3645" t="str">
            <v>17931</v>
          </cell>
          <cell r="H3645">
            <v>4232.76</v>
          </cell>
        </row>
        <row r="3646">
          <cell r="C3646" t="str">
            <v>17921</v>
          </cell>
          <cell r="H3646">
            <v>4232.76</v>
          </cell>
        </row>
        <row r="3647">
          <cell r="C3647" t="str">
            <v>17821</v>
          </cell>
          <cell r="H3647">
            <v>3812.07</v>
          </cell>
        </row>
        <row r="3648">
          <cell r="C3648" t="str">
            <v>17794</v>
          </cell>
          <cell r="H3648">
            <v>309.48</v>
          </cell>
        </row>
        <row r="3649">
          <cell r="C3649" t="str">
            <v>17741</v>
          </cell>
          <cell r="H3649">
            <v>3812.07</v>
          </cell>
        </row>
        <row r="3650">
          <cell r="C3650" t="str">
            <v>17691</v>
          </cell>
          <cell r="H3650">
            <v>3812.07</v>
          </cell>
        </row>
        <row r="3651">
          <cell r="C3651" t="str">
            <v>17641</v>
          </cell>
          <cell r="H3651">
            <v>4232.76</v>
          </cell>
        </row>
        <row r="3652">
          <cell r="C3652" t="str">
            <v>17581</v>
          </cell>
          <cell r="H3652">
            <v>3812.07</v>
          </cell>
        </row>
        <row r="3653">
          <cell r="C3653" t="str">
            <v>17561</v>
          </cell>
          <cell r="H3653">
            <v>3812.07</v>
          </cell>
        </row>
        <row r="3654">
          <cell r="C3654" t="str">
            <v>17551</v>
          </cell>
          <cell r="H3654">
            <v>3850</v>
          </cell>
        </row>
        <row r="3655">
          <cell r="C3655" t="str">
            <v>17451</v>
          </cell>
          <cell r="H3655">
            <v>4232.76</v>
          </cell>
        </row>
        <row r="3656">
          <cell r="C3656" t="str">
            <v>17261</v>
          </cell>
          <cell r="H3656">
            <v>4232.76</v>
          </cell>
        </row>
        <row r="3657">
          <cell r="C3657" t="str">
            <v>17241</v>
          </cell>
          <cell r="H3657">
            <v>4232.76</v>
          </cell>
        </row>
        <row r="3658">
          <cell r="C3658" t="str">
            <v>17211</v>
          </cell>
          <cell r="H3658">
            <v>4232.76</v>
          </cell>
        </row>
        <row r="3659">
          <cell r="C3659" t="str">
            <v>17163</v>
          </cell>
          <cell r="H3659">
            <v>1027.5899999999999</v>
          </cell>
        </row>
        <row r="3660">
          <cell r="C3660" t="str">
            <v>17161</v>
          </cell>
          <cell r="H3660">
            <v>4077.59</v>
          </cell>
        </row>
        <row r="3661">
          <cell r="C3661" t="str">
            <v>17071</v>
          </cell>
          <cell r="H3661">
            <v>4232.76</v>
          </cell>
        </row>
        <row r="3662">
          <cell r="C3662" t="str">
            <v>17031</v>
          </cell>
          <cell r="H3662">
            <v>3868.97</v>
          </cell>
        </row>
        <row r="3663">
          <cell r="C3663" t="str">
            <v>17001</v>
          </cell>
          <cell r="H3663">
            <v>4232.76</v>
          </cell>
        </row>
        <row r="3664">
          <cell r="C3664" t="str">
            <v>16991</v>
          </cell>
          <cell r="H3664">
            <v>3244.83</v>
          </cell>
        </row>
        <row r="3665">
          <cell r="C3665" t="str">
            <v>16990</v>
          </cell>
          <cell r="H3665">
            <v>32392.240000000002</v>
          </cell>
        </row>
        <row r="3666">
          <cell r="C3666" t="str">
            <v>16981</v>
          </cell>
          <cell r="H3666">
            <v>3244.83</v>
          </cell>
        </row>
        <row r="3667">
          <cell r="C3667" t="str">
            <v>16891</v>
          </cell>
          <cell r="H3667">
            <v>3635.34</v>
          </cell>
        </row>
        <row r="3668">
          <cell r="C3668" t="str">
            <v>16890</v>
          </cell>
          <cell r="H3668">
            <v>36445.69</v>
          </cell>
        </row>
        <row r="3669">
          <cell r="C3669" t="str">
            <v>16851</v>
          </cell>
          <cell r="H3669">
            <v>2990.52</v>
          </cell>
        </row>
        <row r="3670">
          <cell r="C3670" t="str">
            <v>16850</v>
          </cell>
          <cell r="H3670">
            <v>29943.1</v>
          </cell>
        </row>
        <row r="3671">
          <cell r="C3671" t="str">
            <v>16831</v>
          </cell>
          <cell r="H3671">
            <v>3415.52</v>
          </cell>
        </row>
        <row r="3672">
          <cell r="C3672" t="str">
            <v>16830</v>
          </cell>
          <cell r="H3672">
            <v>34075.86</v>
          </cell>
        </row>
        <row r="3673">
          <cell r="C3673" t="str">
            <v>16691</v>
          </cell>
          <cell r="H3673">
            <v>3712.07</v>
          </cell>
        </row>
        <row r="3674">
          <cell r="C3674" t="str">
            <v>16690</v>
          </cell>
          <cell r="H3674">
            <v>37089.660000000003</v>
          </cell>
        </row>
        <row r="3675">
          <cell r="C3675" t="str">
            <v>16601</v>
          </cell>
          <cell r="H3675">
            <v>4139.66</v>
          </cell>
        </row>
        <row r="3676">
          <cell r="C3676" t="str">
            <v>16600</v>
          </cell>
          <cell r="H3676">
            <v>41539.660000000003</v>
          </cell>
        </row>
        <row r="3677">
          <cell r="C3677" t="str">
            <v>16451</v>
          </cell>
          <cell r="H3677">
            <v>3967.24</v>
          </cell>
        </row>
        <row r="3678">
          <cell r="C3678" t="str">
            <v>16450</v>
          </cell>
          <cell r="H3678">
            <v>39797.410000000003</v>
          </cell>
        </row>
        <row r="3679">
          <cell r="C3679" t="str">
            <v>16441</v>
          </cell>
          <cell r="H3679">
            <v>4107.76</v>
          </cell>
        </row>
        <row r="3680">
          <cell r="C3680" t="str">
            <v>16351</v>
          </cell>
          <cell r="H3680">
            <v>4305.17</v>
          </cell>
        </row>
        <row r="3681">
          <cell r="C3681" t="str">
            <v>16350</v>
          </cell>
          <cell r="H3681">
            <v>43043.1</v>
          </cell>
        </row>
        <row r="3682">
          <cell r="C3682" t="str">
            <v>16171</v>
          </cell>
          <cell r="H3682">
            <v>4103.45</v>
          </cell>
        </row>
        <row r="3683">
          <cell r="C3683" t="str">
            <v>16170</v>
          </cell>
          <cell r="H3683">
            <v>41131.03</v>
          </cell>
        </row>
        <row r="3684">
          <cell r="C3684" t="str">
            <v>16151</v>
          </cell>
          <cell r="H3684">
            <v>4384.4799999999996</v>
          </cell>
        </row>
        <row r="3685">
          <cell r="C3685" t="str">
            <v>16141</v>
          </cell>
          <cell r="H3685">
            <v>4719.83</v>
          </cell>
        </row>
        <row r="3686">
          <cell r="C3686" t="str">
            <v>16140</v>
          </cell>
          <cell r="H3686">
            <v>47343.1</v>
          </cell>
        </row>
        <row r="3687">
          <cell r="C3687" t="str">
            <v>16003</v>
          </cell>
          <cell r="H3687">
            <v>1061.21</v>
          </cell>
        </row>
        <row r="3688">
          <cell r="C3688" t="str">
            <v>16001</v>
          </cell>
          <cell r="H3688">
            <v>4084.48</v>
          </cell>
        </row>
        <row r="3689">
          <cell r="C3689" t="str">
            <v>16000</v>
          </cell>
          <cell r="H3689">
            <v>40835.339999999997</v>
          </cell>
        </row>
        <row r="3690">
          <cell r="C3690" t="str">
            <v>15994</v>
          </cell>
          <cell r="H3690">
            <v>185.34</v>
          </cell>
        </row>
        <row r="3691">
          <cell r="C3691" t="str">
            <v>15993</v>
          </cell>
          <cell r="H3691">
            <v>638.79</v>
          </cell>
        </row>
        <row r="3692">
          <cell r="C3692" t="str">
            <v>15991</v>
          </cell>
          <cell r="H3692">
            <v>2540.52</v>
          </cell>
        </row>
        <row r="3693">
          <cell r="C3693" t="str">
            <v>15990</v>
          </cell>
          <cell r="H3693">
            <v>22666.38</v>
          </cell>
        </row>
        <row r="3694">
          <cell r="C3694" t="str">
            <v>15934</v>
          </cell>
          <cell r="H3694">
            <v>194.83</v>
          </cell>
        </row>
        <row r="3695">
          <cell r="C3695" t="str">
            <v>15933</v>
          </cell>
          <cell r="H3695">
            <v>692.24</v>
          </cell>
        </row>
        <row r="3696">
          <cell r="C3696" t="str">
            <v>15931</v>
          </cell>
          <cell r="H3696">
            <v>2676.72</v>
          </cell>
        </row>
        <row r="3697">
          <cell r="C3697" t="str">
            <v>15930</v>
          </cell>
          <cell r="H3697">
            <v>24463.79</v>
          </cell>
        </row>
        <row r="3698">
          <cell r="C3698" t="str">
            <v>15923</v>
          </cell>
          <cell r="H3698">
            <v>930.17</v>
          </cell>
        </row>
        <row r="3699">
          <cell r="C3699" t="str">
            <v>15921</v>
          </cell>
          <cell r="H3699">
            <v>3677.59</v>
          </cell>
        </row>
        <row r="3700">
          <cell r="C3700" t="str">
            <v>15920</v>
          </cell>
          <cell r="H3700">
            <v>36750</v>
          </cell>
        </row>
        <row r="3701">
          <cell r="C3701" t="str">
            <v>15763</v>
          </cell>
          <cell r="H3701">
            <v>1002.59</v>
          </cell>
        </row>
        <row r="3702">
          <cell r="C3702" t="str">
            <v>15761</v>
          </cell>
          <cell r="H3702">
            <v>3985.34</v>
          </cell>
        </row>
        <row r="3703">
          <cell r="C3703" t="str">
            <v>15760</v>
          </cell>
          <cell r="H3703">
            <v>39658.620000000003</v>
          </cell>
        </row>
        <row r="3704">
          <cell r="C3704" t="str">
            <v>15753</v>
          </cell>
          <cell r="H3704">
            <v>891.38</v>
          </cell>
        </row>
        <row r="3705">
          <cell r="C3705" t="str">
            <v>15751</v>
          </cell>
          <cell r="H3705">
            <v>3553.45</v>
          </cell>
        </row>
        <row r="3706">
          <cell r="C3706" t="str">
            <v>15750</v>
          </cell>
          <cell r="H3706">
            <v>35301.72</v>
          </cell>
        </row>
        <row r="3707">
          <cell r="C3707" t="str">
            <v>15564</v>
          </cell>
          <cell r="H3707">
            <v>194.83</v>
          </cell>
        </row>
        <row r="3708">
          <cell r="C3708" t="str">
            <v>15563</v>
          </cell>
          <cell r="H3708">
            <v>692.24</v>
          </cell>
        </row>
        <row r="3709">
          <cell r="C3709" t="str">
            <v>15561</v>
          </cell>
          <cell r="H3709">
            <v>2676.72</v>
          </cell>
        </row>
        <row r="3710">
          <cell r="C3710" t="str">
            <v>15560</v>
          </cell>
          <cell r="H3710">
            <v>26592.240000000002</v>
          </cell>
        </row>
        <row r="3711">
          <cell r="C3711" t="str">
            <v>15364</v>
          </cell>
          <cell r="H3711">
            <v>408.62</v>
          </cell>
        </row>
        <row r="3712">
          <cell r="C3712" t="str">
            <v>15363</v>
          </cell>
          <cell r="H3712">
            <v>1337.07</v>
          </cell>
        </row>
        <row r="3713">
          <cell r="C3713" t="str">
            <v>15361</v>
          </cell>
          <cell r="H3713">
            <v>5752.59</v>
          </cell>
        </row>
        <row r="3714">
          <cell r="C3714" t="str">
            <v>15344</v>
          </cell>
          <cell r="H3714">
            <v>381.03</v>
          </cell>
        </row>
        <row r="3715">
          <cell r="C3715" t="str">
            <v>15343</v>
          </cell>
          <cell r="H3715">
            <v>1234.48</v>
          </cell>
        </row>
        <row r="3716">
          <cell r="C3716" t="str">
            <v>15341</v>
          </cell>
          <cell r="H3716">
            <v>5338.79</v>
          </cell>
        </row>
        <row r="3717">
          <cell r="C3717" t="str">
            <v>15274</v>
          </cell>
          <cell r="H3717">
            <v>308.62</v>
          </cell>
        </row>
        <row r="3718">
          <cell r="C3718" t="str">
            <v>15273</v>
          </cell>
          <cell r="H3718">
            <v>993.97</v>
          </cell>
        </row>
        <row r="3719">
          <cell r="C3719" t="str">
            <v>15271</v>
          </cell>
          <cell r="H3719">
            <v>4281.8999999999996</v>
          </cell>
        </row>
        <row r="3720">
          <cell r="C3720" t="str">
            <v>15034</v>
          </cell>
          <cell r="H3720">
            <v>189.66</v>
          </cell>
        </row>
        <row r="3721">
          <cell r="C3721" t="str">
            <v>15033</v>
          </cell>
          <cell r="H3721">
            <v>691.38</v>
          </cell>
        </row>
        <row r="3722">
          <cell r="C3722" t="str">
            <v>15031</v>
          </cell>
          <cell r="H3722">
            <v>2737.07</v>
          </cell>
        </row>
        <row r="3723">
          <cell r="C3723" t="str">
            <v>14975</v>
          </cell>
          <cell r="H3723">
            <v>122.41</v>
          </cell>
        </row>
        <row r="3724">
          <cell r="C3724" t="str">
            <v>14974</v>
          </cell>
          <cell r="H3724">
            <v>270.69</v>
          </cell>
        </row>
        <row r="3725">
          <cell r="C3725" t="str">
            <v>14973</v>
          </cell>
          <cell r="H3725">
            <v>1040.52</v>
          </cell>
        </row>
        <row r="3726">
          <cell r="C3726" t="str">
            <v>14971</v>
          </cell>
          <cell r="H3726">
            <v>4118.1000000000004</v>
          </cell>
        </row>
        <row r="3727">
          <cell r="C3727" t="str">
            <v>14946</v>
          </cell>
          <cell r="H3727">
            <v>110.34</v>
          </cell>
        </row>
        <row r="3728">
          <cell r="C3728" t="str">
            <v>14884</v>
          </cell>
          <cell r="H3728">
            <v>231.03</v>
          </cell>
        </row>
        <row r="3729">
          <cell r="C3729" t="str">
            <v>14883</v>
          </cell>
          <cell r="H3729">
            <v>905.17</v>
          </cell>
        </row>
        <row r="3730">
          <cell r="C3730" t="str">
            <v>14881</v>
          </cell>
          <cell r="H3730">
            <v>3695.69</v>
          </cell>
        </row>
        <row r="3731">
          <cell r="C3731" t="str">
            <v>14761</v>
          </cell>
          <cell r="H3731">
            <v>2842.24</v>
          </cell>
        </row>
        <row r="3732">
          <cell r="C3732" t="str">
            <v>14721</v>
          </cell>
          <cell r="H3732">
            <v>3202.59</v>
          </cell>
        </row>
        <row r="3733">
          <cell r="C3733" t="str">
            <v>14691</v>
          </cell>
          <cell r="H3733">
            <v>2105.17</v>
          </cell>
        </row>
        <row r="3734">
          <cell r="C3734" t="str">
            <v>14244</v>
          </cell>
          <cell r="H3734">
            <v>207.76</v>
          </cell>
        </row>
        <row r="3735">
          <cell r="C3735" t="str">
            <v>14243</v>
          </cell>
          <cell r="H3735">
            <v>813.79</v>
          </cell>
        </row>
        <row r="3736">
          <cell r="C3736" t="str">
            <v>14241</v>
          </cell>
          <cell r="H3736">
            <v>3323.28</v>
          </cell>
        </row>
        <row r="3737">
          <cell r="C3737" t="str">
            <v>14001</v>
          </cell>
          <cell r="H3737">
            <v>4075.86</v>
          </cell>
        </row>
        <row r="3738">
          <cell r="C3738" t="str">
            <v>13994</v>
          </cell>
          <cell r="H3738">
            <v>143.97</v>
          </cell>
        </row>
        <row r="3739">
          <cell r="C3739" t="str">
            <v>13993</v>
          </cell>
          <cell r="H3739">
            <v>562.07000000000005</v>
          </cell>
        </row>
        <row r="3740">
          <cell r="C3740" t="str">
            <v>13991</v>
          </cell>
          <cell r="H3740">
            <v>2603.4499999999998</v>
          </cell>
        </row>
        <row r="3741">
          <cell r="C3741" t="str">
            <v>13974</v>
          </cell>
          <cell r="H3741">
            <v>149.13999999999999</v>
          </cell>
        </row>
        <row r="3742">
          <cell r="C3742" t="str">
            <v>13973</v>
          </cell>
          <cell r="H3742">
            <v>584.48</v>
          </cell>
        </row>
        <row r="3743">
          <cell r="C3743" t="str">
            <v>13971</v>
          </cell>
          <cell r="H3743">
            <v>2386.21</v>
          </cell>
        </row>
        <row r="3744">
          <cell r="C3744" t="str">
            <v>13861</v>
          </cell>
          <cell r="H3744">
            <v>4542.24</v>
          </cell>
        </row>
        <row r="3745">
          <cell r="C3745" t="str">
            <v>13854</v>
          </cell>
          <cell r="H3745">
            <v>186.21</v>
          </cell>
        </row>
        <row r="3746">
          <cell r="C3746" t="str">
            <v>13853</v>
          </cell>
          <cell r="H3746">
            <v>730.17</v>
          </cell>
        </row>
        <row r="3747">
          <cell r="C3747" t="str">
            <v>13851</v>
          </cell>
          <cell r="H3747">
            <v>2980.17</v>
          </cell>
        </row>
        <row r="3748">
          <cell r="C3748" t="str">
            <v>13773</v>
          </cell>
          <cell r="H3748">
            <v>562.07000000000005</v>
          </cell>
        </row>
        <row r="3749">
          <cell r="C3749" t="str">
            <v>13771</v>
          </cell>
          <cell r="H3749">
            <v>2603.4499999999998</v>
          </cell>
        </row>
        <row r="3750">
          <cell r="C3750" t="str">
            <v>13623</v>
          </cell>
          <cell r="H3750">
            <v>562.07000000000005</v>
          </cell>
        </row>
        <row r="3751">
          <cell r="C3751" t="str">
            <v>13621</v>
          </cell>
          <cell r="H3751">
            <v>2603.4499999999998</v>
          </cell>
        </row>
        <row r="3752">
          <cell r="C3752" t="str">
            <v>13503</v>
          </cell>
          <cell r="H3752">
            <v>562.07000000000005</v>
          </cell>
        </row>
        <row r="3753">
          <cell r="C3753" t="str">
            <v>13501</v>
          </cell>
          <cell r="H3753">
            <v>2603.4499999999998</v>
          </cell>
        </row>
        <row r="3754">
          <cell r="C3754" t="str">
            <v>13473</v>
          </cell>
          <cell r="H3754">
            <v>562.07000000000005</v>
          </cell>
        </row>
        <row r="3755">
          <cell r="C3755" t="str">
            <v>13471</v>
          </cell>
          <cell r="H3755">
            <v>2603.4499999999998</v>
          </cell>
        </row>
        <row r="3756">
          <cell r="C3756" t="str">
            <v>13443</v>
          </cell>
          <cell r="H3756">
            <v>562.07000000000005</v>
          </cell>
        </row>
        <row r="3757">
          <cell r="C3757" t="str">
            <v>13441</v>
          </cell>
          <cell r="H3757">
            <v>2603.4499999999998</v>
          </cell>
        </row>
        <row r="3758">
          <cell r="C3758" t="str">
            <v>13353</v>
          </cell>
          <cell r="H3758">
            <v>562.07000000000005</v>
          </cell>
        </row>
        <row r="3759">
          <cell r="C3759" t="str">
            <v>13351</v>
          </cell>
          <cell r="H3759">
            <v>2603.4499999999998</v>
          </cell>
        </row>
        <row r="3760">
          <cell r="C3760" t="str">
            <v>13263</v>
          </cell>
          <cell r="H3760">
            <v>562.07000000000005</v>
          </cell>
        </row>
        <row r="3761">
          <cell r="C3761" t="str">
            <v>13261</v>
          </cell>
          <cell r="H3761">
            <v>2603.4499999999998</v>
          </cell>
        </row>
        <row r="3762">
          <cell r="C3762" t="str">
            <v>13153</v>
          </cell>
          <cell r="H3762">
            <v>562.07000000000005</v>
          </cell>
        </row>
        <row r="3763">
          <cell r="C3763" t="str">
            <v>13151</v>
          </cell>
          <cell r="H3763">
            <v>2603.4499999999998</v>
          </cell>
        </row>
        <row r="3764">
          <cell r="C3764" t="str">
            <v>12764</v>
          </cell>
          <cell r="H3764">
            <v>175.86</v>
          </cell>
        </row>
        <row r="3765">
          <cell r="C3765" t="str">
            <v>12763</v>
          </cell>
          <cell r="H3765">
            <v>690.52</v>
          </cell>
        </row>
        <row r="3766">
          <cell r="C3766" t="str">
            <v>12761</v>
          </cell>
          <cell r="H3766">
            <v>2821.55</v>
          </cell>
        </row>
        <row r="3767">
          <cell r="C3767" t="str">
            <v>12721</v>
          </cell>
          <cell r="H3767">
            <v>3781.03</v>
          </cell>
        </row>
        <row r="3768">
          <cell r="C3768" t="str">
            <v>11694</v>
          </cell>
          <cell r="H3768">
            <v>161.21</v>
          </cell>
        </row>
        <row r="3769">
          <cell r="C3769" t="str">
            <v>11664</v>
          </cell>
          <cell r="H3769">
            <v>161.21</v>
          </cell>
        </row>
        <row r="3770">
          <cell r="C3770" t="str">
            <v>11654</v>
          </cell>
          <cell r="H3770">
            <v>161.21</v>
          </cell>
        </row>
        <row r="3771">
          <cell r="C3771" t="str">
            <v>11644</v>
          </cell>
          <cell r="H3771">
            <v>161.21</v>
          </cell>
        </row>
        <row r="3772">
          <cell r="C3772" t="str">
            <v>11624</v>
          </cell>
          <cell r="H3772">
            <v>161.21</v>
          </cell>
        </row>
        <row r="3773">
          <cell r="C3773" t="str">
            <v>11621</v>
          </cell>
          <cell r="H3773">
            <v>2583.62</v>
          </cell>
        </row>
        <row r="3774">
          <cell r="C3774" t="str">
            <v>11484</v>
          </cell>
          <cell r="H3774">
            <v>162.07</v>
          </cell>
        </row>
        <row r="3775">
          <cell r="C3775" t="str">
            <v>11481</v>
          </cell>
          <cell r="H3775">
            <v>2583.62</v>
          </cell>
        </row>
        <row r="3776">
          <cell r="C3776" t="str">
            <v>10983</v>
          </cell>
          <cell r="H3776">
            <v>681.9</v>
          </cell>
        </row>
        <row r="3777">
          <cell r="C3777" t="str">
            <v>10981</v>
          </cell>
          <cell r="H3777">
            <v>2267.2399999999998</v>
          </cell>
        </row>
        <row r="3778">
          <cell r="C3778" t="str">
            <v>10980</v>
          </cell>
          <cell r="H3778">
            <v>27291.38</v>
          </cell>
        </row>
        <row r="3779">
          <cell r="C3779" t="str">
            <v>10644</v>
          </cell>
          <cell r="H3779">
            <v>417.24</v>
          </cell>
        </row>
        <row r="3780">
          <cell r="C3780" t="str">
            <v>10643</v>
          </cell>
          <cell r="H3780">
            <v>1494.83</v>
          </cell>
        </row>
        <row r="3781">
          <cell r="C3781" t="str">
            <v>10641</v>
          </cell>
          <cell r="H3781">
            <v>5916.38</v>
          </cell>
        </row>
        <row r="3782">
          <cell r="C3782" t="str">
            <v>10593</v>
          </cell>
          <cell r="H3782">
            <v>665.52</v>
          </cell>
        </row>
        <row r="3783">
          <cell r="C3783" t="str">
            <v>10591</v>
          </cell>
          <cell r="H3783">
            <v>3083.62</v>
          </cell>
        </row>
        <row r="3784">
          <cell r="C3784" t="str">
            <v>10504</v>
          </cell>
          <cell r="H3784">
            <v>170.69</v>
          </cell>
        </row>
        <row r="3785">
          <cell r="C3785" t="str">
            <v>17793</v>
          </cell>
          <cell r="H3785">
            <v>1141.3800000000001</v>
          </cell>
        </row>
        <row r="3786">
          <cell r="C3786" t="str">
            <v>17723</v>
          </cell>
          <cell r="H3786">
            <v>1167.24</v>
          </cell>
        </row>
        <row r="3787">
          <cell r="C3787" t="str">
            <v>17653</v>
          </cell>
          <cell r="H3787">
            <v>1141.3800000000001</v>
          </cell>
        </row>
        <row r="3788">
          <cell r="C3788" t="str">
            <v>17640</v>
          </cell>
          <cell r="H3788">
            <v>42335.34</v>
          </cell>
        </row>
        <row r="3789">
          <cell r="C3789" t="str">
            <v>17450</v>
          </cell>
          <cell r="H3789">
            <v>42479.31</v>
          </cell>
        </row>
        <row r="3790">
          <cell r="C3790" t="str">
            <v>17353</v>
          </cell>
          <cell r="H3790">
            <v>1141.3800000000001</v>
          </cell>
        </row>
        <row r="3791">
          <cell r="C3791" t="str">
            <v>17153</v>
          </cell>
          <cell r="H3791">
            <v>1141.3800000000001</v>
          </cell>
        </row>
        <row r="3792">
          <cell r="C3792" t="str">
            <v>17143</v>
          </cell>
          <cell r="H3792">
            <v>1141.3800000000001</v>
          </cell>
        </row>
        <row r="3793">
          <cell r="C3793" t="str">
            <v>17000</v>
          </cell>
          <cell r="H3793">
            <v>42335.34</v>
          </cell>
        </row>
        <row r="3794">
          <cell r="C3794" t="str">
            <v>21150</v>
          </cell>
          <cell r="H3794">
            <v>39312.07</v>
          </cell>
        </row>
        <row r="3795">
          <cell r="C3795" t="str">
            <v>17994</v>
          </cell>
          <cell r="H3795">
            <v>269.83</v>
          </cell>
        </row>
        <row r="3796">
          <cell r="C3796" t="str">
            <v>17990</v>
          </cell>
          <cell r="H3796">
            <v>38121.550000000003</v>
          </cell>
        </row>
        <row r="3797">
          <cell r="C3797" t="str">
            <v>17980</v>
          </cell>
          <cell r="H3797">
            <v>38121.550000000003</v>
          </cell>
        </row>
        <row r="3798">
          <cell r="C3798" t="str">
            <v>17933</v>
          </cell>
          <cell r="H3798">
            <v>1033.6199999999999</v>
          </cell>
        </row>
        <row r="3799">
          <cell r="C3799" t="str">
            <v>17930</v>
          </cell>
          <cell r="H3799">
            <v>42724.14</v>
          </cell>
        </row>
        <row r="3800">
          <cell r="C3800" t="str">
            <v>17923</v>
          </cell>
          <cell r="H3800">
            <v>1033.6199999999999</v>
          </cell>
        </row>
        <row r="3801">
          <cell r="C3801" t="str">
            <v>17820</v>
          </cell>
          <cell r="H3801">
            <v>38485.339999999997</v>
          </cell>
        </row>
        <row r="3802">
          <cell r="C3802" t="str">
            <v>17791</v>
          </cell>
          <cell r="H3802">
            <v>4684.4799999999996</v>
          </cell>
        </row>
        <row r="3803">
          <cell r="C3803" t="str">
            <v>17721</v>
          </cell>
          <cell r="H3803">
            <v>4684.4799999999996</v>
          </cell>
        </row>
        <row r="3804">
          <cell r="C3804" t="str">
            <v>17690</v>
          </cell>
          <cell r="H3804">
            <v>38485.339999999997</v>
          </cell>
        </row>
        <row r="3805">
          <cell r="C3805" t="str">
            <v>17651</v>
          </cell>
          <cell r="H3805">
            <v>4684.4799999999996</v>
          </cell>
        </row>
        <row r="3806">
          <cell r="C3806" t="str">
            <v>17643</v>
          </cell>
          <cell r="H3806">
            <v>1033.6199999999999</v>
          </cell>
        </row>
        <row r="3807">
          <cell r="C3807" t="str">
            <v>17453</v>
          </cell>
          <cell r="H3807">
            <v>1033.6199999999999</v>
          </cell>
        </row>
        <row r="3808">
          <cell r="C3808" t="str">
            <v>17351</v>
          </cell>
          <cell r="H3808">
            <v>4684.4799999999996</v>
          </cell>
        </row>
        <row r="3809">
          <cell r="C3809" t="str">
            <v>17263</v>
          </cell>
          <cell r="H3809">
            <v>1033.6199999999999</v>
          </cell>
        </row>
        <row r="3810">
          <cell r="C3810" t="str">
            <v>17243</v>
          </cell>
          <cell r="H3810">
            <v>1043.0999999999999</v>
          </cell>
        </row>
        <row r="3811">
          <cell r="C3811" t="str">
            <v>17213</v>
          </cell>
          <cell r="H3811">
            <v>1033.6199999999999</v>
          </cell>
        </row>
        <row r="3812">
          <cell r="C3812" t="str">
            <v>17174</v>
          </cell>
          <cell r="H3812">
            <v>249.14</v>
          </cell>
        </row>
        <row r="3813">
          <cell r="C3813" t="str">
            <v>17171</v>
          </cell>
          <cell r="H3813">
            <v>4684.4799999999996</v>
          </cell>
        </row>
        <row r="3814">
          <cell r="C3814" t="str">
            <v>17151</v>
          </cell>
          <cell r="H3814">
            <v>4684.4799999999996</v>
          </cell>
        </row>
        <row r="3815">
          <cell r="C3815" t="str">
            <v>17141</v>
          </cell>
          <cell r="H3815">
            <v>4684.4799999999996</v>
          </cell>
        </row>
        <row r="3816">
          <cell r="C3816" t="str">
            <v>17073</v>
          </cell>
          <cell r="H3816">
            <v>1033.6199999999999</v>
          </cell>
        </row>
        <row r="3817">
          <cell r="C3817" t="str">
            <v>17033</v>
          </cell>
          <cell r="H3817">
            <v>1034.48</v>
          </cell>
        </row>
        <row r="3818">
          <cell r="C3818" t="str">
            <v>17003</v>
          </cell>
          <cell r="H3818">
            <v>1033.6199999999999</v>
          </cell>
        </row>
        <row r="3819">
          <cell r="C3819" t="str">
            <v>13444</v>
          </cell>
          <cell r="H3819">
            <v>143.97</v>
          </cell>
        </row>
        <row r="3820">
          <cell r="C3820" t="str">
            <v>12771</v>
          </cell>
          <cell r="H3820">
            <v>4037.93</v>
          </cell>
        </row>
        <row r="3821">
          <cell r="C3821" t="str">
            <v>17564</v>
          </cell>
          <cell r="H3821">
            <v>275.86</v>
          </cell>
        </row>
        <row r="3822">
          <cell r="C3822" t="str">
            <v>14944</v>
          </cell>
          <cell r="H3822">
            <v>255.17</v>
          </cell>
        </row>
        <row r="3823">
          <cell r="C3823" t="str">
            <v>14943</v>
          </cell>
          <cell r="H3823">
            <v>951.72</v>
          </cell>
        </row>
        <row r="3824">
          <cell r="C3824" t="str">
            <v>13970</v>
          </cell>
          <cell r="H3824">
            <v>24581.03</v>
          </cell>
        </row>
        <row r="3825">
          <cell r="C3825" t="str">
            <v>13934</v>
          </cell>
          <cell r="H3825">
            <v>233.62</v>
          </cell>
        </row>
        <row r="3826">
          <cell r="C3826" t="str">
            <v>13933</v>
          </cell>
          <cell r="H3826">
            <v>839.66</v>
          </cell>
        </row>
        <row r="3827">
          <cell r="C3827" t="str">
            <v>13931</v>
          </cell>
          <cell r="H3827">
            <v>3454.31</v>
          </cell>
        </row>
        <row r="3828">
          <cell r="C3828" t="str">
            <v>13850</v>
          </cell>
          <cell r="H3828">
            <v>33807.760000000002</v>
          </cell>
        </row>
        <row r="3829">
          <cell r="C3829" t="str">
            <v>13583</v>
          </cell>
          <cell r="H3829">
            <v>813.79</v>
          </cell>
        </row>
        <row r="3830">
          <cell r="C3830" t="str">
            <v>13581</v>
          </cell>
          <cell r="H3830">
            <v>3494.83</v>
          </cell>
        </row>
        <row r="3831">
          <cell r="C3831" t="str">
            <v>13500</v>
          </cell>
          <cell r="H3831">
            <v>35035.339999999997</v>
          </cell>
        </row>
        <row r="3832">
          <cell r="C3832" t="str">
            <v>13004</v>
          </cell>
          <cell r="H3832">
            <v>237.07</v>
          </cell>
        </row>
        <row r="3833">
          <cell r="C3833" t="str">
            <v>13003</v>
          </cell>
          <cell r="H3833">
            <v>813.79</v>
          </cell>
        </row>
        <row r="3834">
          <cell r="C3834" t="str">
            <v>13001</v>
          </cell>
          <cell r="H3834">
            <v>3355.17</v>
          </cell>
        </row>
        <row r="3835">
          <cell r="C3835" t="str">
            <v>13000</v>
          </cell>
          <cell r="H3835">
            <v>33634.480000000003</v>
          </cell>
        </row>
        <row r="3836">
          <cell r="C3836" t="str">
            <v>12790</v>
          </cell>
          <cell r="H3836">
            <v>63299.14</v>
          </cell>
        </row>
        <row r="3837">
          <cell r="C3837" t="str">
            <v>12774</v>
          </cell>
          <cell r="H3837">
            <v>279.31</v>
          </cell>
        </row>
        <row r="3838">
          <cell r="C3838" t="str">
            <v>12773</v>
          </cell>
          <cell r="H3838">
            <v>988.79</v>
          </cell>
        </row>
        <row r="3839">
          <cell r="C3839" t="str">
            <v>12770</v>
          </cell>
          <cell r="H3839">
            <v>38387.93</v>
          </cell>
        </row>
        <row r="3840">
          <cell r="C3840" t="str">
            <v>12760</v>
          </cell>
          <cell r="H3840">
            <v>38147.410000000003</v>
          </cell>
        </row>
        <row r="3841">
          <cell r="C3841" t="str">
            <v>12754</v>
          </cell>
          <cell r="H3841">
            <v>337.93</v>
          </cell>
        </row>
        <row r="3842">
          <cell r="C3842" t="str">
            <v>12753</v>
          </cell>
          <cell r="H3842">
            <v>1123.28</v>
          </cell>
        </row>
        <row r="3843">
          <cell r="C3843" t="str">
            <v>12751</v>
          </cell>
          <cell r="H3843">
            <v>4591.38</v>
          </cell>
        </row>
        <row r="3844">
          <cell r="C3844" t="str">
            <v>12724</v>
          </cell>
          <cell r="H3844">
            <v>259.48</v>
          </cell>
        </row>
        <row r="3845">
          <cell r="C3845" t="str">
            <v>11743</v>
          </cell>
          <cell r="H3845">
            <v>3094.83</v>
          </cell>
        </row>
        <row r="3846">
          <cell r="C3846" t="str">
            <v>11713</v>
          </cell>
          <cell r="H3846">
            <v>1892.24</v>
          </cell>
        </row>
        <row r="3847">
          <cell r="C3847" t="str">
            <v>11711</v>
          </cell>
          <cell r="H3847">
            <v>12262.93</v>
          </cell>
        </row>
        <row r="3848">
          <cell r="C3848" t="str">
            <v>11703</v>
          </cell>
          <cell r="H3848">
            <v>1814.66</v>
          </cell>
        </row>
        <row r="3849">
          <cell r="C3849" t="str">
            <v>11701</v>
          </cell>
          <cell r="H3849">
            <v>13049.14</v>
          </cell>
        </row>
        <row r="3850">
          <cell r="C3850" t="str">
            <v>11604</v>
          </cell>
          <cell r="H3850">
            <v>167.24</v>
          </cell>
        </row>
        <row r="3851">
          <cell r="C3851" t="str">
            <v>11454</v>
          </cell>
          <cell r="H3851">
            <v>168.97</v>
          </cell>
        </row>
        <row r="3852">
          <cell r="C3852" t="str">
            <v>11054</v>
          </cell>
          <cell r="H3852">
            <v>225.86</v>
          </cell>
        </row>
        <row r="3853">
          <cell r="C3853" t="str">
            <v>10585</v>
          </cell>
          <cell r="H3853">
            <v>125</v>
          </cell>
        </row>
        <row r="3854">
          <cell r="C3854" t="str">
            <v>10584</v>
          </cell>
          <cell r="H3854">
            <v>264.66000000000003</v>
          </cell>
        </row>
        <row r="3855">
          <cell r="C3855" t="str">
            <v>10583</v>
          </cell>
          <cell r="H3855">
            <v>964.66</v>
          </cell>
        </row>
        <row r="3856">
          <cell r="C3856" t="str">
            <v>10581</v>
          </cell>
          <cell r="H3856">
            <v>3943.97</v>
          </cell>
        </row>
        <row r="3857">
          <cell r="C3857" t="str">
            <v>10553</v>
          </cell>
          <cell r="H3857">
            <v>868.1</v>
          </cell>
        </row>
        <row r="3858">
          <cell r="C3858" t="str">
            <v>10551</v>
          </cell>
          <cell r="H3858">
            <v>3568.1</v>
          </cell>
        </row>
        <row r="3859">
          <cell r="C3859" t="str">
            <v>10521</v>
          </cell>
          <cell r="H3859">
            <v>3681.9</v>
          </cell>
        </row>
        <row r="3860">
          <cell r="C3860" t="str">
            <v>21091</v>
          </cell>
          <cell r="H3860">
            <v>7052.59</v>
          </cell>
        </row>
        <row r="3861">
          <cell r="C3861" t="str">
            <v>17993</v>
          </cell>
          <cell r="H3861">
            <v>931.9</v>
          </cell>
        </row>
        <row r="3862">
          <cell r="C3862" t="str">
            <v>17984</v>
          </cell>
          <cell r="H3862">
            <v>212.93</v>
          </cell>
        </row>
        <row r="3863">
          <cell r="C3863" t="str">
            <v>17983</v>
          </cell>
          <cell r="H3863">
            <v>931.9</v>
          </cell>
        </row>
        <row r="3864">
          <cell r="C3864" t="str">
            <v>17934</v>
          </cell>
          <cell r="H3864">
            <v>293.10000000000002</v>
          </cell>
        </row>
        <row r="3865">
          <cell r="C3865" t="str">
            <v>17920</v>
          </cell>
          <cell r="H3865">
            <v>42655.17</v>
          </cell>
        </row>
        <row r="3866">
          <cell r="C3866" t="str">
            <v>17804</v>
          </cell>
          <cell r="H3866">
            <v>235.34</v>
          </cell>
        </row>
        <row r="3867">
          <cell r="C3867" t="str">
            <v>17803</v>
          </cell>
          <cell r="H3867">
            <v>860.34</v>
          </cell>
        </row>
        <row r="3868">
          <cell r="C3868" t="str">
            <v>17801</v>
          </cell>
          <cell r="H3868">
            <v>3560.34</v>
          </cell>
        </row>
        <row r="3869">
          <cell r="C3869" t="str">
            <v>17800</v>
          </cell>
          <cell r="H3869">
            <v>35605.17</v>
          </cell>
        </row>
        <row r="3870">
          <cell r="C3870" t="str">
            <v>17743</v>
          </cell>
          <cell r="H3870">
            <v>931.9</v>
          </cell>
        </row>
        <row r="3871">
          <cell r="C3871" t="str">
            <v>17693</v>
          </cell>
          <cell r="H3871">
            <v>931.9</v>
          </cell>
        </row>
        <row r="3872">
          <cell r="C3872" t="str">
            <v>17650</v>
          </cell>
          <cell r="H3872">
            <v>49285.34</v>
          </cell>
        </row>
        <row r="3873">
          <cell r="C3873" t="str">
            <v>17644</v>
          </cell>
          <cell r="H3873">
            <v>281.02999999999997</v>
          </cell>
        </row>
        <row r="3874">
          <cell r="C3874" t="str">
            <v>17583</v>
          </cell>
          <cell r="H3874">
            <v>931.9</v>
          </cell>
        </row>
        <row r="3875">
          <cell r="C3875" t="str">
            <v>17563</v>
          </cell>
          <cell r="H3875">
            <v>931.9</v>
          </cell>
        </row>
        <row r="3876">
          <cell r="C3876" t="str">
            <v>17454</v>
          </cell>
          <cell r="H3876">
            <v>293.10000000000002</v>
          </cell>
        </row>
        <row r="3877">
          <cell r="C3877" t="str">
            <v>17354</v>
          </cell>
          <cell r="H3877">
            <v>342.24</v>
          </cell>
        </row>
        <row r="3878">
          <cell r="C3878" t="str">
            <v>17350</v>
          </cell>
          <cell r="H3878">
            <v>46772.41</v>
          </cell>
        </row>
        <row r="3879">
          <cell r="C3879" t="str">
            <v>17214</v>
          </cell>
          <cell r="H3879">
            <v>308.62</v>
          </cell>
        </row>
        <row r="3880">
          <cell r="C3880" t="str">
            <v>17170</v>
          </cell>
          <cell r="H3880">
            <v>46800</v>
          </cell>
        </row>
        <row r="3881">
          <cell r="C3881" t="str">
            <v>17111</v>
          </cell>
          <cell r="H3881">
            <v>5357.76</v>
          </cell>
        </row>
        <row r="3882">
          <cell r="C3882" t="str">
            <v>17021</v>
          </cell>
          <cell r="H3882">
            <v>2919.83</v>
          </cell>
        </row>
        <row r="3883">
          <cell r="C3883" t="str">
            <v>17004</v>
          </cell>
          <cell r="H3883">
            <v>293.10000000000002</v>
          </cell>
        </row>
        <row r="3884">
          <cell r="C3884" t="str">
            <v>16701</v>
          </cell>
          <cell r="H3884">
            <v>4069.83</v>
          </cell>
        </row>
        <row r="3885">
          <cell r="C3885" t="str">
            <v>14934</v>
          </cell>
          <cell r="H3885">
            <v>311.20999999999998</v>
          </cell>
        </row>
        <row r="3886">
          <cell r="C3886" t="str">
            <v>14933</v>
          </cell>
          <cell r="H3886">
            <v>1106.9000000000001</v>
          </cell>
        </row>
        <row r="3887">
          <cell r="C3887" t="str">
            <v>14911</v>
          </cell>
          <cell r="H3887">
            <v>5006.8999999999996</v>
          </cell>
        </row>
        <row r="3888">
          <cell r="C3888" t="str">
            <v>14841</v>
          </cell>
          <cell r="H3888">
            <v>3386.21</v>
          </cell>
        </row>
        <row r="3889">
          <cell r="C3889" t="str">
            <v>14831</v>
          </cell>
          <cell r="H3889">
            <v>3577.59</v>
          </cell>
        </row>
        <row r="3890">
          <cell r="C3890" t="str">
            <v>14811</v>
          </cell>
          <cell r="H3890">
            <v>2513.79</v>
          </cell>
        </row>
        <row r="3891">
          <cell r="C3891" t="str">
            <v>14731</v>
          </cell>
          <cell r="H3891">
            <v>3496.55</v>
          </cell>
        </row>
        <row r="3892">
          <cell r="C3892" t="str">
            <v>14711</v>
          </cell>
          <cell r="H3892">
            <v>3604.31</v>
          </cell>
        </row>
        <row r="3893">
          <cell r="C3893" t="str">
            <v>13990</v>
          </cell>
          <cell r="H3893">
            <v>32529.31</v>
          </cell>
        </row>
        <row r="3894">
          <cell r="C3894" t="str">
            <v>13474</v>
          </cell>
          <cell r="H3894">
            <v>143.97</v>
          </cell>
        </row>
        <row r="3895">
          <cell r="C3895" t="str">
            <v>13354</v>
          </cell>
          <cell r="H3895">
            <v>246.55</v>
          </cell>
        </row>
        <row r="3896">
          <cell r="C3896" t="str">
            <v>13264</v>
          </cell>
          <cell r="H3896">
            <v>143.97</v>
          </cell>
        </row>
        <row r="3897">
          <cell r="C3897" t="str">
            <v>13154</v>
          </cell>
          <cell r="H3897">
            <v>143.97</v>
          </cell>
        </row>
        <row r="3898">
          <cell r="C3898" t="str">
            <v>13624</v>
          </cell>
          <cell r="H3898">
            <v>143.97</v>
          </cell>
        </row>
        <row r="3899">
          <cell r="C3899" t="str">
            <v>E-69164</v>
          </cell>
          <cell r="H3899">
            <v>208.62</v>
          </cell>
        </row>
        <row r="3900">
          <cell r="C3900" t="str">
            <v>ES-61281</v>
          </cell>
          <cell r="H3900">
            <v>4614.66</v>
          </cell>
        </row>
        <row r="3901">
          <cell r="C3901" t="str">
            <v>ES-61283</v>
          </cell>
          <cell r="H3901">
            <v>1248.28</v>
          </cell>
        </row>
        <row r="3902">
          <cell r="C3902" t="str">
            <v>SRG-10071</v>
          </cell>
          <cell r="H3902">
            <v>3077.59</v>
          </cell>
        </row>
        <row r="3903">
          <cell r="C3903" t="str">
            <v>SRG-10073</v>
          </cell>
          <cell r="H3903">
            <v>730.17</v>
          </cell>
        </row>
        <row r="3904">
          <cell r="C3904">
            <v>28945</v>
          </cell>
          <cell r="H3904">
            <v>186.21</v>
          </cell>
        </row>
        <row r="3905">
          <cell r="C3905" t="str">
            <v>ES-41143</v>
          </cell>
          <cell r="H3905">
            <v>839.66</v>
          </cell>
        </row>
        <row r="3906">
          <cell r="C3906"/>
          <cell r="H3906"/>
        </row>
        <row r="3907">
          <cell r="C3907"/>
          <cell r="H3907"/>
        </row>
        <row r="3908">
          <cell r="C3908"/>
          <cell r="H3908"/>
        </row>
        <row r="3909">
          <cell r="C3909"/>
          <cell r="H3909"/>
        </row>
        <row r="3910">
          <cell r="C3910"/>
          <cell r="H3910"/>
        </row>
        <row r="3911">
          <cell r="C3911"/>
          <cell r="H3911"/>
        </row>
        <row r="3912">
          <cell r="C3912"/>
          <cell r="H3912"/>
        </row>
        <row r="3913">
          <cell r="C3913"/>
          <cell r="H3913"/>
        </row>
        <row r="3914">
          <cell r="C3914"/>
          <cell r="H3914"/>
        </row>
        <row r="3915">
          <cell r="C3915"/>
          <cell r="H3915"/>
        </row>
        <row r="3916">
          <cell r="C3916"/>
          <cell r="H3916"/>
        </row>
        <row r="3917">
          <cell r="C3917"/>
          <cell r="H3917"/>
        </row>
        <row r="3918">
          <cell r="C3918"/>
          <cell r="H3918"/>
        </row>
        <row r="3919">
          <cell r="C3919"/>
          <cell r="H3919"/>
        </row>
        <row r="3920">
          <cell r="C3920"/>
          <cell r="H3920"/>
        </row>
        <row r="3921">
          <cell r="C3921"/>
          <cell r="H3921"/>
        </row>
        <row r="3922">
          <cell r="C3922"/>
          <cell r="H3922"/>
        </row>
        <row r="3923">
          <cell r="C3923"/>
          <cell r="H3923"/>
        </row>
        <row r="3924">
          <cell r="C3924"/>
          <cell r="H3924"/>
        </row>
        <row r="3925">
          <cell r="C3925"/>
          <cell r="H3925"/>
        </row>
        <row r="3926">
          <cell r="C3926"/>
          <cell r="H3926"/>
        </row>
        <row r="3927">
          <cell r="C3927"/>
          <cell r="H3927"/>
        </row>
        <row r="3928">
          <cell r="C3928"/>
          <cell r="H3928"/>
        </row>
        <row r="3929">
          <cell r="C3929"/>
          <cell r="H3929"/>
        </row>
        <row r="3930">
          <cell r="C3930"/>
          <cell r="H3930"/>
        </row>
        <row r="3931">
          <cell r="C3931"/>
          <cell r="H3931"/>
        </row>
        <row r="3932">
          <cell r="C3932"/>
          <cell r="H3932"/>
        </row>
        <row r="3933">
          <cell r="C3933"/>
          <cell r="H3933"/>
        </row>
        <row r="3934">
          <cell r="C3934"/>
          <cell r="H3934"/>
        </row>
        <row r="3935">
          <cell r="C3935"/>
          <cell r="H3935"/>
        </row>
        <row r="3936">
          <cell r="C3936"/>
          <cell r="H3936"/>
        </row>
        <row r="3937">
          <cell r="C3937"/>
          <cell r="H3937"/>
        </row>
        <row r="3938">
          <cell r="C3938"/>
          <cell r="H3938"/>
        </row>
        <row r="3939">
          <cell r="C3939"/>
          <cell r="H3939"/>
        </row>
        <row r="3940">
          <cell r="C3940"/>
          <cell r="H3940"/>
        </row>
        <row r="3941">
          <cell r="C3941"/>
          <cell r="H3941"/>
        </row>
        <row r="3942">
          <cell r="C3942"/>
          <cell r="H3942"/>
        </row>
        <row r="3943">
          <cell r="C3943"/>
          <cell r="H3943"/>
        </row>
        <row r="3944">
          <cell r="C3944"/>
          <cell r="H3944"/>
        </row>
        <row r="3945">
          <cell r="C3945"/>
          <cell r="H3945"/>
        </row>
        <row r="3946">
          <cell r="C3946"/>
          <cell r="H3946"/>
        </row>
        <row r="3947">
          <cell r="C3947"/>
          <cell r="H3947"/>
        </row>
        <row r="3948">
          <cell r="C3948"/>
          <cell r="H3948"/>
        </row>
        <row r="3949">
          <cell r="C3949"/>
          <cell r="H3949"/>
        </row>
        <row r="3950">
          <cell r="C3950"/>
          <cell r="H3950"/>
        </row>
        <row r="3951">
          <cell r="C3951"/>
          <cell r="H3951"/>
        </row>
        <row r="3952">
          <cell r="C3952"/>
          <cell r="H3952"/>
        </row>
        <row r="3953">
          <cell r="C3953"/>
          <cell r="H3953"/>
        </row>
        <row r="3954">
          <cell r="C3954"/>
          <cell r="H3954"/>
        </row>
        <row r="3955">
          <cell r="C3955"/>
          <cell r="H3955"/>
        </row>
        <row r="3956">
          <cell r="C3956"/>
          <cell r="H3956"/>
        </row>
        <row r="3957">
          <cell r="C3957"/>
          <cell r="H3957"/>
        </row>
        <row r="3958">
          <cell r="C3958"/>
          <cell r="H3958"/>
        </row>
        <row r="3959">
          <cell r="C3959"/>
          <cell r="H3959"/>
        </row>
        <row r="3960">
          <cell r="C3960"/>
          <cell r="H3960"/>
        </row>
        <row r="3961">
          <cell r="C3961"/>
          <cell r="H3961"/>
        </row>
        <row r="3962">
          <cell r="C3962"/>
          <cell r="H3962"/>
        </row>
        <row r="3963">
          <cell r="C3963"/>
          <cell r="H3963"/>
        </row>
        <row r="3964">
          <cell r="C3964"/>
          <cell r="H3964"/>
        </row>
        <row r="3965">
          <cell r="C3965"/>
          <cell r="H3965"/>
        </row>
        <row r="3966">
          <cell r="C3966"/>
          <cell r="H3966"/>
        </row>
        <row r="3967">
          <cell r="C3967"/>
          <cell r="H3967"/>
        </row>
        <row r="3968">
          <cell r="C3968"/>
          <cell r="H3968"/>
        </row>
        <row r="3969">
          <cell r="C3969"/>
          <cell r="H3969"/>
        </row>
        <row r="3970">
          <cell r="C3970"/>
          <cell r="H3970"/>
        </row>
        <row r="3971">
          <cell r="C3971"/>
          <cell r="H3971"/>
        </row>
        <row r="3972">
          <cell r="C3972"/>
          <cell r="H3972"/>
        </row>
        <row r="3973">
          <cell r="C3973"/>
          <cell r="H3973"/>
        </row>
        <row r="3974">
          <cell r="C3974"/>
          <cell r="H3974"/>
        </row>
        <row r="3975">
          <cell r="C3975"/>
          <cell r="H3975"/>
        </row>
        <row r="3976">
          <cell r="C3976"/>
          <cell r="H3976"/>
        </row>
        <row r="3977">
          <cell r="C3977"/>
          <cell r="H3977"/>
        </row>
        <row r="3978">
          <cell r="C3978"/>
          <cell r="H3978"/>
        </row>
        <row r="3979">
          <cell r="C3979"/>
          <cell r="H3979"/>
        </row>
        <row r="3980">
          <cell r="C3980"/>
          <cell r="H3980"/>
        </row>
        <row r="3981">
          <cell r="C3981"/>
          <cell r="H3981"/>
        </row>
        <row r="3982">
          <cell r="C3982"/>
          <cell r="H3982"/>
        </row>
        <row r="3983">
          <cell r="C3983"/>
          <cell r="H3983"/>
        </row>
        <row r="3984">
          <cell r="C3984"/>
          <cell r="H3984"/>
        </row>
        <row r="3985">
          <cell r="C3985"/>
          <cell r="H3985"/>
        </row>
        <row r="3986">
          <cell r="C3986"/>
          <cell r="H3986"/>
        </row>
        <row r="3987">
          <cell r="C3987"/>
          <cell r="H3987"/>
        </row>
        <row r="3988">
          <cell r="C3988"/>
          <cell r="H3988"/>
        </row>
        <row r="3989">
          <cell r="C3989"/>
          <cell r="H3989"/>
        </row>
        <row r="3990">
          <cell r="C3990"/>
          <cell r="H3990"/>
        </row>
        <row r="3991">
          <cell r="C3991"/>
          <cell r="H3991"/>
        </row>
        <row r="3992">
          <cell r="C3992"/>
          <cell r="H3992"/>
        </row>
        <row r="3993">
          <cell r="C3993"/>
          <cell r="H3993"/>
        </row>
        <row r="3994">
          <cell r="C3994"/>
          <cell r="H3994"/>
        </row>
        <row r="3995">
          <cell r="C3995"/>
          <cell r="H3995"/>
        </row>
        <row r="3996">
          <cell r="C3996"/>
          <cell r="H3996"/>
        </row>
        <row r="3997">
          <cell r="C3997"/>
          <cell r="H3997"/>
        </row>
        <row r="3998">
          <cell r="C3998"/>
          <cell r="H3998"/>
        </row>
        <row r="3999">
          <cell r="C3999"/>
          <cell r="H3999"/>
        </row>
        <row r="4000">
          <cell r="C4000"/>
          <cell r="H4000"/>
        </row>
        <row r="4001">
          <cell r="C4001"/>
          <cell r="H4001"/>
        </row>
        <row r="4002">
          <cell r="C4002"/>
          <cell r="H4002"/>
        </row>
        <row r="4003">
          <cell r="C4003"/>
          <cell r="H4003"/>
        </row>
        <row r="4004">
          <cell r="C4004"/>
          <cell r="H4004"/>
        </row>
        <row r="4005">
          <cell r="C4005"/>
          <cell r="H4005"/>
        </row>
        <row r="4006">
          <cell r="C4006"/>
          <cell r="H4006"/>
        </row>
        <row r="4007">
          <cell r="C4007"/>
          <cell r="H4007"/>
        </row>
        <row r="4008">
          <cell r="C4008"/>
          <cell r="H4008"/>
        </row>
        <row r="4009">
          <cell r="C4009"/>
          <cell r="H4009"/>
        </row>
        <row r="4010">
          <cell r="C4010"/>
          <cell r="H4010"/>
        </row>
        <row r="4011">
          <cell r="C4011"/>
          <cell r="H4011"/>
        </row>
        <row r="4012">
          <cell r="C4012"/>
          <cell r="H4012"/>
        </row>
        <row r="4013">
          <cell r="C4013"/>
          <cell r="H4013"/>
        </row>
        <row r="4014">
          <cell r="C4014"/>
          <cell r="H4014"/>
        </row>
        <row r="4015">
          <cell r="C4015"/>
          <cell r="H4015"/>
        </row>
        <row r="4016">
          <cell r="C4016"/>
          <cell r="H4016"/>
        </row>
        <row r="4017">
          <cell r="C4017"/>
          <cell r="H4017"/>
        </row>
        <row r="4018">
          <cell r="C4018"/>
          <cell r="H4018"/>
        </row>
        <row r="4019">
          <cell r="C4019"/>
          <cell r="H4019"/>
        </row>
        <row r="4020">
          <cell r="C4020"/>
          <cell r="H4020"/>
        </row>
        <row r="4021">
          <cell r="C4021"/>
          <cell r="H4021"/>
        </row>
        <row r="4022">
          <cell r="C4022"/>
          <cell r="H4022"/>
        </row>
        <row r="4023">
          <cell r="C4023"/>
          <cell r="H4023"/>
        </row>
        <row r="4024">
          <cell r="C4024"/>
          <cell r="H4024"/>
        </row>
        <row r="4025">
          <cell r="C4025"/>
          <cell r="H4025"/>
        </row>
        <row r="4026">
          <cell r="C4026"/>
          <cell r="H4026"/>
        </row>
        <row r="4027">
          <cell r="C4027"/>
          <cell r="H4027"/>
        </row>
        <row r="4028">
          <cell r="C4028"/>
          <cell r="H4028"/>
        </row>
        <row r="4029">
          <cell r="C4029"/>
          <cell r="H4029"/>
        </row>
        <row r="4030">
          <cell r="C4030"/>
          <cell r="H4030"/>
        </row>
        <row r="4031">
          <cell r="C4031"/>
          <cell r="H4031"/>
        </row>
        <row r="4032">
          <cell r="C4032"/>
          <cell r="H4032"/>
        </row>
        <row r="4033">
          <cell r="C4033"/>
          <cell r="H4033"/>
        </row>
        <row r="4034">
          <cell r="C4034"/>
          <cell r="H4034"/>
        </row>
        <row r="4035">
          <cell r="C4035"/>
          <cell r="H4035"/>
        </row>
        <row r="4036">
          <cell r="C4036"/>
          <cell r="H4036"/>
        </row>
        <row r="4037">
          <cell r="C4037"/>
          <cell r="H4037"/>
        </row>
        <row r="4038">
          <cell r="C4038"/>
          <cell r="H4038"/>
        </row>
        <row r="4039">
          <cell r="C4039"/>
          <cell r="H4039"/>
        </row>
        <row r="4040">
          <cell r="C4040"/>
          <cell r="H4040"/>
        </row>
        <row r="4041">
          <cell r="C4041"/>
          <cell r="H4041"/>
        </row>
        <row r="4042">
          <cell r="C4042"/>
          <cell r="H4042"/>
        </row>
        <row r="4043">
          <cell r="C4043"/>
          <cell r="H4043"/>
        </row>
        <row r="4044">
          <cell r="C4044"/>
          <cell r="H4044"/>
        </row>
        <row r="4045">
          <cell r="C4045"/>
          <cell r="H4045"/>
        </row>
        <row r="4046">
          <cell r="C4046"/>
          <cell r="H4046"/>
        </row>
        <row r="4047">
          <cell r="C4047"/>
          <cell r="H4047"/>
        </row>
        <row r="4048">
          <cell r="C4048"/>
          <cell r="H4048"/>
        </row>
        <row r="4049">
          <cell r="C4049"/>
          <cell r="H4049"/>
        </row>
        <row r="4050">
          <cell r="C4050"/>
          <cell r="H4050"/>
        </row>
        <row r="4051">
          <cell r="C4051"/>
          <cell r="H4051"/>
        </row>
        <row r="4052">
          <cell r="C4052"/>
          <cell r="H4052"/>
        </row>
        <row r="4053">
          <cell r="C4053"/>
          <cell r="H4053"/>
        </row>
        <row r="4054">
          <cell r="C4054"/>
          <cell r="H4054"/>
        </row>
        <row r="4055">
          <cell r="C4055"/>
          <cell r="H4055"/>
        </row>
        <row r="4056">
          <cell r="C4056"/>
          <cell r="H4056"/>
        </row>
        <row r="4057">
          <cell r="C4057"/>
          <cell r="H4057"/>
        </row>
        <row r="4058">
          <cell r="C4058"/>
          <cell r="H4058"/>
        </row>
        <row r="4059">
          <cell r="C4059"/>
          <cell r="H4059"/>
        </row>
        <row r="4060">
          <cell r="C4060"/>
          <cell r="H4060"/>
        </row>
        <row r="4061">
          <cell r="C4061"/>
          <cell r="H4061"/>
        </row>
        <row r="4062">
          <cell r="C4062"/>
          <cell r="H4062"/>
        </row>
        <row r="4063">
          <cell r="C4063"/>
          <cell r="H4063"/>
        </row>
        <row r="4064">
          <cell r="C4064"/>
          <cell r="H4064"/>
        </row>
        <row r="4065">
          <cell r="C4065"/>
          <cell r="H4065"/>
        </row>
        <row r="4066">
          <cell r="C4066"/>
          <cell r="H4066"/>
        </row>
        <row r="4067">
          <cell r="C4067"/>
          <cell r="H4067"/>
        </row>
        <row r="4068">
          <cell r="C4068"/>
          <cell r="H4068"/>
        </row>
        <row r="4069">
          <cell r="C4069"/>
          <cell r="H4069"/>
        </row>
        <row r="4070">
          <cell r="C4070"/>
          <cell r="H4070"/>
        </row>
        <row r="4071">
          <cell r="C4071"/>
          <cell r="H4071"/>
        </row>
        <row r="4072">
          <cell r="C4072"/>
          <cell r="H4072"/>
        </row>
        <row r="4073">
          <cell r="C4073"/>
          <cell r="H4073"/>
        </row>
        <row r="4074">
          <cell r="C4074"/>
          <cell r="H4074"/>
        </row>
        <row r="4075">
          <cell r="C4075"/>
          <cell r="H4075"/>
        </row>
        <row r="4076">
          <cell r="C4076"/>
          <cell r="H4076"/>
        </row>
        <row r="4077">
          <cell r="C4077"/>
          <cell r="H4077"/>
        </row>
        <row r="4078">
          <cell r="C4078"/>
          <cell r="H4078"/>
        </row>
        <row r="4079">
          <cell r="C4079"/>
          <cell r="H4079"/>
        </row>
        <row r="4080">
          <cell r="C4080"/>
          <cell r="H4080"/>
        </row>
        <row r="4081">
          <cell r="C4081"/>
          <cell r="H4081"/>
        </row>
        <row r="4082">
          <cell r="C4082"/>
          <cell r="H4082"/>
        </row>
        <row r="4083">
          <cell r="C4083"/>
          <cell r="H4083"/>
        </row>
        <row r="4084">
          <cell r="C4084"/>
          <cell r="H4084"/>
        </row>
        <row r="4085">
          <cell r="C4085"/>
          <cell r="H4085"/>
        </row>
        <row r="4086">
          <cell r="C4086"/>
          <cell r="H4086"/>
        </row>
        <row r="4087">
          <cell r="C4087"/>
          <cell r="H4087"/>
        </row>
        <row r="4088">
          <cell r="C4088"/>
          <cell r="H4088"/>
        </row>
        <row r="4089">
          <cell r="C4089"/>
          <cell r="H4089"/>
        </row>
        <row r="4090">
          <cell r="C4090"/>
          <cell r="H4090"/>
        </row>
        <row r="4091">
          <cell r="C4091"/>
          <cell r="H4091"/>
        </row>
        <row r="4092">
          <cell r="C4092"/>
          <cell r="H4092"/>
        </row>
        <row r="4093">
          <cell r="C4093"/>
          <cell r="H4093"/>
        </row>
        <row r="4094">
          <cell r="C4094"/>
          <cell r="H4094"/>
        </row>
        <row r="4095">
          <cell r="C4095"/>
          <cell r="H4095"/>
        </row>
        <row r="4096">
          <cell r="C4096"/>
          <cell r="H4096"/>
        </row>
        <row r="4097">
          <cell r="C4097"/>
          <cell r="H4097"/>
        </row>
        <row r="4098">
          <cell r="C4098"/>
          <cell r="H4098"/>
        </row>
        <row r="4099">
          <cell r="C4099"/>
          <cell r="H4099"/>
        </row>
        <row r="4100">
          <cell r="C4100"/>
          <cell r="H4100"/>
        </row>
        <row r="4101">
          <cell r="C4101"/>
          <cell r="H4101"/>
        </row>
        <row r="4102">
          <cell r="C4102"/>
          <cell r="H4102"/>
        </row>
        <row r="4103">
          <cell r="C4103"/>
          <cell r="H4103"/>
        </row>
        <row r="4104">
          <cell r="C4104"/>
          <cell r="H4104"/>
        </row>
        <row r="4105">
          <cell r="C4105"/>
          <cell r="H4105"/>
        </row>
        <row r="4106">
          <cell r="C4106"/>
          <cell r="H4106"/>
        </row>
        <row r="4107">
          <cell r="C4107"/>
          <cell r="H4107"/>
        </row>
        <row r="4108">
          <cell r="C4108"/>
          <cell r="H4108"/>
        </row>
        <row r="4109">
          <cell r="C4109"/>
          <cell r="H4109"/>
        </row>
        <row r="4110">
          <cell r="C4110"/>
          <cell r="H4110"/>
        </row>
        <row r="4111">
          <cell r="C4111"/>
          <cell r="H4111"/>
        </row>
        <row r="4112">
          <cell r="C4112"/>
          <cell r="H4112"/>
        </row>
        <row r="4113">
          <cell r="C4113"/>
          <cell r="H4113"/>
        </row>
        <row r="4114">
          <cell r="C4114"/>
          <cell r="H4114"/>
        </row>
        <row r="4115">
          <cell r="C4115"/>
          <cell r="H4115"/>
        </row>
        <row r="4116">
          <cell r="C4116"/>
          <cell r="H4116"/>
        </row>
        <row r="4117">
          <cell r="C4117"/>
          <cell r="H4117"/>
        </row>
        <row r="4118">
          <cell r="C4118"/>
          <cell r="H4118"/>
        </row>
        <row r="4119">
          <cell r="C4119"/>
          <cell r="H4119"/>
        </row>
        <row r="4120">
          <cell r="C4120"/>
          <cell r="H4120"/>
        </row>
        <row r="4121">
          <cell r="C4121"/>
          <cell r="H4121"/>
        </row>
        <row r="4122">
          <cell r="C4122"/>
          <cell r="H4122"/>
        </row>
        <row r="4123">
          <cell r="C4123"/>
          <cell r="H4123"/>
        </row>
        <row r="4124">
          <cell r="C4124"/>
          <cell r="H4124"/>
        </row>
        <row r="4125">
          <cell r="C4125"/>
          <cell r="H4125"/>
        </row>
        <row r="4126">
          <cell r="C4126"/>
          <cell r="H4126"/>
        </row>
        <row r="4127">
          <cell r="C4127"/>
          <cell r="H4127"/>
        </row>
        <row r="4128">
          <cell r="C4128"/>
          <cell r="H4128"/>
        </row>
        <row r="4129">
          <cell r="C4129"/>
          <cell r="H4129"/>
        </row>
        <row r="4130">
          <cell r="C4130"/>
          <cell r="H4130"/>
        </row>
        <row r="4131">
          <cell r="C4131"/>
          <cell r="H4131"/>
        </row>
        <row r="4132">
          <cell r="C4132"/>
          <cell r="H4132"/>
        </row>
        <row r="4133">
          <cell r="C4133"/>
          <cell r="H4133"/>
        </row>
        <row r="4134">
          <cell r="C4134"/>
          <cell r="H4134"/>
        </row>
        <row r="4135">
          <cell r="C4135"/>
          <cell r="H4135"/>
        </row>
        <row r="4136">
          <cell r="C4136"/>
          <cell r="H4136"/>
        </row>
        <row r="4137">
          <cell r="C4137"/>
          <cell r="H4137"/>
        </row>
        <row r="4138">
          <cell r="C4138"/>
          <cell r="H4138"/>
        </row>
        <row r="4139">
          <cell r="C4139"/>
          <cell r="H4139"/>
        </row>
        <row r="4140">
          <cell r="C4140"/>
          <cell r="H4140"/>
        </row>
        <row r="4141">
          <cell r="C4141"/>
          <cell r="H4141"/>
        </row>
        <row r="4142">
          <cell r="C4142"/>
          <cell r="H4142"/>
        </row>
        <row r="4143">
          <cell r="C4143"/>
          <cell r="H4143"/>
        </row>
        <row r="4144">
          <cell r="C4144"/>
          <cell r="H4144"/>
        </row>
        <row r="4145">
          <cell r="C4145"/>
          <cell r="H4145"/>
        </row>
        <row r="4146">
          <cell r="C4146"/>
          <cell r="H4146"/>
        </row>
        <row r="4147">
          <cell r="C4147"/>
          <cell r="H4147"/>
        </row>
        <row r="4148">
          <cell r="C4148"/>
          <cell r="H4148"/>
        </row>
        <row r="4149">
          <cell r="C4149"/>
          <cell r="H4149"/>
        </row>
        <row r="4150">
          <cell r="C4150"/>
          <cell r="H4150"/>
        </row>
        <row r="4151">
          <cell r="C4151"/>
          <cell r="H4151"/>
        </row>
        <row r="4152">
          <cell r="C4152"/>
          <cell r="H4152"/>
        </row>
        <row r="4153">
          <cell r="C4153"/>
          <cell r="H4153"/>
        </row>
        <row r="4154">
          <cell r="C4154"/>
          <cell r="H4154"/>
        </row>
        <row r="4155">
          <cell r="C4155"/>
          <cell r="H4155"/>
        </row>
        <row r="4156">
          <cell r="C4156"/>
          <cell r="H4156"/>
        </row>
        <row r="4157">
          <cell r="C4157"/>
          <cell r="H4157"/>
        </row>
        <row r="4158">
          <cell r="C4158"/>
          <cell r="H4158"/>
        </row>
        <row r="4159">
          <cell r="C4159"/>
          <cell r="H4159"/>
        </row>
        <row r="4160">
          <cell r="C4160"/>
          <cell r="H4160"/>
        </row>
        <row r="4161">
          <cell r="C4161"/>
          <cell r="H4161"/>
        </row>
        <row r="4162">
          <cell r="C4162"/>
          <cell r="H4162"/>
        </row>
        <row r="4163">
          <cell r="C4163"/>
          <cell r="H4163"/>
        </row>
        <row r="4164">
          <cell r="C4164"/>
          <cell r="H4164"/>
        </row>
        <row r="4165">
          <cell r="C4165"/>
          <cell r="H4165"/>
        </row>
        <row r="4166">
          <cell r="C4166"/>
          <cell r="H4166"/>
        </row>
        <row r="4167">
          <cell r="C4167"/>
          <cell r="H4167"/>
        </row>
        <row r="4168">
          <cell r="C4168"/>
          <cell r="H4168"/>
        </row>
        <row r="4169">
          <cell r="C4169"/>
          <cell r="H4169"/>
        </row>
        <row r="4170">
          <cell r="C4170"/>
          <cell r="H4170"/>
        </row>
        <row r="4171">
          <cell r="C4171"/>
          <cell r="H4171"/>
        </row>
        <row r="4172">
          <cell r="C4172"/>
          <cell r="H4172"/>
        </row>
        <row r="4173">
          <cell r="C4173"/>
          <cell r="H4173"/>
        </row>
        <row r="4174">
          <cell r="C4174"/>
          <cell r="H4174"/>
        </row>
        <row r="4175">
          <cell r="C4175"/>
          <cell r="H4175"/>
        </row>
        <row r="4176">
          <cell r="C4176"/>
          <cell r="H4176"/>
        </row>
        <row r="4177">
          <cell r="C4177"/>
          <cell r="H4177"/>
        </row>
        <row r="4178">
          <cell r="C4178"/>
          <cell r="H4178"/>
        </row>
        <row r="4179">
          <cell r="C4179"/>
          <cell r="H4179"/>
        </row>
        <row r="4180">
          <cell r="C4180"/>
          <cell r="H4180"/>
        </row>
        <row r="4181">
          <cell r="C4181"/>
          <cell r="H4181"/>
        </row>
        <row r="4182">
          <cell r="C4182"/>
          <cell r="H4182"/>
        </row>
        <row r="4183">
          <cell r="C4183"/>
          <cell r="H4183"/>
        </row>
        <row r="4184">
          <cell r="C4184"/>
          <cell r="H4184"/>
        </row>
        <row r="4185">
          <cell r="C4185"/>
          <cell r="H4185"/>
        </row>
        <row r="4186">
          <cell r="C4186"/>
          <cell r="H4186"/>
        </row>
        <row r="4187">
          <cell r="C4187"/>
          <cell r="H4187"/>
        </row>
        <row r="4188">
          <cell r="C4188"/>
          <cell r="H4188"/>
        </row>
        <row r="4189">
          <cell r="C4189"/>
          <cell r="H4189"/>
        </row>
        <row r="4190">
          <cell r="C4190"/>
          <cell r="H4190"/>
        </row>
        <row r="4191">
          <cell r="C4191"/>
          <cell r="H4191"/>
        </row>
        <row r="4192">
          <cell r="C4192"/>
          <cell r="H4192"/>
        </row>
        <row r="4193">
          <cell r="C4193"/>
          <cell r="H4193"/>
        </row>
        <row r="4194">
          <cell r="C4194"/>
          <cell r="H4194"/>
        </row>
        <row r="4195">
          <cell r="C4195"/>
          <cell r="H4195"/>
        </row>
        <row r="4196">
          <cell r="C4196"/>
          <cell r="H4196"/>
        </row>
        <row r="4197">
          <cell r="C4197"/>
          <cell r="H4197"/>
        </row>
        <row r="4198">
          <cell r="C4198"/>
          <cell r="H4198"/>
        </row>
        <row r="4199">
          <cell r="C4199"/>
          <cell r="H4199"/>
        </row>
        <row r="4200">
          <cell r="C4200"/>
          <cell r="H4200"/>
        </row>
        <row r="4201">
          <cell r="C4201"/>
          <cell r="H4201"/>
        </row>
        <row r="4202">
          <cell r="C4202"/>
          <cell r="H4202"/>
        </row>
        <row r="4203">
          <cell r="C4203"/>
          <cell r="H4203"/>
        </row>
        <row r="4204">
          <cell r="C4204"/>
          <cell r="H4204"/>
        </row>
        <row r="4205">
          <cell r="C4205"/>
          <cell r="H4205"/>
        </row>
        <row r="4206">
          <cell r="C4206"/>
          <cell r="H4206"/>
        </row>
        <row r="4207">
          <cell r="C4207"/>
          <cell r="H4207"/>
        </row>
        <row r="4208">
          <cell r="C4208"/>
          <cell r="H4208"/>
        </row>
        <row r="4209">
          <cell r="C4209"/>
          <cell r="H4209"/>
        </row>
        <row r="4210">
          <cell r="C4210"/>
          <cell r="H4210"/>
        </row>
        <row r="4211">
          <cell r="C4211"/>
          <cell r="H4211"/>
        </row>
        <row r="4212">
          <cell r="C4212"/>
          <cell r="H4212"/>
        </row>
        <row r="4213">
          <cell r="C4213"/>
          <cell r="H4213"/>
        </row>
        <row r="4214">
          <cell r="C4214"/>
          <cell r="H4214"/>
        </row>
        <row r="4215">
          <cell r="C4215"/>
          <cell r="H4215"/>
        </row>
        <row r="4216">
          <cell r="C4216"/>
          <cell r="H4216"/>
        </row>
        <row r="4217">
          <cell r="C4217"/>
          <cell r="H4217"/>
        </row>
        <row r="4218">
          <cell r="C4218"/>
          <cell r="H4218"/>
        </row>
        <row r="4219">
          <cell r="C4219"/>
          <cell r="H4219"/>
        </row>
        <row r="4220">
          <cell r="C4220"/>
          <cell r="H4220"/>
        </row>
        <row r="4221">
          <cell r="C4221"/>
          <cell r="H4221"/>
        </row>
        <row r="4222">
          <cell r="C4222"/>
          <cell r="H4222"/>
        </row>
        <row r="4223">
          <cell r="C4223"/>
          <cell r="H4223"/>
        </row>
        <row r="4224">
          <cell r="C4224"/>
          <cell r="H4224"/>
        </row>
        <row r="4225">
          <cell r="C4225"/>
          <cell r="H4225"/>
        </row>
        <row r="4226">
          <cell r="C4226"/>
          <cell r="H4226"/>
        </row>
        <row r="4227">
          <cell r="C4227"/>
          <cell r="H4227"/>
        </row>
        <row r="4228">
          <cell r="C4228"/>
          <cell r="H4228"/>
        </row>
        <row r="4229">
          <cell r="C4229"/>
          <cell r="H4229"/>
        </row>
        <row r="4230">
          <cell r="C4230"/>
          <cell r="H4230"/>
        </row>
        <row r="4231">
          <cell r="C4231"/>
          <cell r="H4231"/>
        </row>
        <row r="4232">
          <cell r="C4232"/>
          <cell r="H4232"/>
        </row>
        <row r="4233">
          <cell r="C4233"/>
          <cell r="H4233"/>
        </row>
        <row r="4234">
          <cell r="C4234"/>
          <cell r="H4234"/>
        </row>
        <row r="4235">
          <cell r="C4235"/>
          <cell r="H4235"/>
        </row>
        <row r="4236">
          <cell r="C4236"/>
          <cell r="H4236"/>
        </row>
        <row r="4237">
          <cell r="C4237"/>
          <cell r="H4237"/>
        </row>
        <row r="4238">
          <cell r="C4238"/>
          <cell r="H4238"/>
        </row>
        <row r="4239">
          <cell r="C4239"/>
          <cell r="H4239"/>
        </row>
        <row r="4240">
          <cell r="C4240"/>
          <cell r="H4240"/>
        </row>
        <row r="4241">
          <cell r="C4241"/>
          <cell r="H4241"/>
        </row>
        <row r="4242">
          <cell r="C4242"/>
          <cell r="H4242"/>
        </row>
        <row r="4243">
          <cell r="C4243"/>
          <cell r="H4243"/>
        </row>
        <row r="4244">
          <cell r="C4244"/>
          <cell r="H4244"/>
        </row>
        <row r="4245">
          <cell r="C4245"/>
          <cell r="H4245"/>
        </row>
        <row r="4246">
          <cell r="C4246"/>
          <cell r="H4246"/>
        </row>
        <row r="4247">
          <cell r="C4247"/>
          <cell r="H4247"/>
        </row>
        <row r="4248">
          <cell r="C4248"/>
          <cell r="H4248"/>
        </row>
        <row r="4249">
          <cell r="C4249"/>
          <cell r="H4249"/>
        </row>
        <row r="4250">
          <cell r="C4250"/>
          <cell r="H4250"/>
        </row>
        <row r="4251">
          <cell r="C4251"/>
          <cell r="H4251"/>
        </row>
        <row r="4252">
          <cell r="C4252"/>
          <cell r="H4252"/>
        </row>
        <row r="4253">
          <cell r="C4253"/>
          <cell r="H4253"/>
        </row>
        <row r="4254">
          <cell r="C4254"/>
          <cell r="H4254"/>
        </row>
        <row r="4255">
          <cell r="C4255"/>
          <cell r="H4255"/>
        </row>
        <row r="4256">
          <cell r="C4256"/>
          <cell r="H4256"/>
        </row>
        <row r="4257">
          <cell r="C4257"/>
          <cell r="H4257"/>
        </row>
        <row r="4258">
          <cell r="C4258"/>
          <cell r="H4258"/>
        </row>
        <row r="4259">
          <cell r="C4259"/>
          <cell r="H4259"/>
        </row>
        <row r="4260">
          <cell r="C4260"/>
          <cell r="H4260"/>
        </row>
        <row r="4261">
          <cell r="C4261"/>
          <cell r="H4261"/>
        </row>
        <row r="4262">
          <cell r="C4262"/>
          <cell r="H4262"/>
        </row>
        <row r="4263">
          <cell r="C4263"/>
          <cell r="H4263"/>
        </row>
        <row r="4264">
          <cell r="C4264"/>
          <cell r="H4264"/>
        </row>
        <row r="4265">
          <cell r="C4265"/>
          <cell r="H4265"/>
        </row>
        <row r="4266">
          <cell r="C4266"/>
          <cell r="H4266"/>
        </row>
        <row r="4267">
          <cell r="C4267"/>
          <cell r="H4267"/>
        </row>
        <row r="4268">
          <cell r="C4268"/>
          <cell r="H4268"/>
        </row>
        <row r="4269">
          <cell r="C4269"/>
          <cell r="H4269"/>
        </row>
        <row r="4270">
          <cell r="C4270"/>
          <cell r="H4270"/>
        </row>
        <row r="4271">
          <cell r="C4271"/>
          <cell r="H4271"/>
        </row>
        <row r="4272">
          <cell r="C4272"/>
          <cell r="H4272"/>
        </row>
        <row r="4273">
          <cell r="C4273"/>
          <cell r="H4273"/>
        </row>
        <row r="4274">
          <cell r="C4274"/>
          <cell r="H4274"/>
        </row>
        <row r="4275">
          <cell r="C4275"/>
          <cell r="H4275"/>
        </row>
        <row r="4276">
          <cell r="C4276"/>
          <cell r="H4276"/>
        </row>
        <row r="4277">
          <cell r="C4277"/>
          <cell r="H4277"/>
        </row>
        <row r="4278">
          <cell r="C4278"/>
          <cell r="H4278"/>
        </row>
        <row r="4279">
          <cell r="C4279"/>
          <cell r="H4279"/>
        </row>
        <row r="4280">
          <cell r="C4280"/>
          <cell r="H4280"/>
        </row>
        <row r="4281">
          <cell r="C4281"/>
          <cell r="H4281"/>
        </row>
        <row r="4282">
          <cell r="C4282"/>
          <cell r="H4282"/>
        </row>
        <row r="4283">
          <cell r="C4283"/>
          <cell r="H4283"/>
        </row>
        <row r="4284">
          <cell r="C4284"/>
          <cell r="H4284"/>
        </row>
        <row r="4285">
          <cell r="C4285"/>
          <cell r="H4285"/>
        </row>
        <row r="4286">
          <cell r="C4286"/>
          <cell r="H4286"/>
        </row>
        <row r="4287">
          <cell r="C4287"/>
          <cell r="H4287"/>
        </row>
        <row r="4288">
          <cell r="C4288"/>
          <cell r="H4288"/>
        </row>
        <row r="4289">
          <cell r="C4289"/>
          <cell r="H4289"/>
        </row>
        <row r="4290">
          <cell r="C4290"/>
          <cell r="H4290"/>
        </row>
        <row r="4291">
          <cell r="C4291"/>
          <cell r="H4291"/>
        </row>
        <row r="4292">
          <cell r="C4292"/>
          <cell r="H4292"/>
        </row>
        <row r="4293">
          <cell r="C4293"/>
          <cell r="H4293"/>
        </row>
        <row r="4294">
          <cell r="C4294"/>
          <cell r="H4294"/>
        </row>
        <row r="4295">
          <cell r="C4295"/>
          <cell r="H4295"/>
        </row>
        <row r="4296">
          <cell r="C4296"/>
          <cell r="H4296"/>
        </row>
        <row r="4297">
          <cell r="C4297"/>
          <cell r="H4297"/>
        </row>
        <row r="4298">
          <cell r="C4298"/>
          <cell r="H4298"/>
        </row>
        <row r="4299">
          <cell r="C4299"/>
          <cell r="H4299"/>
        </row>
        <row r="4300">
          <cell r="C4300"/>
          <cell r="H4300"/>
        </row>
        <row r="4301">
          <cell r="C4301"/>
          <cell r="H4301"/>
        </row>
        <row r="4302">
          <cell r="C4302"/>
          <cell r="H4302"/>
        </row>
        <row r="4303">
          <cell r="C4303"/>
          <cell r="H4303"/>
        </row>
        <row r="4304">
          <cell r="C4304"/>
          <cell r="H4304"/>
        </row>
        <row r="4305">
          <cell r="C4305"/>
          <cell r="H4305"/>
        </row>
        <row r="4306">
          <cell r="C4306"/>
          <cell r="H4306"/>
        </row>
        <row r="4307">
          <cell r="C4307"/>
          <cell r="H4307"/>
        </row>
        <row r="4308">
          <cell r="C4308"/>
          <cell r="H4308"/>
        </row>
        <row r="4309">
          <cell r="C4309"/>
          <cell r="H4309"/>
        </row>
        <row r="4310">
          <cell r="C4310"/>
          <cell r="H4310"/>
        </row>
        <row r="4311">
          <cell r="C4311"/>
          <cell r="H4311"/>
        </row>
        <row r="4312">
          <cell r="C4312"/>
          <cell r="H4312"/>
        </row>
        <row r="4313">
          <cell r="C4313"/>
          <cell r="H4313"/>
        </row>
        <row r="4314">
          <cell r="C4314"/>
          <cell r="H4314"/>
        </row>
        <row r="4315">
          <cell r="C4315"/>
          <cell r="H4315"/>
        </row>
        <row r="4316">
          <cell r="C4316"/>
          <cell r="H4316"/>
        </row>
        <row r="4317">
          <cell r="C4317"/>
          <cell r="H4317"/>
        </row>
        <row r="4318">
          <cell r="C4318"/>
          <cell r="H4318"/>
        </row>
        <row r="4319">
          <cell r="C4319"/>
          <cell r="H4319"/>
        </row>
        <row r="4320">
          <cell r="C4320"/>
          <cell r="H4320"/>
        </row>
        <row r="4321">
          <cell r="C4321"/>
          <cell r="H4321"/>
        </row>
        <row r="4322">
          <cell r="C4322"/>
          <cell r="H4322"/>
        </row>
        <row r="4323">
          <cell r="C4323"/>
          <cell r="H4323"/>
        </row>
        <row r="4324">
          <cell r="C4324"/>
          <cell r="H4324"/>
        </row>
        <row r="4325">
          <cell r="C4325"/>
          <cell r="H4325"/>
        </row>
        <row r="4326">
          <cell r="C4326"/>
          <cell r="H4326"/>
        </row>
        <row r="4327">
          <cell r="C4327"/>
          <cell r="H4327"/>
        </row>
        <row r="4328">
          <cell r="C4328"/>
          <cell r="H4328"/>
        </row>
        <row r="4329">
          <cell r="C4329"/>
          <cell r="H4329"/>
        </row>
        <row r="4330">
          <cell r="C4330"/>
          <cell r="H4330"/>
        </row>
        <row r="4331">
          <cell r="C4331"/>
          <cell r="H4331"/>
        </row>
        <row r="4332">
          <cell r="C4332"/>
          <cell r="H4332"/>
        </row>
        <row r="4333">
          <cell r="C4333"/>
          <cell r="H4333"/>
        </row>
        <row r="4334">
          <cell r="C4334"/>
          <cell r="H4334"/>
        </row>
        <row r="4335">
          <cell r="C4335"/>
          <cell r="H4335"/>
        </row>
        <row r="4336">
          <cell r="C4336"/>
          <cell r="H4336"/>
        </row>
        <row r="4337">
          <cell r="C4337"/>
          <cell r="H4337"/>
        </row>
        <row r="4338">
          <cell r="C4338"/>
          <cell r="H4338"/>
        </row>
        <row r="4339">
          <cell r="C4339"/>
          <cell r="H4339"/>
        </row>
        <row r="4340">
          <cell r="C4340"/>
          <cell r="H4340"/>
        </row>
        <row r="4341">
          <cell r="C4341"/>
          <cell r="H4341"/>
        </row>
        <row r="4342">
          <cell r="C4342"/>
          <cell r="H4342"/>
        </row>
        <row r="4343">
          <cell r="C4343"/>
          <cell r="H4343"/>
        </row>
        <row r="4344">
          <cell r="C4344"/>
          <cell r="H4344"/>
        </row>
        <row r="4345">
          <cell r="C4345"/>
          <cell r="H4345"/>
        </row>
        <row r="4346">
          <cell r="C4346"/>
          <cell r="H4346"/>
        </row>
        <row r="4347">
          <cell r="C4347"/>
          <cell r="H4347"/>
        </row>
        <row r="4348">
          <cell r="C4348"/>
          <cell r="H4348"/>
        </row>
        <row r="4349">
          <cell r="C4349"/>
          <cell r="H4349"/>
        </row>
        <row r="4350">
          <cell r="C4350"/>
          <cell r="H4350"/>
        </row>
        <row r="4351">
          <cell r="C4351"/>
          <cell r="H4351"/>
        </row>
        <row r="4352">
          <cell r="C4352"/>
          <cell r="H4352"/>
        </row>
        <row r="4353">
          <cell r="C4353"/>
          <cell r="H4353"/>
        </row>
        <row r="4354">
          <cell r="C4354"/>
          <cell r="H4354"/>
        </row>
        <row r="4355">
          <cell r="C4355"/>
          <cell r="H4355"/>
        </row>
        <row r="4356">
          <cell r="C4356"/>
          <cell r="H4356"/>
        </row>
        <row r="4357">
          <cell r="C4357"/>
          <cell r="H4357"/>
        </row>
        <row r="4358">
          <cell r="C4358"/>
          <cell r="H4358"/>
        </row>
        <row r="4359">
          <cell r="C4359"/>
          <cell r="H4359"/>
        </row>
        <row r="4360">
          <cell r="C4360"/>
          <cell r="H4360"/>
        </row>
        <row r="4361">
          <cell r="C4361"/>
          <cell r="H4361"/>
        </row>
        <row r="4362">
          <cell r="C4362"/>
          <cell r="H4362"/>
        </row>
        <row r="4363">
          <cell r="C4363"/>
          <cell r="H4363"/>
        </row>
        <row r="4364">
          <cell r="C4364"/>
          <cell r="H4364"/>
        </row>
        <row r="4365">
          <cell r="C4365"/>
          <cell r="H4365"/>
        </row>
        <row r="4366">
          <cell r="C4366"/>
          <cell r="H4366"/>
        </row>
        <row r="4367">
          <cell r="C4367"/>
          <cell r="H4367"/>
        </row>
        <row r="4368">
          <cell r="C4368"/>
          <cell r="H4368"/>
        </row>
        <row r="4369">
          <cell r="C4369"/>
          <cell r="H4369"/>
        </row>
        <row r="4370">
          <cell r="C4370"/>
          <cell r="H4370"/>
        </row>
        <row r="4371">
          <cell r="C4371"/>
          <cell r="H4371"/>
        </row>
        <row r="4372">
          <cell r="C4372"/>
          <cell r="H4372"/>
        </row>
        <row r="4373">
          <cell r="C4373"/>
          <cell r="H4373"/>
        </row>
        <row r="4374">
          <cell r="C4374"/>
          <cell r="H4374"/>
        </row>
        <row r="4375">
          <cell r="C4375"/>
          <cell r="H4375"/>
        </row>
        <row r="4376">
          <cell r="C4376"/>
          <cell r="H4376"/>
        </row>
        <row r="4377">
          <cell r="C4377"/>
          <cell r="H4377"/>
        </row>
        <row r="4378">
          <cell r="C4378"/>
          <cell r="H4378"/>
        </row>
        <row r="4379">
          <cell r="C4379"/>
          <cell r="H4379"/>
        </row>
        <row r="4380">
          <cell r="C4380"/>
          <cell r="H4380"/>
        </row>
        <row r="4381">
          <cell r="C4381"/>
          <cell r="H4381"/>
        </row>
        <row r="4382">
          <cell r="C4382"/>
          <cell r="H4382"/>
        </row>
        <row r="4383">
          <cell r="C4383"/>
          <cell r="H4383"/>
        </row>
        <row r="4384">
          <cell r="C4384"/>
          <cell r="H4384"/>
        </row>
        <row r="4385">
          <cell r="C4385"/>
          <cell r="H4385"/>
        </row>
        <row r="4386">
          <cell r="C4386"/>
          <cell r="H4386"/>
        </row>
        <row r="4387">
          <cell r="C4387"/>
          <cell r="H4387"/>
        </row>
        <row r="4388">
          <cell r="C4388"/>
          <cell r="H4388"/>
        </row>
        <row r="4389">
          <cell r="C4389"/>
          <cell r="H4389"/>
        </row>
        <row r="4390">
          <cell r="C4390"/>
          <cell r="H4390"/>
        </row>
        <row r="4391">
          <cell r="C4391"/>
          <cell r="H4391"/>
        </row>
        <row r="4392">
          <cell r="C4392"/>
          <cell r="H4392"/>
        </row>
        <row r="4393">
          <cell r="C4393"/>
          <cell r="H4393"/>
        </row>
        <row r="4394">
          <cell r="C4394"/>
          <cell r="H4394"/>
        </row>
        <row r="4395">
          <cell r="C4395"/>
          <cell r="H4395"/>
        </row>
        <row r="4396">
          <cell r="C4396"/>
          <cell r="H4396"/>
        </row>
        <row r="4397">
          <cell r="C4397"/>
          <cell r="H4397"/>
        </row>
        <row r="4398">
          <cell r="C4398"/>
          <cell r="H4398"/>
        </row>
        <row r="4399">
          <cell r="C4399"/>
          <cell r="H4399"/>
        </row>
        <row r="4400">
          <cell r="C4400"/>
          <cell r="H4400"/>
        </row>
        <row r="4401">
          <cell r="C4401"/>
          <cell r="H4401"/>
        </row>
        <row r="4402">
          <cell r="C4402"/>
          <cell r="H4402"/>
        </row>
        <row r="4403">
          <cell r="C4403"/>
          <cell r="H4403"/>
        </row>
        <row r="4404">
          <cell r="C4404"/>
          <cell r="H4404"/>
        </row>
        <row r="4405">
          <cell r="C4405"/>
          <cell r="H4405"/>
        </row>
        <row r="4406">
          <cell r="C4406"/>
          <cell r="H4406"/>
        </row>
        <row r="4407">
          <cell r="C4407"/>
          <cell r="H4407"/>
        </row>
        <row r="4408">
          <cell r="C4408"/>
          <cell r="H4408"/>
        </row>
        <row r="4409">
          <cell r="C4409"/>
          <cell r="H4409"/>
        </row>
        <row r="4410">
          <cell r="C4410"/>
          <cell r="H4410"/>
        </row>
        <row r="4411">
          <cell r="C4411"/>
          <cell r="H4411"/>
        </row>
        <row r="4412">
          <cell r="C4412"/>
          <cell r="H4412"/>
        </row>
        <row r="4413">
          <cell r="C4413"/>
          <cell r="H4413"/>
        </row>
        <row r="4414">
          <cell r="C4414"/>
          <cell r="H4414"/>
        </row>
        <row r="4415">
          <cell r="C4415"/>
          <cell r="H4415"/>
        </row>
        <row r="4416">
          <cell r="C4416"/>
          <cell r="H4416"/>
        </row>
        <row r="4417">
          <cell r="C4417"/>
          <cell r="H4417"/>
        </row>
        <row r="4418">
          <cell r="C4418"/>
          <cell r="H4418"/>
        </row>
        <row r="4419">
          <cell r="C4419"/>
          <cell r="H4419"/>
        </row>
        <row r="4420">
          <cell r="C4420"/>
          <cell r="H4420"/>
        </row>
        <row r="4421">
          <cell r="C4421"/>
          <cell r="H4421"/>
        </row>
        <row r="4422">
          <cell r="C4422"/>
          <cell r="H4422"/>
        </row>
        <row r="4423">
          <cell r="C4423"/>
          <cell r="H4423"/>
        </row>
        <row r="4424">
          <cell r="C4424"/>
          <cell r="H4424"/>
        </row>
        <row r="4425">
          <cell r="C4425"/>
          <cell r="H4425"/>
        </row>
        <row r="4426">
          <cell r="C4426"/>
          <cell r="H4426"/>
        </row>
        <row r="4427">
          <cell r="C4427"/>
          <cell r="H4427"/>
        </row>
        <row r="4428">
          <cell r="C4428"/>
          <cell r="H4428"/>
        </row>
        <row r="4429">
          <cell r="C4429"/>
          <cell r="H4429"/>
        </row>
        <row r="4430">
          <cell r="C4430"/>
          <cell r="H4430"/>
        </row>
        <row r="4431">
          <cell r="C4431"/>
          <cell r="H4431"/>
        </row>
        <row r="4432">
          <cell r="C4432"/>
          <cell r="H4432"/>
        </row>
        <row r="4433">
          <cell r="C4433"/>
          <cell r="H4433"/>
        </row>
        <row r="4434">
          <cell r="C4434"/>
          <cell r="H4434"/>
        </row>
        <row r="4435">
          <cell r="C4435"/>
          <cell r="H4435"/>
        </row>
        <row r="4436">
          <cell r="C4436"/>
          <cell r="H4436"/>
        </row>
        <row r="4437">
          <cell r="C4437"/>
          <cell r="H4437"/>
        </row>
        <row r="4438">
          <cell r="C4438"/>
          <cell r="H4438"/>
        </row>
        <row r="4439">
          <cell r="C4439"/>
          <cell r="H4439"/>
        </row>
        <row r="4440">
          <cell r="C4440"/>
          <cell r="H4440"/>
        </row>
        <row r="4441">
          <cell r="C4441"/>
          <cell r="H4441"/>
        </row>
        <row r="4442">
          <cell r="C4442"/>
          <cell r="H4442"/>
        </row>
        <row r="4443">
          <cell r="C4443"/>
          <cell r="H4443"/>
        </row>
        <row r="4444">
          <cell r="C4444"/>
          <cell r="H4444"/>
        </row>
        <row r="4445">
          <cell r="C4445"/>
          <cell r="H4445"/>
        </row>
        <row r="4446">
          <cell r="C4446"/>
          <cell r="H4446"/>
        </row>
        <row r="4447">
          <cell r="C4447"/>
          <cell r="H4447"/>
        </row>
        <row r="4448">
          <cell r="C4448"/>
          <cell r="H4448"/>
        </row>
        <row r="4449">
          <cell r="C4449"/>
          <cell r="H4449"/>
        </row>
        <row r="4450">
          <cell r="C4450"/>
          <cell r="H4450"/>
        </row>
        <row r="4451">
          <cell r="C4451"/>
          <cell r="H4451"/>
        </row>
        <row r="4452">
          <cell r="C4452"/>
          <cell r="H4452"/>
        </row>
        <row r="4453">
          <cell r="C4453"/>
          <cell r="H4453"/>
        </row>
        <row r="4454">
          <cell r="C4454"/>
          <cell r="H4454"/>
        </row>
        <row r="4455">
          <cell r="C4455"/>
          <cell r="H4455"/>
        </row>
        <row r="4456">
          <cell r="C4456"/>
          <cell r="H4456"/>
        </row>
        <row r="4457">
          <cell r="C4457"/>
          <cell r="H4457"/>
        </row>
        <row r="4458">
          <cell r="C4458"/>
          <cell r="H4458"/>
        </row>
        <row r="4459">
          <cell r="C4459"/>
          <cell r="H4459"/>
        </row>
        <row r="4460">
          <cell r="C4460"/>
          <cell r="H4460"/>
        </row>
        <row r="4461">
          <cell r="C4461"/>
          <cell r="H4461"/>
        </row>
        <row r="4462">
          <cell r="C4462"/>
          <cell r="H4462"/>
        </row>
        <row r="4463">
          <cell r="C4463"/>
          <cell r="H4463"/>
        </row>
        <row r="4464">
          <cell r="C4464"/>
          <cell r="H4464"/>
        </row>
        <row r="4465">
          <cell r="C4465"/>
          <cell r="H4465"/>
        </row>
        <row r="4466">
          <cell r="C4466"/>
          <cell r="H4466"/>
        </row>
        <row r="4467">
          <cell r="C4467"/>
          <cell r="H4467"/>
        </row>
        <row r="4468">
          <cell r="C4468"/>
          <cell r="H4468"/>
        </row>
        <row r="4469">
          <cell r="C4469"/>
          <cell r="H4469"/>
        </row>
        <row r="4470">
          <cell r="C4470"/>
          <cell r="H4470"/>
        </row>
        <row r="4471">
          <cell r="C4471"/>
          <cell r="H4471"/>
        </row>
        <row r="4472">
          <cell r="C4472"/>
          <cell r="H4472"/>
        </row>
        <row r="4473">
          <cell r="C4473"/>
          <cell r="H4473"/>
        </row>
        <row r="4474">
          <cell r="C4474"/>
          <cell r="H4474"/>
        </row>
        <row r="4475">
          <cell r="C4475"/>
          <cell r="H4475"/>
        </row>
        <row r="4476">
          <cell r="C4476"/>
          <cell r="H4476"/>
        </row>
        <row r="4477">
          <cell r="C4477"/>
          <cell r="H4477"/>
        </row>
        <row r="4478">
          <cell r="C4478"/>
          <cell r="H4478"/>
        </row>
        <row r="4479">
          <cell r="C4479"/>
          <cell r="H4479"/>
        </row>
        <row r="4480">
          <cell r="C4480"/>
          <cell r="H4480"/>
        </row>
        <row r="4481">
          <cell r="C4481"/>
          <cell r="H4481"/>
        </row>
        <row r="4482">
          <cell r="C4482"/>
          <cell r="H4482"/>
        </row>
        <row r="4483">
          <cell r="C4483"/>
          <cell r="H4483"/>
        </row>
        <row r="4484">
          <cell r="C4484"/>
          <cell r="H4484"/>
        </row>
        <row r="4485">
          <cell r="C4485"/>
          <cell r="H4485"/>
        </row>
        <row r="4486">
          <cell r="C4486"/>
          <cell r="H4486"/>
        </row>
        <row r="4487">
          <cell r="C4487"/>
          <cell r="H4487"/>
        </row>
        <row r="4488">
          <cell r="C4488"/>
          <cell r="H4488"/>
        </row>
        <row r="4489">
          <cell r="C4489"/>
          <cell r="H4489"/>
        </row>
        <row r="4490">
          <cell r="C4490"/>
          <cell r="H4490"/>
        </row>
        <row r="4491">
          <cell r="C4491"/>
          <cell r="H4491"/>
        </row>
        <row r="4492">
          <cell r="C4492"/>
          <cell r="H4492"/>
        </row>
        <row r="4493">
          <cell r="C4493"/>
          <cell r="H4493"/>
        </row>
        <row r="4494">
          <cell r="C4494"/>
          <cell r="H4494"/>
        </row>
        <row r="4495">
          <cell r="C4495"/>
          <cell r="H4495"/>
        </row>
        <row r="4496">
          <cell r="C4496"/>
          <cell r="H4496"/>
        </row>
        <row r="4497">
          <cell r="C4497"/>
          <cell r="H4497"/>
        </row>
        <row r="4498">
          <cell r="C4498"/>
          <cell r="H4498"/>
        </row>
        <row r="4499">
          <cell r="C4499"/>
          <cell r="H4499"/>
        </row>
        <row r="4500">
          <cell r="C4500"/>
          <cell r="H4500"/>
        </row>
        <row r="4501">
          <cell r="C4501"/>
          <cell r="H4501"/>
        </row>
        <row r="4502">
          <cell r="C4502"/>
          <cell r="H4502"/>
        </row>
        <row r="4503">
          <cell r="C4503"/>
          <cell r="H4503"/>
        </row>
        <row r="4504">
          <cell r="C4504"/>
          <cell r="H4504"/>
        </row>
        <row r="4505">
          <cell r="C4505"/>
          <cell r="H4505"/>
        </row>
        <row r="4506">
          <cell r="C4506"/>
          <cell r="H4506"/>
        </row>
        <row r="4507">
          <cell r="C4507"/>
          <cell r="H4507"/>
        </row>
        <row r="4508">
          <cell r="C4508"/>
          <cell r="H4508"/>
        </row>
        <row r="4509">
          <cell r="C4509"/>
          <cell r="H4509"/>
        </row>
        <row r="4510">
          <cell r="C4510"/>
          <cell r="H4510"/>
        </row>
        <row r="4511">
          <cell r="C4511"/>
          <cell r="H4511"/>
        </row>
        <row r="4512">
          <cell r="C4512"/>
          <cell r="H4512"/>
        </row>
        <row r="4513">
          <cell r="C4513"/>
          <cell r="H4513"/>
        </row>
        <row r="4514">
          <cell r="C4514"/>
          <cell r="H4514"/>
        </row>
        <row r="4515">
          <cell r="C4515"/>
          <cell r="H4515"/>
        </row>
        <row r="4516">
          <cell r="C4516"/>
          <cell r="H4516"/>
        </row>
        <row r="4517">
          <cell r="C4517"/>
          <cell r="H4517"/>
        </row>
        <row r="4518">
          <cell r="C4518"/>
          <cell r="H4518"/>
        </row>
        <row r="4519">
          <cell r="C4519"/>
          <cell r="H4519"/>
        </row>
        <row r="4520">
          <cell r="C4520"/>
          <cell r="H4520"/>
        </row>
        <row r="4521">
          <cell r="C4521"/>
          <cell r="H4521"/>
        </row>
        <row r="4522">
          <cell r="C4522"/>
          <cell r="H4522"/>
        </row>
        <row r="4523">
          <cell r="C4523"/>
          <cell r="H4523"/>
        </row>
        <row r="4524">
          <cell r="C4524"/>
          <cell r="H4524"/>
        </row>
        <row r="4525">
          <cell r="C4525"/>
          <cell r="H4525"/>
        </row>
        <row r="4526">
          <cell r="C4526"/>
          <cell r="H4526"/>
        </row>
        <row r="4527">
          <cell r="C4527"/>
          <cell r="H4527"/>
        </row>
        <row r="4528">
          <cell r="C4528"/>
          <cell r="H4528"/>
        </row>
        <row r="4529">
          <cell r="C4529"/>
          <cell r="H4529"/>
        </row>
        <row r="4530">
          <cell r="C4530"/>
          <cell r="H4530"/>
        </row>
        <row r="4531">
          <cell r="C4531"/>
          <cell r="H4531"/>
        </row>
        <row r="4532">
          <cell r="C4532"/>
          <cell r="H4532"/>
        </row>
        <row r="4533">
          <cell r="C4533"/>
          <cell r="H4533"/>
        </row>
        <row r="4534">
          <cell r="C4534"/>
          <cell r="H4534"/>
        </row>
        <row r="4535">
          <cell r="C4535"/>
          <cell r="H4535"/>
        </row>
        <row r="4536">
          <cell r="C4536"/>
          <cell r="H4536"/>
        </row>
        <row r="4537">
          <cell r="C4537"/>
          <cell r="H4537"/>
        </row>
        <row r="4538">
          <cell r="C4538"/>
          <cell r="H4538"/>
        </row>
        <row r="4539">
          <cell r="C4539"/>
          <cell r="H4539"/>
        </row>
        <row r="4540">
          <cell r="C4540"/>
          <cell r="H4540"/>
        </row>
        <row r="4541">
          <cell r="C4541"/>
          <cell r="H4541"/>
        </row>
        <row r="4542">
          <cell r="C4542"/>
          <cell r="H4542"/>
        </row>
        <row r="4543">
          <cell r="C4543"/>
          <cell r="H4543"/>
        </row>
        <row r="4544">
          <cell r="C4544"/>
          <cell r="H4544"/>
        </row>
        <row r="4545">
          <cell r="C4545"/>
          <cell r="H4545"/>
        </row>
        <row r="4546">
          <cell r="C4546"/>
          <cell r="H4546"/>
        </row>
        <row r="4547">
          <cell r="C4547"/>
          <cell r="H4547"/>
        </row>
        <row r="4548">
          <cell r="C4548"/>
          <cell r="H4548"/>
        </row>
        <row r="4549">
          <cell r="C4549"/>
          <cell r="H4549"/>
        </row>
        <row r="4550">
          <cell r="C4550"/>
          <cell r="H4550"/>
        </row>
        <row r="4551">
          <cell r="C4551"/>
          <cell r="H4551"/>
        </row>
        <row r="4552">
          <cell r="C4552"/>
          <cell r="H4552"/>
        </row>
        <row r="4553">
          <cell r="C4553"/>
          <cell r="H4553"/>
        </row>
        <row r="4554">
          <cell r="C4554"/>
          <cell r="H4554"/>
        </row>
        <row r="4555">
          <cell r="C4555"/>
          <cell r="H4555"/>
        </row>
        <row r="4556">
          <cell r="C4556"/>
          <cell r="H4556"/>
        </row>
        <row r="4557">
          <cell r="C4557"/>
          <cell r="H4557"/>
        </row>
        <row r="4558">
          <cell r="C4558"/>
          <cell r="H4558"/>
        </row>
        <row r="4559">
          <cell r="C4559"/>
          <cell r="H4559"/>
        </row>
        <row r="4560">
          <cell r="C4560"/>
          <cell r="H4560"/>
        </row>
        <row r="4561">
          <cell r="C4561"/>
          <cell r="H4561"/>
        </row>
        <row r="4562">
          <cell r="C4562"/>
          <cell r="H4562"/>
        </row>
        <row r="4563">
          <cell r="C4563"/>
          <cell r="H4563"/>
        </row>
        <row r="4564">
          <cell r="C4564"/>
          <cell r="H4564"/>
        </row>
        <row r="4565">
          <cell r="C4565"/>
          <cell r="H4565"/>
        </row>
        <row r="4566">
          <cell r="C4566"/>
          <cell r="H4566"/>
        </row>
        <row r="4567">
          <cell r="C4567"/>
          <cell r="H4567"/>
        </row>
        <row r="4568">
          <cell r="C4568"/>
          <cell r="H4568"/>
        </row>
        <row r="4569">
          <cell r="C4569"/>
          <cell r="H4569"/>
        </row>
        <row r="4570">
          <cell r="C4570"/>
          <cell r="H4570"/>
        </row>
        <row r="4571">
          <cell r="C4571"/>
          <cell r="H4571"/>
        </row>
        <row r="4572">
          <cell r="C4572"/>
          <cell r="H4572"/>
        </row>
        <row r="4573">
          <cell r="C4573"/>
          <cell r="H4573"/>
        </row>
        <row r="4574">
          <cell r="C4574"/>
          <cell r="H4574"/>
        </row>
        <row r="4575">
          <cell r="C4575"/>
          <cell r="H4575"/>
        </row>
        <row r="4576">
          <cell r="C4576"/>
          <cell r="H4576"/>
        </row>
        <row r="4577">
          <cell r="C4577"/>
          <cell r="H4577"/>
        </row>
        <row r="4578">
          <cell r="C4578"/>
          <cell r="H4578"/>
        </row>
        <row r="4579">
          <cell r="C4579"/>
          <cell r="H4579"/>
        </row>
        <row r="4580">
          <cell r="C4580"/>
          <cell r="H4580"/>
        </row>
        <row r="4581">
          <cell r="C4581"/>
          <cell r="H4581"/>
        </row>
        <row r="4582">
          <cell r="C4582"/>
          <cell r="H4582"/>
        </row>
        <row r="4583">
          <cell r="C4583"/>
          <cell r="H4583"/>
        </row>
        <row r="4584">
          <cell r="C4584"/>
          <cell r="H4584"/>
        </row>
        <row r="4585">
          <cell r="C4585"/>
          <cell r="H4585"/>
        </row>
        <row r="4586">
          <cell r="C4586"/>
          <cell r="H4586"/>
        </row>
        <row r="4587">
          <cell r="C4587"/>
          <cell r="H4587"/>
        </row>
        <row r="4588">
          <cell r="C4588"/>
          <cell r="H4588"/>
        </row>
        <row r="4589">
          <cell r="C4589"/>
          <cell r="H4589"/>
        </row>
        <row r="4590">
          <cell r="C4590"/>
          <cell r="H4590"/>
        </row>
        <row r="4591">
          <cell r="C4591"/>
          <cell r="H4591"/>
        </row>
        <row r="4592">
          <cell r="C4592"/>
          <cell r="H4592"/>
        </row>
        <row r="4593">
          <cell r="C4593"/>
          <cell r="H4593"/>
        </row>
        <row r="4594">
          <cell r="C4594"/>
          <cell r="H4594"/>
        </row>
        <row r="4595">
          <cell r="C4595"/>
          <cell r="H4595"/>
        </row>
        <row r="4596">
          <cell r="C4596"/>
          <cell r="H4596"/>
        </row>
        <row r="4597">
          <cell r="C4597"/>
          <cell r="H4597"/>
        </row>
        <row r="4598">
          <cell r="C4598"/>
          <cell r="H4598"/>
        </row>
        <row r="4599">
          <cell r="C4599"/>
          <cell r="H4599"/>
        </row>
        <row r="4600">
          <cell r="C4600"/>
          <cell r="H4600"/>
        </row>
        <row r="4601">
          <cell r="C4601"/>
          <cell r="H4601"/>
        </row>
        <row r="4602">
          <cell r="C4602"/>
          <cell r="H4602"/>
        </row>
        <row r="4603">
          <cell r="C4603"/>
          <cell r="H4603"/>
        </row>
        <row r="4604">
          <cell r="C4604"/>
          <cell r="H4604"/>
        </row>
        <row r="4605">
          <cell r="C4605"/>
          <cell r="H4605"/>
        </row>
        <row r="4606">
          <cell r="C4606"/>
          <cell r="H4606"/>
        </row>
        <row r="4607">
          <cell r="C4607"/>
          <cell r="H4607"/>
        </row>
        <row r="4608">
          <cell r="C4608"/>
          <cell r="H4608"/>
        </row>
        <row r="4609">
          <cell r="C4609"/>
          <cell r="H4609"/>
        </row>
        <row r="4610">
          <cell r="C4610"/>
          <cell r="H4610"/>
        </row>
        <row r="4611">
          <cell r="C4611"/>
          <cell r="H4611"/>
        </row>
        <row r="4612">
          <cell r="C4612"/>
          <cell r="H4612"/>
        </row>
        <row r="4613">
          <cell r="C4613"/>
          <cell r="H4613"/>
        </row>
        <row r="4614">
          <cell r="C4614"/>
          <cell r="H4614"/>
        </row>
        <row r="4615">
          <cell r="C4615"/>
          <cell r="H4615"/>
        </row>
        <row r="4616">
          <cell r="C4616"/>
          <cell r="H4616"/>
        </row>
        <row r="4617">
          <cell r="C4617"/>
          <cell r="H4617"/>
        </row>
        <row r="4618">
          <cell r="C4618"/>
          <cell r="H4618"/>
        </row>
        <row r="4619">
          <cell r="C4619"/>
          <cell r="H4619"/>
        </row>
        <row r="4620">
          <cell r="C4620"/>
          <cell r="H4620"/>
        </row>
        <row r="4621">
          <cell r="C4621"/>
          <cell r="H4621"/>
        </row>
        <row r="4622">
          <cell r="C4622"/>
          <cell r="H4622"/>
        </row>
        <row r="4623">
          <cell r="C4623"/>
          <cell r="H4623"/>
        </row>
        <row r="4624">
          <cell r="C4624"/>
          <cell r="H4624"/>
        </row>
        <row r="4625">
          <cell r="C4625"/>
          <cell r="H4625"/>
        </row>
        <row r="4626">
          <cell r="C4626"/>
          <cell r="H4626"/>
        </row>
        <row r="4627">
          <cell r="C4627"/>
          <cell r="H4627"/>
        </row>
        <row r="4628">
          <cell r="C4628"/>
          <cell r="H4628"/>
        </row>
        <row r="4629">
          <cell r="C4629"/>
          <cell r="H4629"/>
        </row>
        <row r="4630">
          <cell r="C4630"/>
          <cell r="H4630"/>
        </row>
        <row r="4631">
          <cell r="C4631"/>
          <cell r="H4631"/>
        </row>
        <row r="4632">
          <cell r="C4632"/>
          <cell r="H4632"/>
        </row>
        <row r="4633">
          <cell r="C4633"/>
          <cell r="H4633"/>
        </row>
        <row r="4634">
          <cell r="C4634"/>
          <cell r="H4634"/>
        </row>
        <row r="4635">
          <cell r="C4635"/>
          <cell r="H4635"/>
        </row>
        <row r="4636">
          <cell r="C4636"/>
          <cell r="H4636"/>
        </row>
        <row r="4637">
          <cell r="C4637"/>
          <cell r="H4637"/>
        </row>
        <row r="4638">
          <cell r="C4638"/>
          <cell r="H4638"/>
        </row>
        <row r="4639">
          <cell r="C4639"/>
          <cell r="H4639"/>
        </row>
        <row r="4640">
          <cell r="C4640"/>
          <cell r="H4640"/>
        </row>
        <row r="4641">
          <cell r="C4641"/>
          <cell r="H4641"/>
        </row>
        <row r="4642">
          <cell r="C4642"/>
          <cell r="H4642"/>
        </row>
        <row r="4643">
          <cell r="C4643"/>
          <cell r="H4643"/>
        </row>
        <row r="4644">
          <cell r="C4644"/>
          <cell r="H4644"/>
        </row>
        <row r="4645">
          <cell r="C4645"/>
          <cell r="H4645"/>
        </row>
        <row r="4646">
          <cell r="C4646"/>
          <cell r="H4646"/>
        </row>
        <row r="4647">
          <cell r="C4647"/>
          <cell r="H4647"/>
        </row>
        <row r="4648">
          <cell r="C4648"/>
          <cell r="H4648"/>
        </row>
        <row r="4649">
          <cell r="C4649"/>
          <cell r="H4649"/>
        </row>
        <row r="4650">
          <cell r="C4650"/>
          <cell r="H4650"/>
        </row>
        <row r="4651">
          <cell r="C4651"/>
          <cell r="H4651"/>
        </row>
        <row r="4652">
          <cell r="C4652"/>
          <cell r="H4652"/>
        </row>
        <row r="4653">
          <cell r="C4653"/>
          <cell r="H4653"/>
        </row>
        <row r="4654">
          <cell r="C4654"/>
          <cell r="H4654"/>
        </row>
        <row r="4655">
          <cell r="C4655"/>
          <cell r="H4655"/>
        </row>
        <row r="4656">
          <cell r="C4656"/>
          <cell r="H4656"/>
        </row>
        <row r="4657">
          <cell r="C4657"/>
          <cell r="H4657"/>
        </row>
        <row r="4658">
          <cell r="C4658"/>
          <cell r="H4658"/>
        </row>
        <row r="4659">
          <cell r="C4659"/>
          <cell r="H4659"/>
        </row>
        <row r="4660">
          <cell r="C4660"/>
          <cell r="H4660"/>
        </row>
        <row r="4661">
          <cell r="C4661"/>
          <cell r="H4661"/>
        </row>
        <row r="4662">
          <cell r="C4662"/>
          <cell r="H4662"/>
        </row>
        <row r="4663">
          <cell r="C4663"/>
          <cell r="H4663"/>
        </row>
        <row r="4664">
          <cell r="C4664"/>
          <cell r="H4664"/>
        </row>
        <row r="4665">
          <cell r="C4665"/>
          <cell r="H4665"/>
        </row>
        <row r="4666">
          <cell r="C4666"/>
          <cell r="H4666"/>
        </row>
        <row r="4667">
          <cell r="C4667"/>
          <cell r="H4667"/>
        </row>
        <row r="4668">
          <cell r="C4668"/>
          <cell r="H4668"/>
        </row>
        <row r="4669">
          <cell r="C4669"/>
          <cell r="H4669"/>
        </row>
        <row r="4670">
          <cell r="C4670"/>
          <cell r="H4670"/>
        </row>
        <row r="4671">
          <cell r="C4671"/>
          <cell r="H4671"/>
        </row>
        <row r="4672">
          <cell r="C4672"/>
          <cell r="H4672"/>
        </row>
        <row r="4673">
          <cell r="C4673"/>
          <cell r="H4673"/>
        </row>
        <row r="4674">
          <cell r="C4674"/>
          <cell r="H4674"/>
        </row>
        <row r="4675">
          <cell r="C4675"/>
          <cell r="H4675"/>
        </row>
        <row r="4676">
          <cell r="C4676"/>
          <cell r="H4676"/>
        </row>
        <row r="4677">
          <cell r="C4677"/>
          <cell r="H4677"/>
        </row>
        <row r="4678">
          <cell r="C4678"/>
          <cell r="H4678"/>
        </row>
        <row r="4679">
          <cell r="C4679"/>
          <cell r="H4679"/>
        </row>
        <row r="4680">
          <cell r="C4680"/>
          <cell r="H4680"/>
        </row>
        <row r="4681">
          <cell r="C4681"/>
          <cell r="H4681"/>
        </row>
        <row r="4682">
          <cell r="C4682"/>
          <cell r="H4682"/>
        </row>
        <row r="4683">
          <cell r="C4683"/>
          <cell r="H4683"/>
        </row>
        <row r="4684">
          <cell r="C4684"/>
          <cell r="H4684"/>
        </row>
        <row r="4685">
          <cell r="C4685"/>
          <cell r="H4685"/>
        </row>
        <row r="4686">
          <cell r="C4686"/>
          <cell r="H4686"/>
        </row>
        <row r="4687">
          <cell r="C4687"/>
          <cell r="H4687"/>
        </row>
        <row r="4688">
          <cell r="C4688"/>
          <cell r="H4688"/>
        </row>
        <row r="4689">
          <cell r="C4689"/>
          <cell r="H4689"/>
        </row>
        <row r="4690">
          <cell r="C4690"/>
          <cell r="H4690"/>
        </row>
        <row r="4691">
          <cell r="C4691"/>
          <cell r="H4691"/>
        </row>
        <row r="4692">
          <cell r="C4692"/>
          <cell r="H4692"/>
        </row>
        <row r="4693">
          <cell r="C4693"/>
          <cell r="H4693"/>
        </row>
        <row r="4694">
          <cell r="C4694"/>
          <cell r="H4694"/>
        </row>
        <row r="4695">
          <cell r="C4695"/>
          <cell r="H4695"/>
        </row>
        <row r="4696">
          <cell r="C4696"/>
          <cell r="H4696"/>
        </row>
        <row r="4697">
          <cell r="C4697"/>
          <cell r="H4697"/>
        </row>
        <row r="4698">
          <cell r="C4698"/>
          <cell r="H4698"/>
        </row>
        <row r="4699">
          <cell r="C4699"/>
          <cell r="H4699"/>
        </row>
        <row r="4700">
          <cell r="C4700"/>
          <cell r="H4700"/>
        </row>
        <row r="4701">
          <cell r="C4701"/>
          <cell r="H4701"/>
        </row>
        <row r="4702">
          <cell r="C4702"/>
          <cell r="H4702"/>
        </row>
        <row r="4703">
          <cell r="C4703"/>
          <cell r="H4703"/>
        </row>
        <row r="4704">
          <cell r="C4704"/>
          <cell r="H4704"/>
        </row>
        <row r="4705">
          <cell r="C4705"/>
          <cell r="H4705"/>
        </row>
        <row r="4706">
          <cell r="C4706"/>
          <cell r="H4706"/>
        </row>
        <row r="4707">
          <cell r="C4707"/>
          <cell r="H4707"/>
        </row>
        <row r="4708">
          <cell r="C4708"/>
          <cell r="H4708"/>
        </row>
        <row r="4709">
          <cell r="C4709"/>
          <cell r="H4709"/>
        </row>
        <row r="4710">
          <cell r="C4710"/>
          <cell r="H4710"/>
        </row>
        <row r="4711">
          <cell r="C4711"/>
          <cell r="H4711"/>
        </row>
        <row r="4712">
          <cell r="C4712"/>
          <cell r="H4712"/>
        </row>
        <row r="4713">
          <cell r="C4713"/>
          <cell r="H4713"/>
        </row>
        <row r="4714">
          <cell r="C4714"/>
          <cell r="H4714"/>
        </row>
        <row r="4715">
          <cell r="C4715"/>
          <cell r="H4715"/>
        </row>
        <row r="4716">
          <cell r="C4716"/>
          <cell r="H4716"/>
        </row>
        <row r="4717">
          <cell r="C4717"/>
          <cell r="H4717"/>
        </row>
        <row r="4718">
          <cell r="C4718"/>
          <cell r="H4718"/>
        </row>
        <row r="4719">
          <cell r="C4719"/>
          <cell r="H4719"/>
        </row>
        <row r="4720">
          <cell r="C4720"/>
          <cell r="H4720"/>
        </row>
        <row r="4721">
          <cell r="C4721"/>
          <cell r="H4721"/>
        </row>
        <row r="4722">
          <cell r="C4722"/>
          <cell r="H4722"/>
        </row>
        <row r="4723">
          <cell r="C4723"/>
          <cell r="H4723"/>
        </row>
        <row r="4724">
          <cell r="C4724"/>
          <cell r="H4724"/>
        </row>
        <row r="4725">
          <cell r="C4725"/>
          <cell r="H4725"/>
        </row>
        <row r="4726">
          <cell r="C4726"/>
          <cell r="H4726"/>
        </row>
        <row r="4727">
          <cell r="C4727"/>
          <cell r="H4727"/>
        </row>
        <row r="4728">
          <cell r="C4728"/>
          <cell r="H4728"/>
        </row>
        <row r="4729">
          <cell r="C4729"/>
          <cell r="H4729"/>
        </row>
        <row r="4730">
          <cell r="C4730"/>
          <cell r="H4730"/>
        </row>
        <row r="4731">
          <cell r="C4731"/>
          <cell r="H4731"/>
        </row>
        <row r="4732">
          <cell r="C4732"/>
          <cell r="H4732"/>
        </row>
        <row r="4733">
          <cell r="C4733"/>
          <cell r="H4733"/>
        </row>
        <row r="4734">
          <cell r="C4734"/>
          <cell r="H4734"/>
        </row>
        <row r="4735">
          <cell r="C4735"/>
          <cell r="H4735"/>
        </row>
        <row r="4736">
          <cell r="C4736"/>
          <cell r="H4736"/>
        </row>
        <row r="4737">
          <cell r="C4737"/>
          <cell r="H4737"/>
        </row>
        <row r="4738">
          <cell r="C4738"/>
          <cell r="H4738"/>
        </row>
        <row r="4739">
          <cell r="C4739"/>
          <cell r="H4739"/>
        </row>
        <row r="4740">
          <cell r="C4740"/>
          <cell r="H4740"/>
        </row>
        <row r="4741">
          <cell r="C4741"/>
          <cell r="H4741"/>
        </row>
        <row r="4742">
          <cell r="C4742"/>
          <cell r="H4742"/>
        </row>
        <row r="4743">
          <cell r="C4743"/>
          <cell r="H4743"/>
        </row>
        <row r="4744">
          <cell r="C4744"/>
          <cell r="H4744"/>
        </row>
        <row r="4745">
          <cell r="C4745"/>
          <cell r="H4745"/>
        </row>
        <row r="4746">
          <cell r="C4746"/>
          <cell r="H4746"/>
        </row>
        <row r="4747">
          <cell r="C4747"/>
          <cell r="H4747"/>
        </row>
        <row r="4748">
          <cell r="C4748"/>
          <cell r="H4748"/>
        </row>
        <row r="4749">
          <cell r="C4749"/>
          <cell r="H4749"/>
        </row>
        <row r="4750">
          <cell r="C4750"/>
          <cell r="H4750"/>
        </row>
        <row r="4751">
          <cell r="C4751"/>
          <cell r="H4751"/>
        </row>
        <row r="4752">
          <cell r="C4752"/>
          <cell r="H4752"/>
        </row>
        <row r="4753">
          <cell r="C4753"/>
          <cell r="H4753"/>
        </row>
        <row r="4754">
          <cell r="C4754"/>
          <cell r="H4754"/>
        </row>
        <row r="4755">
          <cell r="C4755"/>
          <cell r="H4755"/>
        </row>
        <row r="4756">
          <cell r="C4756"/>
          <cell r="H4756"/>
        </row>
        <row r="4757">
          <cell r="C4757"/>
          <cell r="H4757"/>
        </row>
        <row r="4758">
          <cell r="C4758"/>
          <cell r="H4758"/>
        </row>
        <row r="4759">
          <cell r="C4759"/>
          <cell r="H4759"/>
        </row>
        <row r="4760">
          <cell r="C4760"/>
          <cell r="H4760"/>
        </row>
        <row r="4761">
          <cell r="C4761"/>
          <cell r="H4761"/>
        </row>
        <row r="4762">
          <cell r="C4762"/>
          <cell r="H4762"/>
        </row>
        <row r="4763">
          <cell r="C4763"/>
          <cell r="H4763"/>
        </row>
        <row r="4764">
          <cell r="C4764"/>
          <cell r="H4764"/>
        </row>
        <row r="4765">
          <cell r="C4765"/>
          <cell r="H4765"/>
        </row>
        <row r="4766">
          <cell r="C4766"/>
          <cell r="H4766"/>
        </row>
        <row r="4767">
          <cell r="C4767"/>
          <cell r="H4767"/>
        </row>
        <row r="4768">
          <cell r="C4768"/>
          <cell r="H4768"/>
        </row>
        <row r="4769">
          <cell r="C4769"/>
          <cell r="H4769"/>
        </row>
        <row r="4770">
          <cell r="C4770"/>
          <cell r="H4770"/>
        </row>
        <row r="4771">
          <cell r="C4771"/>
          <cell r="H4771"/>
        </row>
        <row r="4772">
          <cell r="C4772"/>
          <cell r="H4772"/>
        </row>
        <row r="4773">
          <cell r="C4773"/>
          <cell r="H4773"/>
        </row>
        <row r="4774">
          <cell r="C4774"/>
          <cell r="H4774"/>
        </row>
        <row r="4775">
          <cell r="C4775"/>
          <cell r="H4775"/>
        </row>
        <row r="4776">
          <cell r="C4776"/>
          <cell r="H4776"/>
        </row>
        <row r="4777">
          <cell r="C4777"/>
          <cell r="H4777"/>
        </row>
        <row r="4778">
          <cell r="C4778"/>
          <cell r="H4778"/>
        </row>
        <row r="4779">
          <cell r="C4779"/>
          <cell r="H4779"/>
        </row>
        <row r="4780">
          <cell r="C4780"/>
          <cell r="H4780"/>
        </row>
        <row r="4781">
          <cell r="C4781"/>
          <cell r="H4781"/>
        </row>
        <row r="4782">
          <cell r="C4782"/>
          <cell r="H4782"/>
        </row>
        <row r="4783">
          <cell r="C4783"/>
          <cell r="H4783"/>
        </row>
        <row r="4784">
          <cell r="C4784"/>
          <cell r="H4784"/>
        </row>
        <row r="4785">
          <cell r="C4785"/>
          <cell r="H4785"/>
        </row>
        <row r="4786">
          <cell r="C4786"/>
          <cell r="H4786"/>
        </row>
        <row r="4787">
          <cell r="C4787"/>
          <cell r="H4787"/>
        </row>
        <row r="4788">
          <cell r="C4788"/>
          <cell r="H4788"/>
        </row>
        <row r="4789">
          <cell r="C4789"/>
          <cell r="H4789"/>
        </row>
        <row r="4790">
          <cell r="C4790"/>
          <cell r="H4790"/>
        </row>
        <row r="4791">
          <cell r="C4791"/>
          <cell r="H4791"/>
        </row>
        <row r="4792">
          <cell r="C4792"/>
          <cell r="H4792"/>
        </row>
        <row r="4793">
          <cell r="C4793"/>
          <cell r="H4793"/>
        </row>
        <row r="4794">
          <cell r="C4794"/>
          <cell r="H4794"/>
        </row>
        <row r="4795">
          <cell r="C4795"/>
          <cell r="H4795"/>
        </row>
        <row r="4796">
          <cell r="C4796"/>
          <cell r="H4796"/>
        </row>
        <row r="4797">
          <cell r="C4797"/>
          <cell r="H4797"/>
        </row>
        <row r="4798">
          <cell r="C4798"/>
          <cell r="H4798"/>
        </row>
        <row r="4799">
          <cell r="C4799"/>
          <cell r="H4799"/>
        </row>
        <row r="4800">
          <cell r="C4800"/>
          <cell r="H4800"/>
        </row>
        <row r="4801">
          <cell r="C4801"/>
          <cell r="H4801"/>
        </row>
        <row r="4802">
          <cell r="C4802"/>
          <cell r="H4802"/>
        </row>
        <row r="4803">
          <cell r="C4803"/>
          <cell r="H4803"/>
        </row>
        <row r="4804">
          <cell r="C4804"/>
          <cell r="H4804"/>
        </row>
        <row r="4805">
          <cell r="C4805"/>
          <cell r="H4805"/>
        </row>
        <row r="4806">
          <cell r="C4806"/>
          <cell r="H4806"/>
        </row>
        <row r="4807">
          <cell r="C4807"/>
          <cell r="H4807"/>
        </row>
        <row r="4808">
          <cell r="C4808"/>
          <cell r="H4808"/>
        </row>
        <row r="4809">
          <cell r="C4809"/>
          <cell r="H4809"/>
        </row>
        <row r="4810">
          <cell r="C4810"/>
          <cell r="H4810"/>
        </row>
        <row r="4811">
          <cell r="C4811"/>
          <cell r="H4811"/>
        </row>
        <row r="4812">
          <cell r="C4812"/>
          <cell r="H4812"/>
        </row>
        <row r="4813">
          <cell r="C4813"/>
          <cell r="H4813"/>
        </row>
        <row r="4814">
          <cell r="C4814"/>
          <cell r="H4814"/>
        </row>
        <row r="4815">
          <cell r="C4815"/>
          <cell r="H4815"/>
        </row>
        <row r="4816">
          <cell r="C4816"/>
          <cell r="H4816"/>
        </row>
        <row r="4817">
          <cell r="C4817"/>
          <cell r="H4817"/>
        </row>
        <row r="4818">
          <cell r="C4818"/>
          <cell r="H4818"/>
        </row>
        <row r="4819">
          <cell r="C4819"/>
          <cell r="H4819"/>
        </row>
        <row r="4820">
          <cell r="C4820"/>
          <cell r="H4820"/>
        </row>
        <row r="4821">
          <cell r="C4821"/>
          <cell r="H4821"/>
        </row>
        <row r="4822">
          <cell r="C4822"/>
          <cell r="H4822"/>
        </row>
        <row r="4823">
          <cell r="C4823"/>
          <cell r="H4823"/>
        </row>
        <row r="4824">
          <cell r="C4824"/>
          <cell r="H4824"/>
        </row>
        <row r="4825">
          <cell r="C4825"/>
          <cell r="H4825"/>
        </row>
        <row r="4826">
          <cell r="C4826"/>
          <cell r="H4826"/>
        </row>
        <row r="4827">
          <cell r="C4827"/>
          <cell r="H4827"/>
        </row>
        <row r="4828">
          <cell r="C4828"/>
          <cell r="H4828"/>
        </row>
        <row r="4829">
          <cell r="C4829"/>
          <cell r="H4829"/>
        </row>
        <row r="4830">
          <cell r="C4830"/>
          <cell r="H4830"/>
        </row>
        <row r="4831">
          <cell r="C4831"/>
          <cell r="H4831"/>
        </row>
        <row r="4832">
          <cell r="C4832"/>
          <cell r="H4832"/>
        </row>
        <row r="4833">
          <cell r="C4833"/>
          <cell r="H4833"/>
        </row>
        <row r="4834">
          <cell r="C4834"/>
          <cell r="H4834"/>
        </row>
        <row r="4835">
          <cell r="C4835"/>
          <cell r="H4835"/>
        </row>
        <row r="4836">
          <cell r="C4836"/>
          <cell r="H4836"/>
        </row>
        <row r="4837">
          <cell r="C4837"/>
          <cell r="H4837"/>
        </row>
        <row r="4838">
          <cell r="C4838"/>
          <cell r="H4838"/>
        </row>
        <row r="4839">
          <cell r="C4839"/>
          <cell r="H4839"/>
        </row>
        <row r="4840">
          <cell r="C4840"/>
          <cell r="H4840"/>
        </row>
        <row r="4841">
          <cell r="C4841"/>
          <cell r="H4841"/>
        </row>
        <row r="4842">
          <cell r="C4842"/>
          <cell r="H4842"/>
        </row>
        <row r="4843">
          <cell r="C4843"/>
          <cell r="H4843"/>
        </row>
        <row r="4844">
          <cell r="C4844"/>
          <cell r="H4844"/>
        </row>
        <row r="4845">
          <cell r="C4845"/>
          <cell r="H4845"/>
        </row>
        <row r="4846">
          <cell r="C4846"/>
          <cell r="H4846"/>
        </row>
        <row r="4847">
          <cell r="C4847"/>
          <cell r="H4847"/>
        </row>
        <row r="4848">
          <cell r="C4848"/>
          <cell r="H4848"/>
        </row>
        <row r="4849">
          <cell r="C4849"/>
          <cell r="H4849"/>
        </row>
        <row r="4850">
          <cell r="C4850"/>
          <cell r="H4850"/>
        </row>
        <row r="4851">
          <cell r="C4851"/>
          <cell r="H4851"/>
        </row>
        <row r="4852">
          <cell r="C4852"/>
          <cell r="H4852"/>
        </row>
        <row r="4853">
          <cell r="C4853"/>
          <cell r="H4853"/>
        </row>
        <row r="4854">
          <cell r="C4854"/>
          <cell r="H4854"/>
        </row>
        <row r="4855">
          <cell r="C4855"/>
          <cell r="H4855"/>
        </row>
        <row r="4856">
          <cell r="C4856"/>
          <cell r="H4856"/>
        </row>
        <row r="4857">
          <cell r="C4857"/>
          <cell r="H4857"/>
        </row>
        <row r="4858">
          <cell r="C4858"/>
          <cell r="H4858"/>
        </row>
        <row r="4859">
          <cell r="C4859"/>
          <cell r="H4859"/>
        </row>
        <row r="4860">
          <cell r="C4860"/>
          <cell r="H4860"/>
        </row>
        <row r="4861">
          <cell r="C4861"/>
          <cell r="H4861"/>
        </row>
        <row r="4862">
          <cell r="C4862"/>
          <cell r="H4862"/>
        </row>
        <row r="4863">
          <cell r="C4863"/>
          <cell r="H4863"/>
        </row>
        <row r="4864">
          <cell r="C4864"/>
          <cell r="H4864"/>
        </row>
        <row r="4865">
          <cell r="C4865"/>
          <cell r="H4865"/>
        </row>
        <row r="4866">
          <cell r="C4866"/>
          <cell r="H4866"/>
        </row>
        <row r="4867">
          <cell r="C4867"/>
          <cell r="H4867"/>
        </row>
        <row r="4868">
          <cell r="C4868"/>
          <cell r="H4868"/>
        </row>
        <row r="4869">
          <cell r="C4869"/>
          <cell r="H4869"/>
        </row>
        <row r="4870">
          <cell r="C4870"/>
          <cell r="H4870"/>
        </row>
        <row r="4871">
          <cell r="C4871"/>
          <cell r="H4871"/>
        </row>
        <row r="4872">
          <cell r="C4872"/>
          <cell r="H4872"/>
        </row>
        <row r="4873">
          <cell r="C4873"/>
          <cell r="H4873"/>
        </row>
        <row r="4874">
          <cell r="C4874"/>
          <cell r="H4874"/>
        </row>
        <row r="4875">
          <cell r="C4875"/>
          <cell r="H4875"/>
        </row>
        <row r="4876">
          <cell r="C4876"/>
          <cell r="H4876"/>
        </row>
        <row r="4877">
          <cell r="C4877"/>
          <cell r="H4877"/>
        </row>
        <row r="4878">
          <cell r="C4878"/>
          <cell r="H4878"/>
        </row>
        <row r="4879">
          <cell r="C4879"/>
          <cell r="H4879"/>
        </row>
        <row r="4880">
          <cell r="C4880"/>
          <cell r="H4880"/>
        </row>
        <row r="4881">
          <cell r="C4881"/>
          <cell r="H4881"/>
        </row>
        <row r="4882">
          <cell r="C4882"/>
          <cell r="H4882"/>
        </row>
        <row r="4883">
          <cell r="C4883"/>
          <cell r="H4883"/>
        </row>
        <row r="4884">
          <cell r="C4884"/>
          <cell r="H4884"/>
        </row>
        <row r="4885">
          <cell r="C4885"/>
          <cell r="H4885"/>
        </row>
        <row r="4886">
          <cell r="C4886"/>
          <cell r="H4886"/>
        </row>
        <row r="4887">
          <cell r="C4887"/>
          <cell r="H4887"/>
        </row>
        <row r="4888">
          <cell r="C4888"/>
          <cell r="H4888"/>
        </row>
        <row r="4889">
          <cell r="C4889"/>
          <cell r="H4889"/>
        </row>
        <row r="4890">
          <cell r="C4890"/>
          <cell r="H4890"/>
        </row>
        <row r="4891">
          <cell r="C4891"/>
          <cell r="H4891"/>
        </row>
        <row r="4892">
          <cell r="C4892"/>
          <cell r="H4892"/>
        </row>
        <row r="4893">
          <cell r="C4893"/>
          <cell r="H4893"/>
        </row>
        <row r="4894">
          <cell r="C4894"/>
          <cell r="H4894"/>
        </row>
        <row r="4895">
          <cell r="C4895"/>
          <cell r="H4895"/>
        </row>
        <row r="4896">
          <cell r="C4896"/>
          <cell r="H4896"/>
        </row>
        <row r="4897">
          <cell r="C4897"/>
          <cell r="H4897"/>
        </row>
        <row r="4898">
          <cell r="C4898"/>
          <cell r="H4898"/>
        </row>
        <row r="4899">
          <cell r="C4899"/>
          <cell r="H4899"/>
        </row>
        <row r="4900">
          <cell r="C4900"/>
          <cell r="H4900"/>
        </row>
        <row r="4901">
          <cell r="C4901"/>
          <cell r="H4901"/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"/>
      <sheetName val="11.06.2025 CORREOS"/>
      <sheetName val="OTROS CORREOS"/>
      <sheetName val="FILTROS"/>
      <sheetName val="FILTROS 2"/>
      <sheetName val="Hoja1"/>
    </sheetNames>
    <sheetDataSet>
      <sheetData sheetId="0"/>
      <sheetData sheetId="1"/>
      <sheetData sheetId="2"/>
      <sheetData sheetId="3"/>
      <sheetData sheetId="4">
        <row r="1">
          <cell r="A1" t="str">
            <v>Codigo de Producto</v>
          </cell>
          <cell r="E1" t="str">
            <v>Marca</v>
          </cell>
        </row>
        <row r="2">
          <cell r="A2">
            <v>17</v>
          </cell>
          <cell r="E2" t="str">
            <v>DESCUENTOS</v>
          </cell>
        </row>
        <row r="3">
          <cell r="A3">
            <v>19</v>
          </cell>
          <cell r="E3" t="str">
            <v>DESCUENTOS</v>
          </cell>
        </row>
        <row r="4">
          <cell r="A4">
            <v>20</v>
          </cell>
          <cell r="E4" t="str">
            <v>DESCUENTOS</v>
          </cell>
        </row>
        <row r="5">
          <cell r="A5">
            <v>21</v>
          </cell>
          <cell r="E5" t="str">
            <v>DESCUENTOS</v>
          </cell>
        </row>
        <row r="6">
          <cell r="A6">
            <v>27</v>
          </cell>
          <cell r="E6" t="str">
            <v>DESCUENTOS</v>
          </cell>
        </row>
        <row r="7">
          <cell r="A7">
            <v>32</v>
          </cell>
          <cell r="E7" t="str">
            <v>DESCUENTOS</v>
          </cell>
        </row>
        <row r="8">
          <cell r="A8">
            <v>281</v>
          </cell>
          <cell r="E8" t="str">
            <v>PROMOCIONALES</v>
          </cell>
        </row>
        <row r="9">
          <cell r="A9">
            <v>297</v>
          </cell>
          <cell r="E9" t="str">
            <v>PROMOCIONALES</v>
          </cell>
        </row>
        <row r="10">
          <cell r="A10">
            <v>301</v>
          </cell>
          <cell r="E10" t="str">
            <v>PROMOCIONALES</v>
          </cell>
        </row>
        <row r="11">
          <cell r="A11">
            <v>302</v>
          </cell>
          <cell r="E11" t="str">
            <v>PROMOCIONALES</v>
          </cell>
        </row>
        <row r="12">
          <cell r="A12">
            <v>303</v>
          </cell>
          <cell r="E12" t="str">
            <v>HERRAMIENTAS Y PROMOCIONALES</v>
          </cell>
        </row>
        <row r="13">
          <cell r="A13">
            <v>314</v>
          </cell>
          <cell r="E13" t="str">
            <v>HERRAMIENTAS Y PROMOCIONALES</v>
          </cell>
        </row>
        <row r="14">
          <cell r="A14">
            <v>316</v>
          </cell>
          <cell r="E14" t="str">
            <v>HERRAMIENTAS EN GENERAL</v>
          </cell>
        </row>
        <row r="15">
          <cell r="A15">
            <v>317</v>
          </cell>
          <cell r="E15" t="str">
            <v>PROMOCIONALES</v>
          </cell>
        </row>
        <row r="16">
          <cell r="A16">
            <v>319</v>
          </cell>
          <cell r="E16" t="str">
            <v>PROMOCIONALES</v>
          </cell>
        </row>
        <row r="17">
          <cell r="A17">
            <v>333</v>
          </cell>
          <cell r="E17" t="str">
            <v>HERRAMIENTAS Y PROMOCIONALES</v>
          </cell>
        </row>
        <row r="18">
          <cell r="A18">
            <v>343</v>
          </cell>
          <cell r="E18" t="str">
            <v>ESTETICA AUTOMOTRIZ</v>
          </cell>
        </row>
        <row r="19">
          <cell r="A19">
            <v>349</v>
          </cell>
          <cell r="E19" t="str">
            <v>HERRAMIENTAS Y PROMOCIONALES</v>
          </cell>
        </row>
        <row r="20">
          <cell r="A20">
            <v>350</v>
          </cell>
          <cell r="E20" t="str">
            <v>PROMOCIONALES</v>
          </cell>
        </row>
        <row r="21">
          <cell r="A21">
            <v>351</v>
          </cell>
          <cell r="E21" t="str">
            <v>MERCADOTECNIA</v>
          </cell>
        </row>
        <row r="22">
          <cell r="A22">
            <v>357</v>
          </cell>
          <cell r="E22" t="str">
            <v>PROMOCIONALES</v>
          </cell>
        </row>
        <row r="23">
          <cell r="A23">
            <v>358</v>
          </cell>
          <cell r="E23" t="str">
            <v>PROMOCIONALES</v>
          </cell>
        </row>
        <row r="24">
          <cell r="A24">
            <v>359</v>
          </cell>
          <cell r="E24" t="str">
            <v>PROMOCIONALES</v>
          </cell>
        </row>
        <row r="25">
          <cell r="A25">
            <v>360</v>
          </cell>
          <cell r="E25" t="str">
            <v>PROMOCIONALES</v>
          </cell>
        </row>
        <row r="26">
          <cell r="A26">
            <v>362</v>
          </cell>
          <cell r="E26" t="str">
            <v>PROMOCIONALES</v>
          </cell>
        </row>
        <row r="27">
          <cell r="A27">
            <v>365</v>
          </cell>
          <cell r="E27" t="str">
            <v>PROMOCIONALES</v>
          </cell>
        </row>
        <row r="28">
          <cell r="A28">
            <v>366</v>
          </cell>
          <cell r="E28" t="str">
            <v>PROMOCIONALES</v>
          </cell>
        </row>
        <row r="29">
          <cell r="A29">
            <v>367</v>
          </cell>
          <cell r="E29" t="str">
            <v>PROMOCIONALES</v>
          </cell>
        </row>
        <row r="30">
          <cell r="A30">
            <v>368</v>
          </cell>
          <cell r="E30" t="str">
            <v>PROMOCIONALES</v>
          </cell>
        </row>
        <row r="31">
          <cell r="A31">
            <v>371</v>
          </cell>
          <cell r="E31" t="str">
            <v>PROMOCIONALES</v>
          </cell>
        </row>
        <row r="32">
          <cell r="A32">
            <v>372</v>
          </cell>
          <cell r="E32" t="str">
            <v>PROMOCIONALES</v>
          </cell>
        </row>
        <row r="33">
          <cell r="A33">
            <v>390</v>
          </cell>
          <cell r="E33" t="str">
            <v>HERRAMIENTAS Y PROMOCIONALES</v>
          </cell>
        </row>
        <row r="34">
          <cell r="A34">
            <v>392</v>
          </cell>
          <cell r="E34" t="str">
            <v>PROMOCIONALES</v>
          </cell>
        </row>
        <row r="35">
          <cell r="A35">
            <v>406</v>
          </cell>
          <cell r="E35" t="str">
            <v>PROMOCIONALES</v>
          </cell>
        </row>
        <row r="36">
          <cell r="A36">
            <v>407</v>
          </cell>
          <cell r="E36" t="str">
            <v>PROMOCIONALES</v>
          </cell>
        </row>
        <row r="37">
          <cell r="A37">
            <v>416</v>
          </cell>
          <cell r="E37" t="str">
            <v>PROMOCIONALES</v>
          </cell>
        </row>
        <row r="38">
          <cell r="A38">
            <v>419</v>
          </cell>
          <cell r="E38" t="str">
            <v>PROMOCIONALES</v>
          </cell>
        </row>
        <row r="39">
          <cell r="A39">
            <v>422</v>
          </cell>
          <cell r="E39" t="str">
            <v>PROMOCIONALES</v>
          </cell>
        </row>
        <row r="40">
          <cell r="A40">
            <v>429</v>
          </cell>
          <cell r="E40" t="str">
            <v>PROMOCIONALES</v>
          </cell>
        </row>
        <row r="41">
          <cell r="A41">
            <v>434</v>
          </cell>
          <cell r="E41" t="str">
            <v>PROMOCIONALES</v>
          </cell>
        </row>
        <row r="42">
          <cell r="A42">
            <v>437</v>
          </cell>
          <cell r="E42" t="str">
            <v>PROMOCIONALES</v>
          </cell>
        </row>
        <row r="43">
          <cell r="A43">
            <v>440</v>
          </cell>
          <cell r="E43" t="str">
            <v>PROMOCIONALES</v>
          </cell>
        </row>
        <row r="44">
          <cell r="A44">
            <v>440</v>
          </cell>
          <cell r="E44" t="str">
            <v>PROMOCIONALES</v>
          </cell>
        </row>
        <row r="45">
          <cell r="A45">
            <v>452</v>
          </cell>
          <cell r="E45" t="str">
            <v>PROMOCIONALES</v>
          </cell>
        </row>
        <row r="46">
          <cell r="A46">
            <v>453</v>
          </cell>
          <cell r="E46" t="str">
            <v>PROMOCIONALES</v>
          </cell>
        </row>
        <row r="47">
          <cell r="A47">
            <v>457</v>
          </cell>
          <cell r="E47" t="str">
            <v>HERRAMIENTAS Y PROMOCIONALES</v>
          </cell>
        </row>
        <row r="48">
          <cell r="A48">
            <v>458</v>
          </cell>
          <cell r="E48" t="str">
            <v>PROMOCIONALES</v>
          </cell>
        </row>
        <row r="49">
          <cell r="A49">
            <v>459</v>
          </cell>
          <cell r="E49" t="str">
            <v>HERRAMIENTAS Y PROMOCIONALES</v>
          </cell>
        </row>
        <row r="50">
          <cell r="A50">
            <v>464</v>
          </cell>
          <cell r="E50" t="str">
            <v>PROMOCIONALES</v>
          </cell>
        </row>
        <row r="51">
          <cell r="A51">
            <v>468</v>
          </cell>
          <cell r="E51" t="str">
            <v>MERCADOTECNIA</v>
          </cell>
        </row>
        <row r="52">
          <cell r="A52">
            <v>470</v>
          </cell>
          <cell r="E52" t="str">
            <v>MERCADOTECNIA</v>
          </cell>
        </row>
        <row r="53">
          <cell r="A53">
            <v>472</v>
          </cell>
          <cell r="E53" t="str">
            <v>PROMOCIONALES</v>
          </cell>
        </row>
        <row r="54">
          <cell r="A54">
            <v>481</v>
          </cell>
          <cell r="E54" t="str">
            <v>PROMOCIONALES</v>
          </cell>
        </row>
        <row r="55">
          <cell r="A55">
            <v>497</v>
          </cell>
          <cell r="E55" t="str">
            <v>HERRAMIENTAS Y PROMOCIONALES</v>
          </cell>
        </row>
        <row r="56">
          <cell r="A56">
            <v>513</v>
          </cell>
          <cell r="E56" t="str">
            <v>MERCADOTECNIA</v>
          </cell>
        </row>
        <row r="57">
          <cell r="A57">
            <v>524</v>
          </cell>
          <cell r="E57" t="str">
            <v>MERCADOTECNIA</v>
          </cell>
        </row>
        <row r="58">
          <cell r="A58">
            <v>526</v>
          </cell>
          <cell r="E58" t="str">
            <v>PROMOCIONALES</v>
          </cell>
        </row>
        <row r="59">
          <cell r="A59">
            <v>535</v>
          </cell>
          <cell r="E59" t="str">
            <v>PROMOCIONALES</v>
          </cell>
        </row>
        <row r="60">
          <cell r="A60">
            <v>538</v>
          </cell>
          <cell r="E60" t="str">
            <v>PROMOCIONALES</v>
          </cell>
        </row>
        <row r="61">
          <cell r="A61">
            <v>539</v>
          </cell>
          <cell r="E61" t="str">
            <v>PROMOCIONALES</v>
          </cell>
        </row>
        <row r="62">
          <cell r="A62">
            <v>540</v>
          </cell>
          <cell r="E62" t="str">
            <v>PROMOCIONALES</v>
          </cell>
        </row>
        <row r="63">
          <cell r="A63">
            <v>541</v>
          </cell>
          <cell r="E63" t="str">
            <v>PROMOCIONALES</v>
          </cell>
        </row>
        <row r="64">
          <cell r="A64">
            <v>551</v>
          </cell>
          <cell r="E64" t="str">
            <v>PROMOCIONALES</v>
          </cell>
        </row>
        <row r="65">
          <cell r="A65">
            <v>552</v>
          </cell>
          <cell r="E65" t="str">
            <v>PROMOCIONALES</v>
          </cell>
        </row>
        <row r="66">
          <cell r="A66">
            <v>555</v>
          </cell>
          <cell r="E66" t="str">
            <v>PROMOCIONALES</v>
          </cell>
        </row>
        <row r="67">
          <cell r="A67">
            <v>556</v>
          </cell>
          <cell r="E67" t="str">
            <v>PROMOCIONALES</v>
          </cell>
        </row>
        <row r="68">
          <cell r="A68">
            <v>557</v>
          </cell>
          <cell r="E68" t="str">
            <v>PROMOCIONALES</v>
          </cell>
        </row>
        <row r="69">
          <cell r="A69">
            <v>557</v>
          </cell>
          <cell r="E69" t="str">
            <v>PROMOCIONALES</v>
          </cell>
        </row>
        <row r="70">
          <cell r="A70">
            <v>558</v>
          </cell>
          <cell r="E70" t="str">
            <v>PROMOCIONALES</v>
          </cell>
        </row>
        <row r="71">
          <cell r="A71">
            <v>558</v>
          </cell>
          <cell r="E71" t="str">
            <v>PROMOCIONALES</v>
          </cell>
        </row>
        <row r="72">
          <cell r="A72">
            <v>600</v>
          </cell>
          <cell r="E72" t="str">
            <v>OTROS ACCESORIOS Y COMPLEMENTO</v>
          </cell>
        </row>
        <row r="73">
          <cell r="A73">
            <v>601</v>
          </cell>
          <cell r="E73" t="str">
            <v>OTROS ACCESORIOS Y COMPLEMENTO</v>
          </cell>
        </row>
        <row r="74">
          <cell r="A74">
            <v>602</v>
          </cell>
          <cell r="E74" t="str">
            <v>OTROS ACCESORIOS Y COMPLEMENTO</v>
          </cell>
        </row>
        <row r="75">
          <cell r="A75">
            <v>610</v>
          </cell>
          <cell r="E75" t="str">
            <v>OTROS ACCESORIOS Y COMPLEMENTO</v>
          </cell>
        </row>
        <row r="76">
          <cell r="A76">
            <v>620</v>
          </cell>
          <cell r="E76" t="str">
            <v>OTROS ACCESORIOS Y COMPLEMENTO</v>
          </cell>
        </row>
        <row r="77">
          <cell r="A77">
            <v>621</v>
          </cell>
          <cell r="E77" t="str">
            <v>OTROS ACCESORIOS Y COMPLEMENTO</v>
          </cell>
        </row>
        <row r="78">
          <cell r="A78">
            <v>622</v>
          </cell>
          <cell r="E78" t="str">
            <v>OTROS ACCESORIOS Y COMPLEMENTO</v>
          </cell>
        </row>
        <row r="79">
          <cell r="A79">
            <v>623</v>
          </cell>
          <cell r="E79" t="str">
            <v>OTROS ACCESORIOS Y COMPLEMENTO</v>
          </cell>
        </row>
        <row r="80">
          <cell r="A80">
            <v>624</v>
          </cell>
          <cell r="E80" t="str">
            <v>OTROS ACCESORIOS Y COMPLEMENTO</v>
          </cell>
        </row>
        <row r="81">
          <cell r="A81">
            <v>630</v>
          </cell>
          <cell r="E81" t="str">
            <v>OTROS ACCESORIOS Y COMPLEMENTO</v>
          </cell>
        </row>
        <row r="82">
          <cell r="A82">
            <v>640</v>
          </cell>
          <cell r="E82" t="str">
            <v>OTROS ACCESORIOS Y COMPLEMENTO</v>
          </cell>
        </row>
        <row r="83">
          <cell r="A83">
            <v>641</v>
          </cell>
          <cell r="E83" t="str">
            <v>OTROS ACCESORIOS Y COMPLEMENTO</v>
          </cell>
        </row>
        <row r="84">
          <cell r="A84">
            <v>642</v>
          </cell>
          <cell r="E84" t="str">
            <v>OTROS ACCESORIOS Y COMPLEMENTO</v>
          </cell>
        </row>
        <row r="85">
          <cell r="A85">
            <v>643</v>
          </cell>
          <cell r="E85" t="str">
            <v>OTROS ACCESORIOS Y COMPLEMENTO</v>
          </cell>
        </row>
        <row r="86">
          <cell r="A86">
            <v>644</v>
          </cell>
          <cell r="E86" t="str">
            <v>OTROS ACCESORIOS Y COMPLEMENTO</v>
          </cell>
        </row>
        <row r="87">
          <cell r="A87">
            <v>660</v>
          </cell>
          <cell r="E87" t="str">
            <v>OTROS ACCESORIOS Y COMPLEMENTO</v>
          </cell>
        </row>
        <row r="88">
          <cell r="A88">
            <v>701</v>
          </cell>
          <cell r="E88" t="str">
            <v>OTROS ACCESORIOS Y COMPLEMENTO</v>
          </cell>
        </row>
        <row r="89">
          <cell r="A89">
            <v>702</v>
          </cell>
          <cell r="E89" t="str">
            <v>OTROS ACCESORIOS Y COMPLEMENTO</v>
          </cell>
        </row>
        <row r="90">
          <cell r="A90">
            <v>703</v>
          </cell>
          <cell r="E90" t="str">
            <v>OTROS ACCESORIOS Y COMPLEMENTO</v>
          </cell>
        </row>
        <row r="91">
          <cell r="A91">
            <v>704</v>
          </cell>
          <cell r="E91" t="str">
            <v>OTROS ACCESORIOS Y COMPLEMENTO</v>
          </cell>
        </row>
        <row r="92">
          <cell r="A92">
            <v>705</v>
          </cell>
          <cell r="E92" t="str">
            <v>OTROS ACCESORIOS Y COMPLEMENTO</v>
          </cell>
        </row>
        <row r="93">
          <cell r="A93">
            <v>706</v>
          </cell>
          <cell r="E93" t="str">
            <v>OTROS ACCESORIOS Y COMPLEMENTO</v>
          </cell>
        </row>
        <row r="94">
          <cell r="A94">
            <v>707</v>
          </cell>
          <cell r="E94" t="str">
            <v>OTROS ACCESORIOS Y COMPLEMENTO</v>
          </cell>
        </row>
        <row r="95">
          <cell r="A95">
            <v>708</v>
          </cell>
          <cell r="E95" t="str">
            <v>OTROS ACCESORIOS Y COMPLEMENTO</v>
          </cell>
        </row>
        <row r="96">
          <cell r="A96">
            <v>709</v>
          </cell>
          <cell r="E96" t="str">
            <v>OTROS ACCESORIOS Y COMPLEMENTO</v>
          </cell>
        </row>
        <row r="97">
          <cell r="A97">
            <v>710</v>
          </cell>
          <cell r="E97" t="str">
            <v>OTROS ACCESORIOS Y COMPLEMENTO</v>
          </cell>
        </row>
        <row r="98">
          <cell r="A98">
            <v>711</v>
          </cell>
          <cell r="E98" t="str">
            <v>OTROS ACCESORIOS Y COMPLEMENTO</v>
          </cell>
        </row>
        <row r="99">
          <cell r="A99">
            <v>712</v>
          </cell>
          <cell r="E99" t="str">
            <v>OTROS ACCESORIOS Y COMPLEMENTO</v>
          </cell>
        </row>
        <row r="100">
          <cell r="A100">
            <v>713</v>
          </cell>
          <cell r="E100" t="str">
            <v>OTROS ACCESORIOS Y COMPLEMENTO</v>
          </cell>
        </row>
        <row r="101">
          <cell r="A101">
            <v>714</v>
          </cell>
          <cell r="E101" t="str">
            <v>OTROS ACCESORIOS Y COMPLEMENTO</v>
          </cell>
        </row>
        <row r="102">
          <cell r="A102">
            <v>715</v>
          </cell>
          <cell r="E102" t="str">
            <v>OTROS ACCESORIOS Y COMPLEMENTO</v>
          </cell>
        </row>
        <row r="103">
          <cell r="A103">
            <v>720</v>
          </cell>
          <cell r="E103" t="str">
            <v>OTROS ACCESORIOS Y COMPLEMENTO</v>
          </cell>
        </row>
        <row r="104">
          <cell r="A104">
            <v>721</v>
          </cell>
          <cell r="E104" t="str">
            <v>OTROS ACCESORIOS Y COMPLEMENTO</v>
          </cell>
        </row>
        <row r="105">
          <cell r="A105">
            <v>722</v>
          </cell>
          <cell r="E105" t="str">
            <v>OTROS ACCESORIOS Y COMPLEMENTO</v>
          </cell>
        </row>
        <row r="106">
          <cell r="A106">
            <v>723</v>
          </cell>
          <cell r="E106" t="str">
            <v>OTROS ACCESORIOS Y COMPLEMENTO</v>
          </cell>
        </row>
        <row r="107">
          <cell r="A107">
            <v>724</v>
          </cell>
          <cell r="E107" t="str">
            <v>OTROS ACCESORIOS Y COMPLEMENTO</v>
          </cell>
        </row>
        <row r="108">
          <cell r="A108">
            <v>725</v>
          </cell>
          <cell r="E108" t="str">
            <v>OTROS ACCESORIOS Y COMPLEMENTO</v>
          </cell>
        </row>
        <row r="109">
          <cell r="A109">
            <v>726</v>
          </cell>
          <cell r="E109" t="str">
            <v>OTROS ACCESORIOS Y COMPLEMENTO</v>
          </cell>
        </row>
        <row r="110">
          <cell r="A110">
            <v>727</v>
          </cell>
          <cell r="E110" t="str">
            <v>OTROS ACCESORIOS Y COMPLEMENTO</v>
          </cell>
        </row>
        <row r="111">
          <cell r="A111">
            <v>728</v>
          </cell>
          <cell r="E111" t="str">
            <v>OTROS ACCESORIOS Y COMPLEMENTO</v>
          </cell>
        </row>
        <row r="112">
          <cell r="A112">
            <v>729</v>
          </cell>
          <cell r="E112" t="str">
            <v>OTROS ACCESORIOS Y COMPLEMENTO</v>
          </cell>
        </row>
        <row r="113">
          <cell r="A113">
            <v>730</v>
          </cell>
          <cell r="E113" t="str">
            <v>OTROS ACCESORIOS Y COMPLEMENTO</v>
          </cell>
        </row>
        <row r="114">
          <cell r="A114">
            <v>731</v>
          </cell>
          <cell r="E114" t="str">
            <v>OTROS ACCESORIOS Y COMPLEMENTO</v>
          </cell>
        </row>
        <row r="115">
          <cell r="A115">
            <v>732</v>
          </cell>
          <cell r="E115" t="str">
            <v>OTROS ACCESORIOS Y COMPLEMENTO</v>
          </cell>
        </row>
        <row r="116">
          <cell r="A116">
            <v>733</v>
          </cell>
          <cell r="E116" t="str">
            <v>OTROS ACCESORIOS Y COMPLEMENTO</v>
          </cell>
        </row>
        <row r="117">
          <cell r="A117">
            <v>734</v>
          </cell>
          <cell r="E117" t="str">
            <v>OTROS ACCESORIOS Y COMPLEMENTO</v>
          </cell>
        </row>
        <row r="118">
          <cell r="A118">
            <v>735</v>
          </cell>
          <cell r="E118" t="str">
            <v>OTROS ACCESORIOS Y COMPLEMENTO</v>
          </cell>
        </row>
        <row r="119">
          <cell r="A119">
            <v>736</v>
          </cell>
          <cell r="E119" t="str">
            <v>OTROS ACCESORIOS Y COMPLEMENTO</v>
          </cell>
        </row>
        <row r="120">
          <cell r="A120">
            <v>737</v>
          </cell>
          <cell r="E120" t="str">
            <v>OTROS ACCESORIOS Y COMPLEMENTO</v>
          </cell>
        </row>
        <row r="121">
          <cell r="A121">
            <v>738</v>
          </cell>
          <cell r="E121" t="str">
            <v>OTROS ACCESORIOS Y COMPLEMENTO</v>
          </cell>
        </row>
        <row r="122">
          <cell r="A122">
            <v>739</v>
          </cell>
          <cell r="E122" t="str">
            <v>OTROS ACCESORIOS Y COMPLEMENTO</v>
          </cell>
        </row>
        <row r="123">
          <cell r="A123">
            <v>800</v>
          </cell>
          <cell r="E123" t="str">
            <v>OTROS ACCESORIOS Y COMPLEMENTO</v>
          </cell>
        </row>
        <row r="124">
          <cell r="A124">
            <v>801</v>
          </cell>
          <cell r="E124" t="str">
            <v>OTROS ACCESORIOS Y COMPLEMENTO</v>
          </cell>
        </row>
        <row r="125">
          <cell r="A125">
            <v>802</v>
          </cell>
          <cell r="E125" t="str">
            <v>OTROS ACCESORIOS Y COMPLEMENTO</v>
          </cell>
        </row>
        <row r="126">
          <cell r="A126">
            <v>803</v>
          </cell>
          <cell r="E126" t="str">
            <v>OTROS ACCESORIOS Y COMPLEMENTO</v>
          </cell>
        </row>
        <row r="127">
          <cell r="A127">
            <v>804</v>
          </cell>
          <cell r="E127" t="str">
            <v>OTROS ACCESORIOS Y COMPLEMENTO</v>
          </cell>
        </row>
        <row r="128">
          <cell r="A128">
            <v>805</v>
          </cell>
          <cell r="E128" t="str">
            <v>OTROS ACCESORIOS Y COMPLEMENTO</v>
          </cell>
        </row>
        <row r="129">
          <cell r="A129">
            <v>806</v>
          </cell>
          <cell r="E129" t="str">
            <v>OTROS ACCESORIOS Y COMPLEMENTO</v>
          </cell>
        </row>
        <row r="130">
          <cell r="A130">
            <v>807</v>
          </cell>
          <cell r="E130" t="str">
            <v>OTROS ACCESORIOS Y COMPLEMENTO</v>
          </cell>
        </row>
        <row r="131">
          <cell r="A131">
            <v>808</v>
          </cell>
          <cell r="E131" t="str">
            <v>OTROS ACCESORIOS Y COMPLEMENTO</v>
          </cell>
        </row>
        <row r="132">
          <cell r="A132">
            <v>809</v>
          </cell>
          <cell r="E132" t="str">
            <v>OTROS ACCESORIOS Y COMPLEMENTO</v>
          </cell>
        </row>
        <row r="133">
          <cell r="A133">
            <v>810</v>
          </cell>
          <cell r="E133" t="str">
            <v>OTROS ACCESORIOS Y COMPLEMENTO</v>
          </cell>
        </row>
        <row r="134">
          <cell r="A134">
            <v>813</v>
          </cell>
          <cell r="E134" t="str">
            <v>OTROS ACCESORIOS Y COMPLEMENTO</v>
          </cell>
        </row>
        <row r="135">
          <cell r="A135">
            <v>815</v>
          </cell>
          <cell r="E135" t="str">
            <v>OTROS ACCESORIOS Y COMPLEMENTO</v>
          </cell>
        </row>
        <row r="136">
          <cell r="A136">
            <v>817</v>
          </cell>
          <cell r="E136" t="str">
            <v>OTROS ACCESORIOS Y COMPLEMENTO</v>
          </cell>
        </row>
        <row r="137">
          <cell r="A137">
            <v>820</v>
          </cell>
          <cell r="E137" t="str">
            <v>OTROS ACCESORIOS Y COMPLEMENTO</v>
          </cell>
        </row>
        <row r="138">
          <cell r="A138">
            <v>2300</v>
          </cell>
          <cell r="E138" t="str">
            <v>AEROSOLES PRISA</v>
          </cell>
        </row>
        <row r="139">
          <cell r="A139">
            <v>2301</v>
          </cell>
          <cell r="E139" t="str">
            <v>AEROSOLES PRISA</v>
          </cell>
        </row>
        <row r="140">
          <cell r="A140">
            <v>2314</v>
          </cell>
          <cell r="E140" t="str">
            <v>AEROSOLES PRISA</v>
          </cell>
        </row>
        <row r="141">
          <cell r="A141">
            <v>2315</v>
          </cell>
          <cell r="E141" t="str">
            <v>AEROSOLES PRISA</v>
          </cell>
        </row>
        <row r="142">
          <cell r="A142">
            <v>2316</v>
          </cell>
          <cell r="E142" t="str">
            <v>AEROSOLES PRISA</v>
          </cell>
        </row>
        <row r="143">
          <cell r="A143">
            <v>2317</v>
          </cell>
          <cell r="E143" t="str">
            <v>AEROSOLES PRISA</v>
          </cell>
        </row>
        <row r="144">
          <cell r="A144">
            <v>2322</v>
          </cell>
          <cell r="E144" t="str">
            <v>AEROSOLES PRISA</v>
          </cell>
        </row>
        <row r="145">
          <cell r="A145">
            <v>2324</v>
          </cell>
          <cell r="E145" t="str">
            <v>AEROSOLES PRISA</v>
          </cell>
        </row>
        <row r="146">
          <cell r="A146">
            <v>2335</v>
          </cell>
          <cell r="E146" t="str">
            <v>AEROSOLES PRISA</v>
          </cell>
        </row>
        <row r="147">
          <cell r="A147">
            <v>2343</v>
          </cell>
          <cell r="E147" t="str">
            <v>AEROSOLES PRISA</v>
          </cell>
        </row>
        <row r="148">
          <cell r="A148">
            <v>2344</v>
          </cell>
          <cell r="E148" t="str">
            <v>AEROSOLES PRISA</v>
          </cell>
        </row>
        <row r="149">
          <cell r="A149">
            <v>2345</v>
          </cell>
          <cell r="E149" t="str">
            <v>AEROSOLES PRISA</v>
          </cell>
        </row>
        <row r="150">
          <cell r="A150">
            <v>2356</v>
          </cell>
          <cell r="E150" t="str">
            <v>AEROSOLES PRISA</v>
          </cell>
        </row>
        <row r="151">
          <cell r="A151">
            <v>2358</v>
          </cell>
          <cell r="E151" t="str">
            <v>AEROSOLES PRISA</v>
          </cell>
        </row>
        <row r="152">
          <cell r="A152">
            <v>2364</v>
          </cell>
          <cell r="E152" t="str">
            <v>AEROSOLES PRISA</v>
          </cell>
        </row>
        <row r="153">
          <cell r="A153">
            <v>2365</v>
          </cell>
          <cell r="E153" t="str">
            <v>AEROSOLES PRISA</v>
          </cell>
        </row>
        <row r="154">
          <cell r="A154">
            <v>2366</v>
          </cell>
          <cell r="E154" t="str">
            <v>AEROSOLES PRISA</v>
          </cell>
        </row>
        <row r="155">
          <cell r="A155">
            <v>2367</v>
          </cell>
          <cell r="E155" t="str">
            <v>AEROSOLES PRISA</v>
          </cell>
        </row>
        <row r="156">
          <cell r="A156">
            <v>2373</v>
          </cell>
          <cell r="E156" t="str">
            <v>AEROSOLES PRISA</v>
          </cell>
        </row>
        <row r="157">
          <cell r="A157">
            <v>2375</v>
          </cell>
          <cell r="E157" t="str">
            <v>AEROSOLES PRISA</v>
          </cell>
        </row>
        <row r="158">
          <cell r="A158">
            <v>2376</v>
          </cell>
          <cell r="E158" t="str">
            <v>AEROSOLES PRISA</v>
          </cell>
        </row>
        <row r="159">
          <cell r="A159">
            <v>2380</v>
          </cell>
          <cell r="E159" t="str">
            <v>AEROSOLES PRISA</v>
          </cell>
        </row>
        <row r="160">
          <cell r="A160">
            <v>2381</v>
          </cell>
          <cell r="E160" t="str">
            <v>AEROSOLES PRISA</v>
          </cell>
        </row>
        <row r="161">
          <cell r="A161">
            <v>2390</v>
          </cell>
          <cell r="E161" t="str">
            <v>AEROSOLES PRISA</v>
          </cell>
        </row>
        <row r="162">
          <cell r="A162">
            <v>2393</v>
          </cell>
          <cell r="E162" t="str">
            <v>AEROSOLES PRISA</v>
          </cell>
        </row>
        <row r="163">
          <cell r="A163">
            <v>2396</v>
          </cell>
          <cell r="E163" t="str">
            <v>AEROSOLES PRISA</v>
          </cell>
        </row>
        <row r="164">
          <cell r="A164">
            <v>2397</v>
          </cell>
          <cell r="E164" t="str">
            <v>AEROSOLES PRISA</v>
          </cell>
        </row>
        <row r="165">
          <cell r="A165">
            <v>2398</v>
          </cell>
          <cell r="E165" t="str">
            <v>AEROSOLES PRISA</v>
          </cell>
        </row>
        <row r="166">
          <cell r="A166">
            <v>2399</v>
          </cell>
          <cell r="E166" t="str">
            <v>AEROSOLES PRISA</v>
          </cell>
        </row>
        <row r="167">
          <cell r="A167">
            <v>2411</v>
          </cell>
          <cell r="E167" t="str">
            <v>AEROSOLES PRISA</v>
          </cell>
        </row>
        <row r="168">
          <cell r="A168">
            <v>2413</v>
          </cell>
          <cell r="E168" t="str">
            <v>AEROSOLES PRISA</v>
          </cell>
        </row>
        <row r="169">
          <cell r="A169">
            <v>2414</v>
          </cell>
          <cell r="E169" t="str">
            <v>ESM SECADO RAPIDO BASE SOLVENT</v>
          </cell>
        </row>
        <row r="170">
          <cell r="A170">
            <v>2417</v>
          </cell>
          <cell r="E170" t="str">
            <v>AEROSOLES PRISA</v>
          </cell>
        </row>
        <row r="171">
          <cell r="A171">
            <v>2451</v>
          </cell>
          <cell r="E171" t="str">
            <v>AEROSOLES PRISA</v>
          </cell>
        </row>
        <row r="172">
          <cell r="A172">
            <v>2454</v>
          </cell>
          <cell r="E172" t="str">
            <v>AEROSOLES PRISA</v>
          </cell>
        </row>
        <row r="173">
          <cell r="A173">
            <v>2461</v>
          </cell>
          <cell r="E173" t="str">
            <v>AEROSOLES PRISA</v>
          </cell>
        </row>
        <row r="174">
          <cell r="A174">
            <v>2462</v>
          </cell>
          <cell r="E174" t="str">
            <v>AEROSOLES PRISA</v>
          </cell>
        </row>
        <row r="175">
          <cell r="A175">
            <v>2463</v>
          </cell>
          <cell r="E175" t="str">
            <v>AEROSOLES PRISA</v>
          </cell>
        </row>
        <row r="176">
          <cell r="A176">
            <v>2497</v>
          </cell>
          <cell r="E176" t="str">
            <v>AEROSOLES PRISA</v>
          </cell>
        </row>
        <row r="177">
          <cell r="A177">
            <v>2957</v>
          </cell>
          <cell r="E177" t="str">
            <v>ESTETICA AUTOMOTRIZ</v>
          </cell>
        </row>
        <row r="178">
          <cell r="A178">
            <v>6410</v>
          </cell>
          <cell r="E178" t="str">
            <v>OTROS ACCESORIOS Y COMPLEMENTO</v>
          </cell>
        </row>
        <row r="179">
          <cell r="A179">
            <v>6415</v>
          </cell>
          <cell r="E179" t="str">
            <v>OTROS ACCESORIOS Y COMPLEMENTO</v>
          </cell>
        </row>
        <row r="180">
          <cell r="A180">
            <v>6416</v>
          </cell>
          <cell r="E180" t="str">
            <v>OTROS ACCESORIOS Y COMPLEMENTO</v>
          </cell>
        </row>
        <row r="181">
          <cell r="A181">
            <v>6700</v>
          </cell>
          <cell r="E181" t="str">
            <v>ACCESORIOS PARA LA APLICACION</v>
          </cell>
        </row>
        <row r="182">
          <cell r="A182">
            <v>6701</v>
          </cell>
          <cell r="E182" t="str">
            <v>ACCESORIOS PARA LA APLICACION</v>
          </cell>
        </row>
        <row r="183">
          <cell r="A183">
            <v>6702</v>
          </cell>
          <cell r="E183" t="str">
            <v>ACCESORIOS PARA LA APLICACION</v>
          </cell>
        </row>
        <row r="184">
          <cell r="A184">
            <v>6703</v>
          </cell>
          <cell r="E184" t="str">
            <v>ACCESORIOS PARA LA APLICACION</v>
          </cell>
        </row>
        <row r="185">
          <cell r="A185">
            <v>6704</v>
          </cell>
          <cell r="E185" t="str">
            <v>ACCESORIOS PARA LA APLICACION</v>
          </cell>
        </row>
        <row r="186">
          <cell r="A186">
            <v>6751</v>
          </cell>
          <cell r="E186" t="str">
            <v>ACCESORIOS PARA LA APLICACION</v>
          </cell>
        </row>
        <row r="187">
          <cell r="A187">
            <v>6752</v>
          </cell>
          <cell r="E187" t="str">
            <v>ACCESORIOS PARA LA APLICACION</v>
          </cell>
        </row>
        <row r="188">
          <cell r="A188">
            <v>6753</v>
          </cell>
          <cell r="E188" t="str">
            <v>ACCESORIOS PARA LA APLICACION</v>
          </cell>
        </row>
        <row r="189">
          <cell r="A189">
            <v>6754</v>
          </cell>
          <cell r="E189" t="str">
            <v>ACCESORIOS PARA LA APLICACION</v>
          </cell>
        </row>
        <row r="190">
          <cell r="A190">
            <v>6755</v>
          </cell>
          <cell r="E190" t="str">
            <v>ACCESORIOS PARA LA APLICACION</v>
          </cell>
        </row>
        <row r="191">
          <cell r="A191">
            <v>6756</v>
          </cell>
          <cell r="E191" t="str">
            <v>ACCESORIOS PARA LA APLICACION</v>
          </cell>
        </row>
        <row r="192">
          <cell r="A192">
            <v>6757</v>
          </cell>
          <cell r="E192" t="str">
            <v>ACCESORIOS PARA LA APLICACION</v>
          </cell>
        </row>
        <row r="193">
          <cell r="A193">
            <v>6758</v>
          </cell>
          <cell r="E193" t="str">
            <v>ACCESORIOS PARA LA APLICACION</v>
          </cell>
        </row>
        <row r="194">
          <cell r="A194">
            <v>6770</v>
          </cell>
          <cell r="E194" t="str">
            <v>ACCESORIOS PARA LA APLICACION</v>
          </cell>
        </row>
        <row r="195">
          <cell r="A195">
            <v>6771</v>
          </cell>
          <cell r="E195" t="str">
            <v>ACCESORIOS PARA LA APLICACION</v>
          </cell>
        </row>
        <row r="196">
          <cell r="A196">
            <v>6772</v>
          </cell>
          <cell r="E196" t="str">
            <v>ACCESORIOS PARA LA APLICACION</v>
          </cell>
        </row>
        <row r="197">
          <cell r="A197">
            <v>6773</v>
          </cell>
          <cell r="E197" t="str">
            <v>ACCESORIOS PARA LA APLICACION</v>
          </cell>
        </row>
        <row r="198">
          <cell r="A198">
            <v>6774</v>
          </cell>
          <cell r="E198" t="str">
            <v>ACCESORIOS PARA LA APLICACION</v>
          </cell>
        </row>
        <row r="199">
          <cell r="A199">
            <v>6775</v>
          </cell>
          <cell r="E199" t="str">
            <v>ACCESORIOS PARA LA APLICACION</v>
          </cell>
        </row>
        <row r="200">
          <cell r="A200">
            <v>6776</v>
          </cell>
          <cell r="E200" t="str">
            <v>ACCESORIOS PARA LA APLICACION</v>
          </cell>
        </row>
        <row r="201">
          <cell r="A201">
            <v>6777</v>
          </cell>
          <cell r="E201" t="str">
            <v>ACCESORIOS PARA LA APLICACION</v>
          </cell>
        </row>
        <row r="202">
          <cell r="A202">
            <v>6778</v>
          </cell>
          <cell r="E202" t="str">
            <v>ACCESORIOS PARA LA APLICACION</v>
          </cell>
        </row>
        <row r="203">
          <cell r="A203">
            <v>6787</v>
          </cell>
          <cell r="E203" t="str">
            <v>ACCESORIOS PARA LA APLICACION</v>
          </cell>
        </row>
        <row r="204">
          <cell r="A204">
            <v>6788</v>
          </cell>
          <cell r="E204" t="str">
            <v>ACCESORIOS PARA LA APLICACION</v>
          </cell>
        </row>
        <row r="205">
          <cell r="A205">
            <v>9002</v>
          </cell>
          <cell r="E205" t="str">
            <v>EQUIPOS MEGACOLOR</v>
          </cell>
        </row>
        <row r="206">
          <cell r="A206">
            <v>9004</v>
          </cell>
          <cell r="E206" t="str">
            <v>OTROS ACCESORIOS Y COMPLEMENTO</v>
          </cell>
        </row>
        <row r="207">
          <cell r="A207">
            <v>9009</v>
          </cell>
          <cell r="E207" t="str">
            <v>EQUIPOS MEGACOLOR</v>
          </cell>
        </row>
        <row r="208">
          <cell r="A208">
            <v>9013</v>
          </cell>
          <cell r="E208" t="str">
            <v>EQUIPOS MEGACOLOR</v>
          </cell>
        </row>
        <row r="209">
          <cell r="A209">
            <v>9018</v>
          </cell>
          <cell r="E209" t="str">
            <v>PROMOCIONALES</v>
          </cell>
        </row>
        <row r="210">
          <cell r="A210">
            <v>9019</v>
          </cell>
          <cell r="E210" t="str">
            <v>EQUIPOS MEGACOLOR</v>
          </cell>
        </row>
        <row r="211">
          <cell r="A211">
            <v>9020</v>
          </cell>
          <cell r="E211" t="str">
            <v>OTROS ACCESORIOS Y COMPLEMENTO</v>
          </cell>
        </row>
        <row r="212">
          <cell r="A212">
            <v>9021</v>
          </cell>
          <cell r="E212" t="str">
            <v>PROMOCIONALES</v>
          </cell>
        </row>
        <row r="213">
          <cell r="A213">
            <v>9024</v>
          </cell>
          <cell r="E213" t="str">
            <v>ACCESORIOS PARA LA APLICACION</v>
          </cell>
        </row>
        <row r="214">
          <cell r="A214">
            <v>9027</v>
          </cell>
          <cell r="E214" t="str">
            <v>OTROS ACCESORIOS Y COMPLEMENTO</v>
          </cell>
        </row>
        <row r="215">
          <cell r="A215">
            <v>9030</v>
          </cell>
          <cell r="E215" t="str">
            <v>EQUIPOS MEGACOLOR</v>
          </cell>
        </row>
        <row r="216">
          <cell r="A216">
            <v>9037</v>
          </cell>
          <cell r="E216" t="str">
            <v>EQUIPOS MEGACOLOR</v>
          </cell>
        </row>
        <row r="217">
          <cell r="A217">
            <v>9043</v>
          </cell>
          <cell r="E217" t="str">
            <v>EQUIPOS MEGACOLOR</v>
          </cell>
        </row>
        <row r="218">
          <cell r="A218">
            <v>9044</v>
          </cell>
          <cell r="E218" t="str">
            <v>HERRAMIENTAS EN GENERAL</v>
          </cell>
        </row>
        <row r="219">
          <cell r="A219">
            <v>9045</v>
          </cell>
          <cell r="E219" t="str">
            <v>EQUIPOS MEGACOLOR</v>
          </cell>
        </row>
        <row r="220">
          <cell r="A220">
            <v>9047</v>
          </cell>
          <cell r="E220" t="str">
            <v>EQUIPOS MEGACOLOR</v>
          </cell>
        </row>
        <row r="221">
          <cell r="A221">
            <v>9048</v>
          </cell>
          <cell r="E221" t="str">
            <v>EQUIPOS MEGACOLOR</v>
          </cell>
        </row>
        <row r="222">
          <cell r="A222">
            <v>9050</v>
          </cell>
          <cell r="E222" t="str">
            <v>EQUIPOS MEGACOLOR</v>
          </cell>
        </row>
        <row r="223">
          <cell r="A223">
            <v>9096</v>
          </cell>
          <cell r="E223" t="str">
            <v>HERRAMIENTAS EN GENERAL</v>
          </cell>
        </row>
        <row r="224">
          <cell r="A224">
            <v>9097</v>
          </cell>
          <cell r="E224" t="str">
            <v>HERRAMIENTAS EN GENERAL</v>
          </cell>
        </row>
        <row r="225">
          <cell r="A225">
            <v>9099</v>
          </cell>
          <cell r="E225" t="str">
            <v>HERRAMIENTAS EN GENERAL</v>
          </cell>
        </row>
        <row r="226">
          <cell r="A226">
            <v>9102</v>
          </cell>
          <cell r="E226" t="str">
            <v>ACCESORIOS PARA LA APLICACION</v>
          </cell>
        </row>
        <row r="227">
          <cell r="A227">
            <v>9103</v>
          </cell>
          <cell r="E227" t="str">
            <v>ACCESORIOS PARA LA APLICACION</v>
          </cell>
        </row>
        <row r="228">
          <cell r="A228">
            <v>9104</v>
          </cell>
          <cell r="E228" t="str">
            <v>ACCESORIOS PARA LA APLICACION</v>
          </cell>
        </row>
        <row r="229">
          <cell r="A229">
            <v>9105</v>
          </cell>
          <cell r="E229" t="str">
            <v>ACCESORIOS PARA LA APLICACION</v>
          </cell>
        </row>
        <row r="230">
          <cell r="A230">
            <v>9112</v>
          </cell>
          <cell r="E230" t="str">
            <v>ACCESORIOS PARA LA APLICACION</v>
          </cell>
        </row>
        <row r="231">
          <cell r="A231">
            <v>9116</v>
          </cell>
          <cell r="E231" t="str">
            <v>ACCESORIOS PARA LA APLICACION</v>
          </cell>
        </row>
        <row r="232">
          <cell r="A232">
            <v>9117</v>
          </cell>
          <cell r="E232" t="str">
            <v>ACCESORIOS PARA LA APLICACION</v>
          </cell>
        </row>
        <row r="233">
          <cell r="A233">
            <v>9118</v>
          </cell>
          <cell r="E233" t="str">
            <v>ACCESORIOS PARA LA APLICACION</v>
          </cell>
        </row>
        <row r="234">
          <cell r="A234">
            <v>9120</v>
          </cell>
          <cell r="E234" t="str">
            <v>ACCESORIOS PARA LA APLICACION</v>
          </cell>
        </row>
        <row r="235">
          <cell r="A235">
            <v>9123</v>
          </cell>
          <cell r="E235" t="str">
            <v>ACCESORIOS PARA LA APLICACION</v>
          </cell>
        </row>
        <row r="236">
          <cell r="A236">
            <v>9124</v>
          </cell>
          <cell r="E236" t="str">
            <v>ACCESORIOS PARA LA APLICACION</v>
          </cell>
        </row>
        <row r="237">
          <cell r="A237">
            <v>9128</v>
          </cell>
          <cell r="E237" t="str">
            <v>ACCESORIOS PARA LA APLICACION</v>
          </cell>
        </row>
        <row r="238">
          <cell r="A238">
            <v>9129</v>
          </cell>
          <cell r="E238" t="str">
            <v>ACCESORIOS PARA LA APLICACION</v>
          </cell>
        </row>
        <row r="239">
          <cell r="A239">
            <v>9148</v>
          </cell>
          <cell r="E239" t="str">
            <v>ACCESORIOS PARA LA APLICACION</v>
          </cell>
        </row>
        <row r="240">
          <cell r="A240">
            <v>9149</v>
          </cell>
          <cell r="E240" t="str">
            <v>ACCESORIOS PARA LA APLICACION</v>
          </cell>
        </row>
        <row r="241">
          <cell r="A241">
            <v>9155</v>
          </cell>
          <cell r="E241" t="str">
            <v>ACCESORIOS PARA LA APLICACION</v>
          </cell>
        </row>
        <row r="242">
          <cell r="A242">
            <v>9159</v>
          </cell>
          <cell r="E242" t="str">
            <v>ACCESORIOS PARA LA APLICACION</v>
          </cell>
        </row>
        <row r="243">
          <cell r="A243">
            <v>9160</v>
          </cell>
          <cell r="E243" t="str">
            <v>ACCESORIOS PARA LA APLICACION</v>
          </cell>
        </row>
        <row r="244">
          <cell r="A244">
            <v>9170</v>
          </cell>
          <cell r="E244" t="str">
            <v>ACCESORIOS PARA PREPARACION DE</v>
          </cell>
        </row>
        <row r="245">
          <cell r="A245">
            <v>9171</v>
          </cell>
          <cell r="E245" t="str">
            <v>ACCESORIOS PARA PREPARACION DE</v>
          </cell>
        </row>
        <row r="246">
          <cell r="A246">
            <v>9172</v>
          </cell>
          <cell r="E246" t="str">
            <v>ACCESORIOS PARA PREPARACION DE</v>
          </cell>
        </row>
        <row r="247">
          <cell r="A247">
            <v>9173</v>
          </cell>
          <cell r="E247" t="str">
            <v>ACCESORIOS PARA PREPARACION DE</v>
          </cell>
        </row>
        <row r="248">
          <cell r="A248">
            <v>9174</v>
          </cell>
          <cell r="E248" t="str">
            <v>ACCESORIOS PARA PREPARACION DE</v>
          </cell>
        </row>
        <row r="249">
          <cell r="A249">
            <v>9176</v>
          </cell>
          <cell r="E249" t="str">
            <v>ACCESORIOS PARA PREPARACION DE</v>
          </cell>
        </row>
        <row r="250">
          <cell r="A250">
            <v>9177</v>
          </cell>
          <cell r="E250" t="str">
            <v>ACCESORIOS PARA PREPARACION DE</v>
          </cell>
        </row>
        <row r="251">
          <cell r="A251">
            <v>9178</v>
          </cell>
          <cell r="E251" t="str">
            <v>ACCESORIOS PARA PREPARACION DE</v>
          </cell>
        </row>
        <row r="252">
          <cell r="A252">
            <v>9179</v>
          </cell>
          <cell r="E252" t="str">
            <v>ACCESORIOS PARA LA APLICACION</v>
          </cell>
        </row>
        <row r="253">
          <cell r="A253">
            <v>9180</v>
          </cell>
          <cell r="E253" t="str">
            <v>ACCESORIOS PARA PREPARACION DE</v>
          </cell>
        </row>
        <row r="254">
          <cell r="A254">
            <v>9184</v>
          </cell>
          <cell r="E254" t="str">
            <v>ACCESORIOS PARA PREPARACION DE</v>
          </cell>
        </row>
        <row r="255">
          <cell r="A255">
            <v>9185</v>
          </cell>
          <cell r="E255" t="str">
            <v>ACCESORIOS PARA PREPARACION DE</v>
          </cell>
        </row>
        <row r="256">
          <cell r="A256">
            <v>9186</v>
          </cell>
          <cell r="E256" t="str">
            <v>ACCESORIOS PARA PREPARACION DE</v>
          </cell>
        </row>
        <row r="257">
          <cell r="A257">
            <v>9187</v>
          </cell>
          <cell r="E257" t="str">
            <v>ACCESORIOS PARA PREPARACION DE</v>
          </cell>
        </row>
        <row r="258">
          <cell r="A258">
            <v>9188</v>
          </cell>
          <cell r="E258" t="str">
            <v>ACCESORIOS PARA PREPARACION DE</v>
          </cell>
        </row>
        <row r="259">
          <cell r="A259">
            <v>9191</v>
          </cell>
          <cell r="E259" t="str">
            <v>ACCESORIOS PARA LA APLICACION</v>
          </cell>
        </row>
        <row r="260">
          <cell r="A260">
            <v>9193</v>
          </cell>
          <cell r="E260" t="str">
            <v>ACCESORIOS PARA LA APLICACION</v>
          </cell>
        </row>
        <row r="261">
          <cell r="A261">
            <v>9194</v>
          </cell>
          <cell r="E261" t="str">
            <v>ACCESORIOS PARA LA APLICACION</v>
          </cell>
        </row>
        <row r="262">
          <cell r="A262">
            <v>9195</v>
          </cell>
          <cell r="E262" t="str">
            <v>ACCESORIOS PARA LA APLICACION</v>
          </cell>
        </row>
        <row r="263">
          <cell r="A263">
            <v>9196</v>
          </cell>
          <cell r="E263" t="str">
            <v>ACCESORIOS PARA LA APLICACION</v>
          </cell>
        </row>
        <row r="264">
          <cell r="A264">
            <v>9197</v>
          </cell>
          <cell r="E264" t="str">
            <v>ACCESORIOS PARA LA APLICACION</v>
          </cell>
        </row>
        <row r="265">
          <cell r="A265">
            <v>9198</v>
          </cell>
          <cell r="E265" t="str">
            <v>ACCESORIOS PARA LA APLICACION</v>
          </cell>
        </row>
        <row r="266">
          <cell r="A266">
            <v>9201</v>
          </cell>
          <cell r="E266" t="str">
            <v>ACCESORIOS PARA LA APLICACION</v>
          </cell>
        </row>
        <row r="267">
          <cell r="A267">
            <v>9212</v>
          </cell>
          <cell r="E267" t="str">
            <v>ACCESORIOS PARA LA APLICACION</v>
          </cell>
        </row>
        <row r="268">
          <cell r="A268">
            <v>9213</v>
          </cell>
          <cell r="E268" t="str">
            <v>ACCESORIOS PARA LA APLICACION</v>
          </cell>
        </row>
        <row r="269">
          <cell r="A269">
            <v>9214</v>
          </cell>
          <cell r="E269" t="str">
            <v>ACCESORIOS PARA LA APLICACION</v>
          </cell>
        </row>
        <row r="270">
          <cell r="A270">
            <v>9243</v>
          </cell>
          <cell r="E270" t="str">
            <v>ACCESORIOS PARA LA APLICACION</v>
          </cell>
        </row>
        <row r="271">
          <cell r="A271">
            <v>9246</v>
          </cell>
          <cell r="E271" t="str">
            <v>ACCESORIOS PARA LA APLICACION</v>
          </cell>
        </row>
        <row r="272">
          <cell r="A272">
            <v>9247</v>
          </cell>
          <cell r="E272" t="str">
            <v>ACCESORIOS PARA LA APLICACION</v>
          </cell>
        </row>
        <row r="273">
          <cell r="A273">
            <v>9248</v>
          </cell>
          <cell r="E273" t="str">
            <v>ACCESORIOS PARA LA APLICACION</v>
          </cell>
        </row>
        <row r="274">
          <cell r="A274">
            <v>9249</v>
          </cell>
          <cell r="E274" t="str">
            <v>ACCESORIOS PARA LA APLICACION</v>
          </cell>
        </row>
        <row r="275">
          <cell r="A275">
            <v>9250</v>
          </cell>
          <cell r="E275" t="str">
            <v>ACCESORIOS PARA LA APLICACION</v>
          </cell>
        </row>
        <row r="276">
          <cell r="A276">
            <v>9251</v>
          </cell>
          <cell r="E276" t="str">
            <v>ACCESORIOS PARA LA APLICACION</v>
          </cell>
        </row>
        <row r="277">
          <cell r="A277">
            <v>9252</v>
          </cell>
          <cell r="E277" t="str">
            <v>ACCESORIOS PARA LA APLICACION</v>
          </cell>
        </row>
        <row r="278">
          <cell r="A278">
            <v>9260</v>
          </cell>
          <cell r="E278" t="str">
            <v>ACCESORIOS PARA LA APLICACION</v>
          </cell>
        </row>
        <row r="279">
          <cell r="A279">
            <v>9261</v>
          </cell>
          <cell r="E279" t="str">
            <v>ACCESORIOS PARA LA APLICACION</v>
          </cell>
        </row>
        <row r="280">
          <cell r="A280">
            <v>9262</v>
          </cell>
          <cell r="E280" t="str">
            <v>ACCESORIOS PARA LA APLICACION</v>
          </cell>
        </row>
        <row r="281">
          <cell r="A281">
            <v>9270</v>
          </cell>
          <cell r="E281" t="str">
            <v>ACCESORIOS PARA LA APLICACION</v>
          </cell>
        </row>
        <row r="282">
          <cell r="A282">
            <v>9301</v>
          </cell>
          <cell r="E282" t="str">
            <v>ACCESORIOS PARA LA APLICACION</v>
          </cell>
        </row>
        <row r="283">
          <cell r="A283">
            <v>9303</v>
          </cell>
          <cell r="E283" t="str">
            <v>ACCESORIOS PARA LA APLICACION</v>
          </cell>
        </row>
        <row r="284">
          <cell r="A284">
            <v>9332</v>
          </cell>
          <cell r="E284" t="str">
            <v>ACCESORIOS PARA LA APLICACION</v>
          </cell>
        </row>
        <row r="285">
          <cell r="A285">
            <v>9335</v>
          </cell>
          <cell r="E285" t="str">
            <v>ACCESORIOS PARA LA APLICACION</v>
          </cell>
        </row>
        <row r="286">
          <cell r="A286">
            <v>9336</v>
          </cell>
          <cell r="E286" t="str">
            <v>ACCESORIOS PARA LA APLICACION</v>
          </cell>
        </row>
        <row r="287">
          <cell r="A287">
            <v>9340</v>
          </cell>
          <cell r="E287" t="str">
            <v>ACCESORIOS PARA LA APLICACION</v>
          </cell>
        </row>
        <row r="288">
          <cell r="A288">
            <v>9341</v>
          </cell>
          <cell r="E288" t="str">
            <v>ACCESORIOS PARA LA APLICACION</v>
          </cell>
        </row>
        <row r="289">
          <cell r="A289">
            <v>9343</v>
          </cell>
          <cell r="E289" t="str">
            <v>ACCESORIOS PARA LA APLICACION</v>
          </cell>
        </row>
        <row r="290">
          <cell r="A290">
            <v>9354</v>
          </cell>
          <cell r="E290" t="str">
            <v>ACCESORIOS PARA LA APLICACION</v>
          </cell>
        </row>
        <row r="291">
          <cell r="A291">
            <v>9355</v>
          </cell>
          <cell r="E291" t="str">
            <v>ACCESORIOS PARA LA APLICACION</v>
          </cell>
        </row>
        <row r="292">
          <cell r="A292">
            <v>9356</v>
          </cell>
          <cell r="E292" t="str">
            <v>ACCESORIOS PARA LA APLICACION</v>
          </cell>
        </row>
        <row r="293">
          <cell r="A293">
            <v>9357</v>
          </cell>
          <cell r="E293" t="str">
            <v>ACCESORIOS PARA LA APLICACION</v>
          </cell>
        </row>
        <row r="294">
          <cell r="A294">
            <v>9389</v>
          </cell>
          <cell r="E294" t="str">
            <v>ACCESORIOS PARA LA APLICACION</v>
          </cell>
        </row>
        <row r="295">
          <cell r="A295">
            <v>9400</v>
          </cell>
          <cell r="E295" t="str">
            <v>ACCESORIOS PARA PREPARACION DE</v>
          </cell>
        </row>
        <row r="296">
          <cell r="A296">
            <v>9401</v>
          </cell>
          <cell r="E296" t="str">
            <v>ACCESORIOS PARA PREPARACION DE</v>
          </cell>
        </row>
        <row r="297">
          <cell r="A297">
            <v>9402</v>
          </cell>
          <cell r="E297" t="str">
            <v>ACCESORIOS PARA PREPARACION DE</v>
          </cell>
        </row>
        <row r="298">
          <cell r="A298">
            <v>9403</v>
          </cell>
          <cell r="E298" t="str">
            <v>ACCESORIOS PARA PREPARACION DE</v>
          </cell>
        </row>
        <row r="299">
          <cell r="A299">
            <v>9433</v>
          </cell>
          <cell r="E299" t="str">
            <v>ACCESORIOS PARA PREPARACION DE</v>
          </cell>
        </row>
        <row r="300">
          <cell r="A300">
            <v>9434</v>
          </cell>
          <cell r="E300" t="str">
            <v>ACCESORIOS PARA PREPARACION DE</v>
          </cell>
        </row>
        <row r="301">
          <cell r="A301">
            <v>9435</v>
          </cell>
          <cell r="E301" t="str">
            <v>ACCESORIOS PARA PREPARACION DE</v>
          </cell>
        </row>
        <row r="302">
          <cell r="A302">
            <v>9436</v>
          </cell>
          <cell r="E302" t="str">
            <v>ACCESORIOS PARA PREPARACION DE</v>
          </cell>
        </row>
        <row r="303">
          <cell r="A303">
            <v>9440</v>
          </cell>
          <cell r="E303" t="str">
            <v>ACCESORIOS PARA PREPARACION DE</v>
          </cell>
        </row>
        <row r="304">
          <cell r="A304">
            <v>9442</v>
          </cell>
          <cell r="E304" t="str">
            <v>ACCESORIOS PARA PREPARACION DE</v>
          </cell>
        </row>
        <row r="305">
          <cell r="A305">
            <v>9444</v>
          </cell>
          <cell r="E305" t="str">
            <v>ACCESORIOS PARA PREPARACION DE</v>
          </cell>
        </row>
        <row r="306">
          <cell r="A306">
            <v>9446</v>
          </cell>
          <cell r="E306" t="str">
            <v>ACCESORIOS PARA PREPARACION DE</v>
          </cell>
        </row>
        <row r="307">
          <cell r="A307">
            <v>9448</v>
          </cell>
          <cell r="E307" t="str">
            <v>ACCESORIOS PARA PREPARACION DE</v>
          </cell>
        </row>
        <row r="308">
          <cell r="A308">
            <v>9450</v>
          </cell>
          <cell r="E308" t="str">
            <v>ACCESORIOS PARA PREPARACION DE</v>
          </cell>
        </row>
        <row r="309">
          <cell r="A309">
            <v>9452</v>
          </cell>
          <cell r="E309" t="str">
            <v>ACCESORIOS PARA PREPARACION DE</v>
          </cell>
        </row>
        <row r="310">
          <cell r="A310">
            <v>9454</v>
          </cell>
          <cell r="E310" t="str">
            <v>ACCESORIOS PARA PREPARACION DE</v>
          </cell>
        </row>
        <row r="311">
          <cell r="A311">
            <v>9456</v>
          </cell>
          <cell r="E311" t="str">
            <v>ACCESORIOS PARA PREPARACION DE</v>
          </cell>
        </row>
        <row r="312">
          <cell r="A312">
            <v>9458</v>
          </cell>
          <cell r="E312" t="str">
            <v>ACCESORIOS PARA PREPARACION DE</v>
          </cell>
        </row>
        <row r="313">
          <cell r="A313">
            <v>9459</v>
          </cell>
          <cell r="E313" t="str">
            <v>ACCESORIOS PARA PREPARACION DE</v>
          </cell>
        </row>
        <row r="314">
          <cell r="A314">
            <v>9460</v>
          </cell>
          <cell r="E314" t="str">
            <v>ACCESORIOS PARA PREPARACION DE</v>
          </cell>
        </row>
        <row r="315">
          <cell r="A315">
            <v>9462</v>
          </cell>
          <cell r="E315" t="str">
            <v>ACCESORIOS PARA PREPARACION DE</v>
          </cell>
        </row>
        <row r="316">
          <cell r="A316">
            <v>9464</v>
          </cell>
          <cell r="E316" t="str">
            <v>ACCESORIOS PARA PREPARACION DE</v>
          </cell>
        </row>
        <row r="317">
          <cell r="A317">
            <v>9466</v>
          </cell>
          <cell r="E317" t="str">
            <v>ACCESORIOS PARA PREPARACION DE</v>
          </cell>
        </row>
        <row r="318">
          <cell r="A318">
            <v>9467</v>
          </cell>
          <cell r="E318" t="str">
            <v>ACCESORIOS PARA PREPARACION DE</v>
          </cell>
        </row>
        <row r="319">
          <cell r="A319">
            <v>9468</v>
          </cell>
          <cell r="E319" t="str">
            <v>ACCESORIOS PARA PREPARACION DE</v>
          </cell>
        </row>
        <row r="320">
          <cell r="A320">
            <v>9469</v>
          </cell>
          <cell r="E320" t="str">
            <v>ACCESORIOS PARA PREPARACION DE</v>
          </cell>
        </row>
        <row r="321">
          <cell r="A321">
            <v>9477</v>
          </cell>
          <cell r="E321" t="str">
            <v>ACCESORIOS PARA PREPARACION DE</v>
          </cell>
        </row>
        <row r="322">
          <cell r="A322">
            <v>9478</v>
          </cell>
          <cell r="E322" t="str">
            <v>ACCESORIOS PARA PREPARACION DE</v>
          </cell>
        </row>
        <row r="323">
          <cell r="A323">
            <v>9479</v>
          </cell>
          <cell r="E323" t="str">
            <v>ACCESORIOS PARA PREPARACION DE</v>
          </cell>
        </row>
        <row r="324">
          <cell r="A324">
            <v>9484</v>
          </cell>
          <cell r="E324" t="str">
            <v>HERRAMIENTAS EN GENERAL</v>
          </cell>
        </row>
        <row r="325">
          <cell r="A325">
            <v>9485</v>
          </cell>
          <cell r="E325" t="str">
            <v>HERRAMIENTAS EN GENERAL</v>
          </cell>
        </row>
        <row r="326">
          <cell r="A326">
            <v>9490</v>
          </cell>
          <cell r="E326" t="str">
            <v>ACCESORIOS PARA PREPARACION DE</v>
          </cell>
        </row>
        <row r="327">
          <cell r="A327">
            <v>9495</v>
          </cell>
          <cell r="E327" t="str">
            <v>HERRAMIENTAS EN GENERAL</v>
          </cell>
        </row>
        <row r="328">
          <cell r="A328">
            <v>9541</v>
          </cell>
          <cell r="E328" t="str">
            <v>ACCESORIOS PARA LA APLICACION</v>
          </cell>
        </row>
        <row r="329">
          <cell r="A329">
            <v>9542</v>
          </cell>
          <cell r="E329" t="str">
            <v>ACCESORIOS PARA LA APLICACION</v>
          </cell>
        </row>
        <row r="330">
          <cell r="A330">
            <v>9543</v>
          </cell>
          <cell r="E330" t="str">
            <v>ACCESORIOS PARA LA APLICACION</v>
          </cell>
        </row>
        <row r="331">
          <cell r="A331">
            <v>9545</v>
          </cell>
          <cell r="E331" t="str">
            <v>HERRAMIENTAS EN GENERAL</v>
          </cell>
        </row>
        <row r="332">
          <cell r="A332">
            <v>9546</v>
          </cell>
          <cell r="E332" t="str">
            <v>HERRAMIENTAS EN GENERAL</v>
          </cell>
        </row>
        <row r="333">
          <cell r="A333">
            <v>9547</v>
          </cell>
          <cell r="E333" t="str">
            <v>HERRAMIENTAS EN GENERAL</v>
          </cell>
        </row>
        <row r="334">
          <cell r="A334">
            <v>9548</v>
          </cell>
          <cell r="E334" t="str">
            <v>HERRAMIENTAS EN GENERAL</v>
          </cell>
        </row>
        <row r="335">
          <cell r="A335">
            <v>9556</v>
          </cell>
          <cell r="E335" t="str">
            <v>ACCESORIOS PARA LA APLICACION</v>
          </cell>
        </row>
        <row r="336">
          <cell r="A336">
            <v>9557</v>
          </cell>
          <cell r="E336" t="str">
            <v>ACCESORIOS PARA LA APLICACION</v>
          </cell>
        </row>
        <row r="337">
          <cell r="A337">
            <v>9558</v>
          </cell>
          <cell r="E337" t="str">
            <v>ACCESORIOS PARA LA APLICACION</v>
          </cell>
        </row>
        <row r="338">
          <cell r="A338">
            <v>9559</v>
          </cell>
          <cell r="E338" t="str">
            <v>ACCESORIOS PARA LA APLICACION</v>
          </cell>
        </row>
        <row r="339">
          <cell r="A339">
            <v>9640</v>
          </cell>
          <cell r="E339" t="str">
            <v>ACCESORIOS PARA PREPARACION DE</v>
          </cell>
        </row>
        <row r="340">
          <cell r="A340">
            <v>9642</v>
          </cell>
          <cell r="E340" t="str">
            <v>ACCESORIOS PARA PREPARACION DE</v>
          </cell>
        </row>
        <row r="341">
          <cell r="A341">
            <v>9644</v>
          </cell>
          <cell r="E341" t="str">
            <v>ACCESORIOS PARA PREPARACION DE</v>
          </cell>
        </row>
        <row r="342">
          <cell r="A342">
            <v>9646</v>
          </cell>
          <cell r="E342" t="str">
            <v>ACCESORIOS PARA PREPARACION DE</v>
          </cell>
        </row>
        <row r="343">
          <cell r="A343">
            <v>9648</v>
          </cell>
          <cell r="E343" t="str">
            <v>ACCESORIOS PARA PREPARACION DE</v>
          </cell>
        </row>
        <row r="344">
          <cell r="A344">
            <v>9650</v>
          </cell>
          <cell r="E344" t="str">
            <v>ACCESORIOS PARA PREPARACION DE</v>
          </cell>
        </row>
        <row r="345">
          <cell r="A345">
            <v>9652</v>
          </cell>
          <cell r="E345" t="str">
            <v>ACCESORIOS PARA PREPARACION DE</v>
          </cell>
        </row>
        <row r="346">
          <cell r="A346">
            <v>9654</v>
          </cell>
          <cell r="E346" t="str">
            <v>ACCESORIOS PARA PREPARACION DE</v>
          </cell>
        </row>
        <row r="347">
          <cell r="A347">
            <v>9656</v>
          </cell>
          <cell r="E347" t="str">
            <v>ACCESORIOS PARA PREPARACION DE</v>
          </cell>
        </row>
        <row r="348">
          <cell r="A348">
            <v>9658</v>
          </cell>
          <cell r="E348" t="str">
            <v>ACCESORIOS PARA PREPARACION DE</v>
          </cell>
        </row>
        <row r="349">
          <cell r="A349">
            <v>9659</v>
          </cell>
          <cell r="E349" t="str">
            <v>ACCESORIOS PARA PREPARACION DE</v>
          </cell>
        </row>
        <row r="350">
          <cell r="A350">
            <v>9666</v>
          </cell>
          <cell r="E350" t="str">
            <v>ACCESORIOS PARA PREPARACION DE</v>
          </cell>
        </row>
        <row r="351">
          <cell r="A351">
            <v>9667</v>
          </cell>
          <cell r="E351" t="str">
            <v>ACCESORIOS PARA PREPARACION DE</v>
          </cell>
        </row>
        <row r="352">
          <cell r="A352">
            <v>9668</v>
          </cell>
          <cell r="E352" t="str">
            <v>PRODUCTOS MISCELANEOS</v>
          </cell>
        </row>
        <row r="353">
          <cell r="A353">
            <v>9669</v>
          </cell>
          <cell r="E353" t="str">
            <v>PRODUCTOS MISCELANEOS</v>
          </cell>
        </row>
        <row r="354">
          <cell r="A354">
            <v>9670</v>
          </cell>
          <cell r="E354" t="str">
            <v>PRODUCTOS MISCELANEOS</v>
          </cell>
        </row>
        <row r="355">
          <cell r="A355">
            <v>9671</v>
          </cell>
          <cell r="E355" t="str">
            <v>PRODUCTOS MISCELANEOS</v>
          </cell>
        </row>
        <row r="356">
          <cell r="A356">
            <v>9710</v>
          </cell>
          <cell r="E356" t="str">
            <v>HERRAMIENTAS EN GENERAL</v>
          </cell>
        </row>
        <row r="357">
          <cell r="A357">
            <v>9724</v>
          </cell>
          <cell r="E357" t="str">
            <v>PRODUCTOS MISCELANEOS</v>
          </cell>
        </row>
        <row r="358">
          <cell r="A358">
            <v>9726</v>
          </cell>
          <cell r="E358" t="str">
            <v>PRODUCTOS MISCELANEOS</v>
          </cell>
        </row>
        <row r="359">
          <cell r="A359">
            <v>9728</v>
          </cell>
          <cell r="E359" t="str">
            <v>PRODUCTOS MISCELANEOS</v>
          </cell>
        </row>
        <row r="360">
          <cell r="A360">
            <v>9806</v>
          </cell>
          <cell r="E360" t="str">
            <v>EXHIBIDORES</v>
          </cell>
        </row>
        <row r="361">
          <cell r="A361">
            <v>9808</v>
          </cell>
          <cell r="E361" t="str">
            <v>EXHIBIDORES</v>
          </cell>
        </row>
        <row r="362">
          <cell r="A362">
            <v>9809</v>
          </cell>
          <cell r="E362" t="str">
            <v>EXHIBIDORES</v>
          </cell>
        </row>
        <row r="363">
          <cell r="A363">
            <v>9810</v>
          </cell>
          <cell r="E363" t="str">
            <v>EXHIBIDORES</v>
          </cell>
        </row>
        <row r="364">
          <cell r="A364">
            <v>9811</v>
          </cell>
          <cell r="E364" t="str">
            <v>EXHIBIDORES</v>
          </cell>
        </row>
        <row r="365">
          <cell r="A365">
            <v>9812</v>
          </cell>
          <cell r="E365" t="str">
            <v>EXHIBIDORES</v>
          </cell>
        </row>
        <row r="366">
          <cell r="A366">
            <v>9903</v>
          </cell>
          <cell r="E366" t="str">
            <v>ACCESORIOS PARA PREPARACION DE</v>
          </cell>
        </row>
        <row r="367">
          <cell r="A367">
            <v>9904</v>
          </cell>
          <cell r="E367" t="str">
            <v>ACCESORIOS PARA PREPARACION DE</v>
          </cell>
        </row>
        <row r="368">
          <cell r="A368">
            <v>9905</v>
          </cell>
          <cell r="E368" t="str">
            <v>ACCESORIOS PARA PREPARACION DE</v>
          </cell>
        </row>
        <row r="369">
          <cell r="A369">
            <v>9906</v>
          </cell>
          <cell r="E369" t="str">
            <v>ACCESORIOS PARA PREPARACION DE</v>
          </cell>
        </row>
        <row r="370">
          <cell r="A370">
            <v>9907</v>
          </cell>
          <cell r="E370" t="str">
            <v>ACCESORIOS PARA PREPARACION DE</v>
          </cell>
        </row>
        <row r="371">
          <cell r="A371">
            <v>9910</v>
          </cell>
          <cell r="E371" t="str">
            <v>ACCESORIOS PARA PREPARACION DE</v>
          </cell>
        </row>
        <row r="372">
          <cell r="A372">
            <v>9911</v>
          </cell>
          <cell r="E372" t="str">
            <v>OTROS ACCESORIOS Y COMPLEMENTO</v>
          </cell>
        </row>
        <row r="373">
          <cell r="A373">
            <v>9913</v>
          </cell>
          <cell r="E373" t="str">
            <v>ANTISALITRE</v>
          </cell>
        </row>
        <row r="374">
          <cell r="A374">
            <v>9917</v>
          </cell>
          <cell r="E374" t="str">
            <v>ACCESORIOS PARA LA APLICACION</v>
          </cell>
        </row>
        <row r="375">
          <cell r="A375">
            <v>9918</v>
          </cell>
          <cell r="E375" t="str">
            <v>SELLADORES ACRILICOS</v>
          </cell>
        </row>
        <row r="376">
          <cell r="A376">
            <v>9919</v>
          </cell>
          <cell r="E376" t="str">
            <v>SELLADORES ACRILICOS</v>
          </cell>
        </row>
        <row r="377">
          <cell r="A377">
            <v>9920</v>
          </cell>
          <cell r="E377" t="str">
            <v>ACCESORIOS PARA PREPARACION DE</v>
          </cell>
        </row>
        <row r="378">
          <cell r="A378">
            <v>9921</v>
          </cell>
          <cell r="E378" t="str">
            <v>ACCESORIOS PARA PREPARACION DE</v>
          </cell>
        </row>
        <row r="379">
          <cell r="A379">
            <v>9922</v>
          </cell>
          <cell r="E379" t="str">
            <v>ACCESORIOS PARA PREPARACION DE</v>
          </cell>
        </row>
        <row r="380">
          <cell r="A380">
            <v>9923</v>
          </cell>
          <cell r="E380" t="str">
            <v>ACCESORIOS PARA PREPARACION DE</v>
          </cell>
        </row>
        <row r="381">
          <cell r="A381">
            <v>9924</v>
          </cell>
          <cell r="E381" t="str">
            <v>PRODUCTOS MISCELANEOS</v>
          </cell>
        </row>
        <row r="382">
          <cell r="A382">
            <v>10011</v>
          </cell>
          <cell r="E382" t="str">
            <v>PINTURA PARA ALBERCAS</v>
          </cell>
        </row>
        <row r="383">
          <cell r="A383">
            <v>10013</v>
          </cell>
          <cell r="E383" t="str">
            <v>PINTURA PARA ALBERCAS</v>
          </cell>
        </row>
        <row r="384">
          <cell r="A384">
            <v>10200</v>
          </cell>
          <cell r="E384" t="str">
            <v>FONDO DE NITROCELULOSA</v>
          </cell>
        </row>
        <row r="385">
          <cell r="A385">
            <v>10201</v>
          </cell>
          <cell r="E385" t="str">
            <v>FONDO DE NITROCELULOSA</v>
          </cell>
        </row>
        <row r="386">
          <cell r="A386">
            <v>10203</v>
          </cell>
          <cell r="E386" t="str">
            <v>FONDO DE NITROCELULOSA</v>
          </cell>
        </row>
        <row r="387">
          <cell r="A387">
            <v>10204</v>
          </cell>
          <cell r="E387" t="str">
            <v>FONDO DE NITROCELULOSA</v>
          </cell>
        </row>
        <row r="388">
          <cell r="A388">
            <v>10211</v>
          </cell>
          <cell r="E388" t="str">
            <v>FONDO ALQUIDALICO</v>
          </cell>
        </row>
        <row r="389">
          <cell r="A389">
            <v>10221</v>
          </cell>
          <cell r="E389" t="str">
            <v>FONDO DE NITROCELULOSA</v>
          </cell>
        </row>
        <row r="390">
          <cell r="A390">
            <v>10223</v>
          </cell>
          <cell r="E390" t="str">
            <v>FONDO DE NITROCELULOSA</v>
          </cell>
        </row>
        <row r="391">
          <cell r="A391">
            <v>10250</v>
          </cell>
          <cell r="E391" t="str">
            <v>FONDO DE NITROCELULOSA</v>
          </cell>
        </row>
        <row r="392">
          <cell r="A392">
            <v>10251</v>
          </cell>
          <cell r="E392" t="str">
            <v>FONDO DE NITROCELULOSA</v>
          </cell>
        </row>
        <row r="393">
          <cell r="A393">
            <v>10253</v>
          </cell>
          <cell r="E393" t="str">
            <v>FONDO DE NITROCELULOSA</v>
          </cell>
        </row>
        <row r="394">
          <cell r="A394">
            <v>10290</v>
          </cell>
          <cell r="E394" t="str">
            <v>FONDO DE NITROCELULOSA</v>
          </cell>
        </row>
        <row r="395">
          <cell r="A395">
            <v>10291</v>
          </cell>
          <cell r="E395" t="str">
            <v>FONDO DE NITROCELULOSA</v>
          </cell>
        </row>
        <row r="396">
          <cell r="A396">
            <v>10293</v>
          </cell>
          <cell r="E396" t="str">
            <v>FONDO DE NITROCELULOSA</v>
          </cell>
        </row>
        <row r="397">
          <cell r="A397">
            <v>10300</v>
          </cell>
          <cell r="E397" t="str">
            <v>FONDO DE NITROCELULOSA</v>
          </cell>
        </row>
        <row r="398">
          <cell r="A398">
            <v>10350</v>
          </cell>
          <cell r="E398" t="str">
            <v>FONDO DE NITROCELULOSA</v>
          </cell>
        </row>
        <row r="399">
          <cell r="A399">
            <v>10501</v>
          </cell>
          <cell r="E399" t="str">
            <v>FONDO DE POLIURETANO</v>
          </cell>
        </row>
        <row r="400">
          <cell r="A400">
            <v>10503</v>
          </cell>
          <cell r="E400" t="str">
            <v>FONDO DE POLIURETANO</v>
          </cell>
        </row>
        <row r="401">
          <cell r="A401">
            <v>10504</v>
          </cell>
          <cell r="E401" t="str">
            <v>FONDO DE POLIURETANO</v>
          </cell>
        </row>
        <row r="402">
          <cell r="A402">
            <v>10521</v>
          </cell>
          <cell r="E402" t="str">
            <v>FONDO DE POLIURETANO</v>
          </cell>
        </row>
        <row r="403">
          <cell r="A403">
            <v>10523</v>
          </cell>
          <cell r="E403" t="str">
            <v>FONDO DE POLIURETANO</v>
          </cell>
        </row>
        <row r="404">
          <cell r="A404">
            <v>10551</v>
          </cell>
          <cell r="E404" t="str">
            <v>FONDO DE POLIURETANO</v>
          </cell>
        </row>
        <row r="405">
          <cell r="A405">
            <v>10553</v>
          </cell>
          <cell r="E405" t="str">
            <v>FONDO DE POLIURETANO</v>
          </cell>
        </row>
        <row r="406">
          <cell r="A406">
            <v>10581</v>
          </cell>
          <cell r="E406" t="str">
            <v>FONDO DE POLIURETANO</v>
          </cell>
        </row>
        <row r="407">
          <cell r="A407">
            <v>10583</v>
          </cell>
          <cell r="E407" t="str">
            <v>FONDO DE POLIURETANO</v>
          </cell>
        </row>
        <row r="408">
          <cell r="A408">
            <v>10584</v>
          </cell>
          <cell r="E408" t="str">
            <v>FONDO DE POLIURETANO</v>
          </cell>
        </row>
        <row r="409">
          <cell r="A409">
            <v>10585</v>
          </cell>
          <cell r="E409" t="str">
            <v>FONDO DE POLIURETANO</v>
          </cell>
        </row>
        <row r="410">
          <cell r="A410">
            <v>10591</v>
          </cell>
          <cell r="E410" t="str">
            <v>FONDO DE POLIURETANO</v>
          </cell>
        </row>
        <row r="411">
          <cell r="A411">
            <v>10593</v>
          </cell>
          <cell r="E411" t="str">
            <v>FONDO DE POLIURETANO</v>
          </cell>
        </row>
        <row r="412">
          <cell r="A412">
            <v>10641</v>
          </cell>
          <cell r="E412" t="str">
            <v>PINTURA PARA ALBERCAS</v>
          </cell>
        </row>
        <row r="413">
          <cell r="A413">
            <v>10643</v>
          </cell>
          <cell r="E413" t="str">
            <v>PINTURA PARA ALBERCAS</v>
          </cell>
        </row>
        <row r="414">
          <cell r="A414">
            <v>10644</v>
          </cell>
          <cell r="E414" t="str">
            <v>PINTURA PARA ALBERCAS</v>
          </cell>
        </row>
        <row r="415">
          <cell r="A415">
            <v>10961</v>
          </cell>
          <cell r="E415" t="str">
            <v>PINTURA PARA ALBERCAS</v>
          </cell>
        </row>
        <row r="416">
          <cell r="A416">
            <v>10980</v>
          </cell>
          <cell r="E416" t="str">
            <v>NEGRO CHASIS</v>
          </cell>
        </row>
        <row r="417">
          <cell r="A417">
            <v>10981</v>
          </cell>
          <cell r="E417" t="str">
            <v>NEGRO CHASIS</v>
          </cell>
        </row>
        <row r="418">
          <cell r="A418">
            <v>10983</v>
          </cell>
          <cell r="E418" t="str">
            <v>NEGRO CHASIS</v>
          </cell>
        </row>
        <row r="419">
          <cell r="A419">
            <v>11054</v>
          </cell>
          <cell r="E419" t="str">
            <v>TINTAS BASE SOLVENTE P/MADERA</v>
          </cell>
        </row>
        <row r="420">
          <cell r="A420">
            <v>11164</v>
          </cell>
          <cell r="E420" t="str">
            <v>TINTAS BASE SOLVENTE P/MADERA</v>
          </cell>
        </row>
        <row r="421">
          <cell r="A421">
            <v>11201</v>
          </cell>
          <cell r="E421" t="str">
            <v>TAPAPOROS Y RESANES PARA MADER</v>
          </cell>
        </row>
        <row r="422">
          <cell r="A422">
            <v>11203</v>
          </cell>
          <cell r="E422" t="str">
            <v>TAPAPOROS Y RESANES PARA MADER</v>
          </cell>
        </row>
        <row r="423">
          <cell r="A423">
            <v>11204</v>
          </cell>
          <cell r="E423" t="str">
            <v>TAPAPOROS Y RESANES PARA MADER</v>
          </cell>
        </row>
        <row r="424">
          <cell r="A424">
            <v>11314</v>
          </cell>
          <cell r="E424" t="str">
            <v>MANCHAS PARA MADERA</v>
          </cell>
        </row>
        <row r="425">
          <cell r="A425">
            <v>11324</v>
          </cell>
          <cell r="E425" t="str">
            <v>MANCHAS PARA MADERA</v>
          </cell>
        </row>
        <row r="426">
          <cell r="A426">
            <v>11334</v>
          </cell>
          <cell r="E426" t="str">
            <v>MANCHAS PARA MADERA</v>
          </cell>
        </row>
        <row r="427">
          <cell r="A427">
            <v>11354</v>
          </cell>
          <cell r="E427" t="str">
            <v>MANCHAS PARA MADERA</v>
          </cell>
        </row>
        <row r="428">
          <cell r="A428">
            <v>11364</v>
          </cell>
          <cell r="E428" t="str">
            <v>MANCHAS PARA MADERA</v>
          </cell>
        </row>
        <row r="429">
          <cell r="A429">
            <v>11404</v>
          </cell>
          <cell r="E429" t="str">
            <v>MANCHAS PARA MADERA</v>
          </cell>
        </row>
        <row r="430">
          <cell r="A430">
            <v>11424</v>
          </cell>
          <cell r="E430" t="str">
            <v>MANCHAS PARA MADERA</v>
          </cell>
        </row>
        <row r="431">
          <cell r="A431">
            <v>11444</v>
          </cell>
          <cell r="E431" t="str">
            <v>MANCHAS PARA MADERA</v>
          </cell>
        </row>
        <row r="432">
          <cell r="A432">
            <v>11453</v>
          </cell>
          <cell r="E432" t="str">
            <v>MANCHAS PARA MADERA</v>
          </cell>
        </row>
        <row r="433">
          <cell r="A433">
            <v>11454</v>
          </cell>
          <cell r="E433" t="str">
            <v>TINTAS AL ACEITE P/MADERA</v>
          </cell>
        </row>
        <row r="434">
          <cell r="A434">
            <v>11463</v>
          </cell>
          <cell r="E434" t="str">
            <v>MANCHAS PARA MADERA</v>
          </cell>
        </row>
        <row r="435">
          <cell r="A435">
            <v>11464</v>
          </cell>
          <cell r="E435" t="str">
            <v>MANCHAS PARA MADERA</v>
          </cell>
        </row>
        <row r="436">
          <cell r="A436">
            <v>11481</v>
          </cell>
          <cell r="E436" t="str">
            <v>MANCHAS PARA MADERA</v>
          </cell>
        </row>
        <row r="437">
          <cell r="A437">
            <v>11483</v>
          </cell>
          <cell r="E437" t="str">
            <v>MANCHAS PARA MADERA</v>
          </cell>
        </row>
        <row r="438">
          <cell r="A438">
            <v>11484</v>
          </cell>
          <cell r="E438" t="str">
            <v>TINTAS AL ACEITE P/MADERA</v>
          </cell>
        </row>
        <row r="439">
          <cell r="A439">
            <v>11514</v>
          </cell>
          <cell r="E439" t="str">
            <v>TINTAS BASE SOLVENTE P/MADERA</v>
          </cell>
        </row>
        <row r="440">
          <cell r="A440">
            <v>11521</v>
          </cell>
          <cell r="E440" t="str">
            <v>TINTAS BASE SOLVENTE P/MADERA</v>
          </cell>
        </row>
        <row r="441">
          <cell r="A441">
            <v>11524</v>
          </cell>
          <cell r="E441" t="str">
            <v>TINTAS BASE SOLVENTE P/MADERA</v>
          </cell>
        </row>
        <row r="442">
          <cell r="A442">
            <v>11534</v>
          </cell>
          <cell r="E442" t="str">
            <v>TINTAS BASE SOLVENTE P/MADERA</v>
          </cell>
        </row>
        <row r="443">
          <cell r="A443">
            <v>11551</v>
          </cell>
          <cell r="E443" t="str">
            <v>TINTAS BASE SOLVENTE P/MADERA</v>
          </cell>
        </row>
        <row r="444">
          <cell r="A444">
            <v>11553</v>
          </cell>
          <cell r="E444" t="str">
            <v>TINTAS BASE SOLVENTE P/MADERA</v>
          </cell>
        </row>
        <row r="445">
          <cell r="A445">
            <v>11554</v>
          </cell>
          <cell r="E445" t="str">
            <v>TINTAS BASE SOLVENTE P/MADERA</v>
          </cell>
        </row>
        <row r="446">
          <cell r="A446">
            <v>11564</v>
          </cell>
          <cell r="E446" t="str">
            <v>TINTAS BASE SOLVENTE P/MADERA</v>
          </cell>
        </row>
        <row r="447">
          <cell r="A447">
            <v>11594</v>
          </cell>
          <cell r="E447" t="str">
            <v>TINTAS BASE SOLVENTE P/MADERA</v>
          </cell>
        </row>
        <row r="448">
          <cell r="A448">
            <v>11601</v>
          </cell>
          <cell r="E448" t="str">
            <v>TINTAS BASE SOLVENTE P/MADERA</v>
          </cell>
        </row>
        <row r="449">
          <cell r="A449">
            <v>11603</v>
          </cell>
          <cell r="E449" t="str">
            <v>TINTAS BASE SOLVENTE P/MADERA</v>
          </cell>
        </row>
        <row r="450">
          <cell r="A450">
            <v>11604</v>
          </cell>
          <cell r="E450" t="str">
            <v>TINTAS BASE SOLVENTE P/MADERA</v>
          </cell>
        </row>
        <row r="451">
          <cell r="A451">
            <v>11606</v>
          </cell>
          <cell r="E451" t="str">
            <v>TINTAS BASE SOLVENTE P/MADERA</v>
          </cell>
        </row>
        <row r="452">
          <cell r="A452">
            <v>11621</v>
          </cell>
          <cell r="E452" t="str">
            <v>TINTAS BASE SOLVENTE P/MADERA</v>
          </cell>
        </row>
        <row r="453">
          <cell r="A453">
            <v>11623</v>
          </cell>
          <cell r="E453" t="str">
            <v>TINTAS BASE SOLVENTE P/MADERA</v>
          </cell>
        </row>
        <row r="454">
          <cell r="A454">
            <v>11624</v>
          </cell>
          <cell r="E454" t="str">
            <v>TINTAS BASE SOLVENTE P/MADERA</v>
          </cell>
        </row>
        <row r="455">
          <cell r="A455">
            <v>11625</v>
          </cell>
          <cell r="E455" t="str">
            <v>TINTAS BASE SOLVENTE P/MADERA</v>
          </cell>
        </row>
        <row r="456">
          <cell r="A456">
            <v>11626</v>
          </cell>
          <cell r="E456" t="str">
            <v>TINTAS BASE SOLVENTE P/MADERA</v>
          </cell>
        </row>
        <row r="457">
          <cell r="A457">
            <v>11641</v>
          </cell>
          <cell r="E457" t="str">
            <v>TINTAS BASE SOLVENTE P/MADERA</v>
          </cell>
        </row>
        <row r="458">
          <cell r="A458">
            <v>11643</v>
          </cell>
          <cell r="E458" t="str">
            <v>TINTAS BASE SOLVENTE P/MADERA</v>
          </cell>
        </row>
        <row r="459">
          <cell r="A459">
            <v>11644</v>
          </cell>
          <cell r="E459" t="str">
            <v>TINTAS BASE SOLVENTE P/MADERA</v>
          </cell>
        </row>
        <row r="460">
          <cell r="A460">
            <v>11651</v>
          </cell>
          <cell r="E460" t="str">
            <v>TINTAS BASE SOLVENTE P/MADERA</v>
          </cell>
        </row>
        <row r="461">
          <cell r="A461">
            <v>11653</v>
          </cell>
          <cell r="E461" t="str">
            <v>TINTAS BASE SOLVENTE P/MADERA</v>
          </cell>
        </row>
        <row r="462">
          <cell r="A462">
            <v>11654</v>
          </cell>
          <cell r="E462" t="str">
            <v>TINTAS BASE SOLVENTE P/MADERA</v>
          </cell>
        </row>
        <row r="463">
          <cell r="A463">
            <v>11655</v>
          </cell>
          <cell r="E463" t="str">
            <v>TINTAS BASE SOLVENTE P/MADERA</v>
          </cell>
        </row>
        <row r="464">
          <cell r="A464">
            <v>11656</v>
          </cell>
          <cell r="E464" t="str">
            <v>TINTAS BASE SOLVENTE P/MADERA</v>
          </cell>
        </row>
        <row r="465">
          <cell r="A465">
            <v>11661</v>
          </cell>
          <cell r="E465" t="str">
            <v>TINTAS BASE SOLVENTE P/MADERA</v>
          </cell>
        </row>
        <row r="466">
          <cell r="A466">
            <v>11663</v>
          </cell>
          <cell r="E466" t="str">
            <v>TINTAS BASE SOLVENTE P/MADERA</v>
          </cell>
        </row>
        <row r="467">
          <cell r="A467">
            <v>11664</v>
          </cell>
          <cell r="E467" t="str">
            <v>TINTAS BASE SOLVENTE P/MADERA</v>
          </cell>
        </row>
        <row r="468">
          <cell r="A468">
            <v>11674</v>
          </cell>
          <cell r="E468" t="str">
            <v>TINTAS BASE SOLVENTE P/MADERA</v>
          </cell>
        </row>
        <row r="469">
          <cell r="A469">
            <v>11691</v>
          </cell>
          <cell r="E469" t="str">
            <v>TINTAS BASE SOLVENTE P/MADERA</v>
          </cell>
        </row>
        <row r="470">
          <cell r="A470">
            <v>11693</v>
          </cell>
          <cell r="E470" t="str">
            <v>TINTAS BASE SOLVENTE P/MADERA</v>
          </cell>
        </row>
        <row r="471">
          <cell r="A471">
            <v>11694</v>
          </cell>
          <cell r="E471" t="str">
            <v>TINTAS BASE SOLVENTE P/MADERA</v>
          </cell>
        </row>
        <row r="472">
          <cell r="A472">
            <v>11695</v>
          </cell>
          <cell r="E472" t="str">
            <v>TINTAS BASE SOLVENTE P/MADERA</v>
          </cell>
        </row>
        <row r="473">
          <cell r="A473">
            <v>11696</v>
          </cell>
          <cell r="E473" t="str">
            <v>TINTAS BASE SOLVENTE P/MADERA</v>
          </cell>
        </row>
        <row r="474">
          <cell r="A474">
            <v>11701</v>
          </cell>
          <cell r="E474" t="str">
            <v>TINTAS BASE SOLVENTE P/MADERA</v>
          </cell>
        </row>
        <row r="475">
          <cell r="A475">
            <v>11703</v>
          </cell>
          <cell r="E475" t="str">
            <v>TINTAS BASE SOLVENTE P/MADERA</v>
          </cell>
        </row>
        <row r="476">
          <cell r="A476">
            <v>11711</v>
          </cell>
          <cell r="E476" t="str">
            <v>TINTAS BASE SOLVENTE P/MADERA</v>
          </cell>
        </row>
        <row r="477">
          <cell r="A477">
            <v>11713</v>
          </cell>
          <cell r="E477" t="str">
            <v>TINTAS BASE SOLVENTE P/MADERA</v>
          </cell>
        </row>
        <row r="478">
          <cell r="A478">
            <v>11731</v>
          </cell>
          <cell r="E478" t="str">
            <v>TINTAS BASE SOLVENTE P/MADERA</v>
          </cell>
        </row>
        <row r="479">
          <cell r="A479">
            <v>11741</v>
          </cell>
          <cell r="E479" t="str">
            <v>TINTAS BASE SOLVENTE P/MADERA</v>
          </cell>
        </row>
        <row r="480">
          <cell r="A480">
            <v>11743</v>
          </cell>
          <cell r="E480" t="str">
            <v>TINTAS BASE SOLVENTE P/MADERA</v>
          </cell>
        </row>
        <row r="481">
          <cell r="A481">
            <v>11801</v>
          </cell>
          <cell r="E481" t="str">
            <v>LACA NITRO AUTOMOTIVA</v>
          </cell>
        </row>
        <row r="482">
          <cell r="A482">
            <v>11803</v>
          </cell>
          <cell r="E482" t="str">
            <v>LACA NITRO AUTOMOTIVA</v>
          </cell>
        </row>
        <row r="483">
          <cell r="A483">
            <v>11823</v>
          </cell>
          <cell r="E483" t="str">
            <v>LACA NITRO AUTOMOTIVA</v>
          </cell>
        </row>
        <row r="484">
          <cell r="A484">
            <v>11853</v>
          </cell>
          <cell r="E484" t="str">
            <v>LACA NITRO AUTOMOTIVA</v>
          </cell>
        </row>
        <row r="485">
          <cell r="A485">
            <v>11883</v>
          </cell>
          <cell r="E485" t="str">
            <v>LACA NITRO AUTOMOTIVA</v>
          </cell>
        </row>
        <row r="486">
          <cell r="A486">
            <v>11893</v>
          </cell>
          <cell r="E486" t="str">
            <v>LACA NITRO AUTOMOTIVA</v>
          </cell>
        </row>
        <row r="487">
          <cell r="A487">
            <v>12710</v>
          </cell>
          <cell r="E487" t="str">
            <v>SELLADORES DE NITROCELULOSA</v>
          </cell>
        </row>
        <row r="488">
          <cell r="A488">
            <v>12711</v>
          </cell>
          <cell r="E488" t="str">
            <v>SELLADORES DE NITROCELULOSA</v>
          </cell>
        </row>
        <row r="489">
          <cell r="A489">
            <v>12713</v>
          </cell>
          <cell r="E489" t="str">
            <v>SELLADORES DE NITROCELULOSA</v>
          </cell>
        </row>
        <row r="490">
          <cell r="A490">
            <v>12721</v>
          </cell>
          <cell r="E490" t="str">
            <v>SELLADORES ACRILICOS</v>
          </cell>
        </row>
        <row r="491">
          <cell r="A491">
            <v>12723</v>
          </cell>
          <cell r="E491" t="str">
            <v>SELLADORES ACRILICOS</v>
          </cell>
        </row>
        <row r="492">
          <cell r="A492">
            <v>12724</v>
          </cell>
          <cell r="E492" t="str">
            <v>SELLADORES ACRILICOS</v>
          </cell>
        </row>
        <row r="493">
          <cell r="A493">
            <v>12751</v>
          </cell>
          <cell r="E493" t="str">
            <v>SELLADORES DE NITROCELULOSA</v>
          </cell>
        </row>
        <row r="494">
          <cell r="A494">
            <v>12753</v>
          </cell>
          <cell r="E494" t="str">
            <v>SELLADORES DE NITROCELULOSA</v>
          </cell>
        </row>
        <row r="495">
          <cell r="A495">
            <v>12754</v>
          </cell>
          <cell r="E495" t="str">
            <v>SELLADORES DE NITROCELULOSA</v>
          </cell>
        </row>
        <row r="496">
          <cell r="A496">
            <v>12760</v>
          </cell>
          <cell r="E496" t="str">
            <v>SELLADORES DE NITROCELULOSA</v>
          </cell>
        </row>
        <row r="497">
          <cell r="A497">
            <v>12761</v>
          </cell>
          <cell r="E497" t="str">
            <v>SELLADORES DE NITROCELULOSA</v>
          </cell>
        </row>
        <row r="498">
          <cell r="A498">
            <v>12763</v>
          </cell>
          <cell r="E498" t="str">
            <v>SELLADORES DE NITROCELULOSA</v>
          </cell>
        </row>
        <row r="499">
          <cell r="A499">
            <v>12764</v>
          </cell>
          <cell r="E499" t="str">
            <v>SELLADORES DE NITROCELULOSA</v>
          </cell>
        </row>
        <row r="500">
          <cell r="A500">
            <v>12770</v>
          </cell>
          <cell r="E500" t="str">
            <v>SELLADORES DE NITROCELULOSA</v>
          </cell>
        </row>
        <row r="501">
          <cell r="A501">
            <v>12771</v>
          </cell>
          <cell r="E501" t="str">
            <v>SELLADORES DE NITROCELULOSA</v>
          </cell>
        </row>
        <row r="502">
          <cell r="A502">
            <v>12773</v>
          </cell>
          <cell r="E502" t="str">
            <v>SELLADORES DE NITROCELULOSA</v>
          </cell>
        </row>
        <row r="503">
          <cell r="A503">
            <v>12774</v>
          </cell>
          <cell r="E503" t="str">
            <v>SELLADORES DE NITROCELULOSA</v>
          </cell>
        </row>
        <row r="504">
          <cell r="A504">
            <v>12790</v>
          </cell>
          <cell r="E504" t="str">
            <v>SELLADORES DE NITROCELULOSA</v>
          </cell>
        </row>
        <row r="505">
          <cell r="A505">
            <v>12791</v>
          </cell>
          <cell r="E505" t="str">
            <v>SELLADORES DE NITROCELULOSA</v>
          </cell>
        </row>
        <row r="506">
          <cell r="A506">
            <v>12793</v>
          </cell>
          <cell r="E506" t="str">
            <v>SELLADORES DE NITROCELULOSA</v>
          </cell>
        </row>
        <row r="507">
          <cell r="A507">
            <v>12794</v>
          </cell>
          <cell r="E507" t="str">
            <v>SELLADORES DE NITROCELULOSA</v>
          </cell>
        </row>
        <row r="508">
          <cell r="A508">
            <v>12860</v>
          </cell>
          <cell r="E508" t="str">
            <v>SELLADORES DE NITROCELULOSA</v>
          </cell>
        </row>
        <row r="509">
          <cell r="A509">
            <v>12864</v>
          </cell>
          <cell r="E509" t="str">
            <v>SELLADORES DE NITROCELULOSA</v>
          </cell>
        </row>
        <row r="510">
          <cell r="A510">
            <v>13000</v>
          </cell>
          <cell r="E510" t="str">
            <v>LACA NITRO INDUSTRIAL</v>
          </cell>
        </row>
        <row r="511">
          <cell r="A511">
            <v>13001</v>
          </cell>
          <cell r="E511" t="str">
            <v>LACA NITRO INDUSTRIAL</v>
          </cell>
        </row>
        <row r="512">
          <cell r="A512">
            <v>13003</v>
          </cell>
          <cell r="E512" t="str">
            <v>LACA NITRO INDUSTRIAL</v>
          </cell>
        </row>
        <row r="513">
          <cell r="A513">
            <v>13004</v>
          </cell>
          <cell r="E513" t="str">
            <v>LACA NITRO INDUSTRIAL</v>
          </cell>
        </row>
        <row r="514">
          <cell r="A514">
            <v>13151</v>
          </cell>
          <cell r="E514" t="str">
            <v>LACA NITRO INDUSTRIAL</v>
          </cell>
        </row>
        <row r="515">
          <cell r="A515">
            <v>13153</v>
          </cell>
          <cell r="E515" t="str">
            <v>LACA NITRO INDUSTRIAL</v>
          </cell>
        </row>
        <row r="516">
          <cell r="A516">
            <v>13154</v>
          </cell>
          <cell r="E516" t="str">
            <v>LACA NITRO INDUSTRIAL</v>
          </cell>
        </row>
        <row r="517">
          <cell r="A517">
            <v>13161</v>
          </cell>
          <cell r="E517" t="str">
            <v>LACA NITRO INDUSTRIAL</v>
          </cell>
        </row>
        <row r="518">
          <cell r="A518">
            <v>13261</v>
          </cell>
          <cell r="E518" t="str">
            <v>LACA NITRO INDUSTRIAL</v>
          </cell>
        </row>
        <row r="519">
          <cell r="A519">
            <v>13263</v>
          </cell>
          <cell r="E519" t="str">
            <v>LACA NITRO INDUSTRIAL</v>
          </cell>
        </row>
        <row r="520">
          <cell r="A520">
            <v>13264</v>
          </cell>
          <cell r="E520" t="str">
            <v>LACA NITRO INDUSTRIAL</v>
          </cell>
        </row>
        <row r="521">
          <cell r="A521">
            <v>13351</v>
          </cell>
          <cell r="E521" t="str">
            <v>LACA NITRO INDUSTRIAL</v>
          </cell>
        </row>
        <row r="522">
          <cell r="A522">
            <v>13353</v>
          </cell>
          <cell r="E522" t="str">
            <v>LACA NITRO INDUSTRIAL</v>
          </cell>
        </row>
        <row r="523">
          <cell r="A523">
            <v>13354</v>
          </cell>
          <cell r="E523" t="str">
            <v>LACA NITRO INDUSTRIAL</v>
          </cell>
        </row>
        <row r="524">
          <cell r="A524">
            <v>13440</v>
          </cell>
          <cell r="E524" t="str">
            <v>LACA NITRO INDUSTRIAL</v>
          </cell>
        </row>
        <row r="525">
          <cell r="A525">
            <v>13441</v>
          </cell>
          <cell r="E525" t="str">
            <v>LACA NITRO INDUSTRIAL</v>
          </cell>
        </row>
        <row r="526">
          <cell r="A526">
            <v>13443</v>
          </cell>
          <cell r="E526" t="str">
            <v>LACA NITRO INDUSTRIAL</v>
          </cell>
        </row>
        <row r="527">
          <cell r="A527">
            <v>13444</v>
          </cell>
          <cell r="E527" t="str">
            <v>LACA NITRO INDUSTRIAL</v>
          </cell>
        </row>
        <row r="528">
          <cell r="A528">
            <v>13471</v>
          </cell>
          <cell r="E528" t="str">
            <v>LACA NITRO INDUSTRIAL</v>
          </cell>
        </row>
        <row r="529">
          <cell r="A529">
            <v>13473</v>
          </cell>
          <cell r="E529" t="str">
            <v>LACA NITRO INDUSTRIAL</v>
          </cell>
        </row>
        <row r="530">
          <cell r="A530">
            <v>13474</v>
          </cell>
          <cell r="E530" t="str">
            <v>LACA NITRO INDUSTRIAL</v>
          </cell>
        </row>
        <row r="531">
          <cell r="A531">
            <v>13500</v>
          </cell>
          <cell r="E531" t="str">
            <v>LACA NITRO INDUSTRIAL</v>
          </cell>
        </row>
        <row r="532">
          <cell r="A532">
            <v>13501</v>
          </cell>
          <cell r="E532" t="str">
            <v>LACA NITRO INDUSTRIAL</v>
          </cell>
        </row>
        <row r="533">
          <cell r="A533">
            <v>13503</v>
          </cell>
          <cell r="E533" t="str">
            <v>LACA NITRO INDUSTRIAL</v>
          </cell>
        </row>
        <row r="534">
          <cell r="A534">
            <v>13504</v>
          </cell>
          <cell r="E534" t="str">
            <v>LACA NITRO INDUSTRIAL</v>
          </cell>
        </row>
        <row r="535">
          <cell r="A535">
            <v>13520</v>
          </cell>
          <cell r="E535" t="str">
            <v>LACA NITRO INDUSTRIAL</v>
          </cell>
        </row>
        <row r="536">
          <cell r="A536">
            <v>13521</v>
          </cell>
          <cell r="E536" t="str">
            <v>LACA NITRO INDUSTRIAL</v>
          </cell>
        </row>
        <row r="537">
          <cell r="A537">
            <v>13571</v>
          </cell>
          <cell r="E537" t="str">
            <v>LACA NITRO INDUSTRIAL</v>
          </cell>
        </row>
        <row r="538">
          <cell r="A538">
            <v>13580</v>
          </cell>
          <cell r="E538" t="str">
            <v>LACA NITRO INDUSTRIAL</v>
          </cell>
        </row>
        <row r="539">
          <cell r="A539">
            <v>13581</v>
          </cell>
          <cell r="E539" t="str">
            <v>LACA NITRO INDUSTRIAL</v>
          </cell>
        </row>
        <row r="540">
          <cell r="A540">
            <v>13583</v>
          </cell>
          <cell r="E540" t="str">
            <v>LACA NITRO INDUSTRIAL</v>
          </cell>
        </row>
        <row r="541">
          <cell r="A541">
            <v>13584</v>
          </cell>
          <cell r="E541" t="str">
            <v>LACA NITRO INDUSTRIAL</v>
          </cell>
        </row>
        <row r="542">
          <cell r="A542">
            <v>13620</v>
          </cell>
          <cell r="E542" t="str">
            <v>LACA NITRO INDUSTRIAL</v>
          </cell>
        </row>
        <row r="543">
          <cell r="A543">
            <v>13621</v>
          </cell>
          <cell r="E543" t="str">
            <v>LACA NITRO INDUSTRIAL</v>
          </cell>
        </row>
        <row r="544">
          <cell r="A544">
            <v>13623</v>
          </cell>
          <cell r="E544" t="str">
            <v>LACA NITRO INDUSTRIAL</v>
          </cell>
        </row>
        <row r="545">
          <cell r="A545">
            <v>13624</v>
          </cell>
          <cell r="E545" t="str">
            <v>LACA NITRO INDUSTRIAL</v>
          </cell>
        </row>
        <row r="546">
          <cell r="A546">
            <v>13771</v>
          </cell>
          <cell r="E546" t="str">
            <v>LACA NITRO INDUSTRIAL</v>
          </cell>
        </row>
        <row r="547">
          <cell r="A547">
            <v>13773</v>
          </cell>
          <cell r="E547" t="str">
            <v>LACA NITRO INDUSTRIAL</v>
          </cell>
        </row>
        <row r="548">
          <cell r="A548">
            <v>13774</v>
          </cell>
          <cell r="E548" t="str">
            <v>LACA NITRO INDUSTRIAL</v>
          </cell>
        </row>
        <row r="549">
          <cell r="A549">
            <v>13811</v>
          </cell>
          <cell r="E549" t="str">
            <v>LACA NITRO TRANSPARENTE SIGLO</v>
          </cell>
        </row>
        <row r="550">
          <cell r="A550">
            <v>13813</v>
          </cell>
          <cell r="E550" t="str">
            <v>LACA NITRO TRANSPARENTE SIGLO</v>
          </cell>
        </row>
        <row r="551">
          <cell r="A551">
            <v>13814</v>
          </cell>
          <cell r="E551" t="str">
            <v>LACA NITRO TRANSPARENTE SIGLO</v>
          </cell>
        </row>
        <row r="552">
          <cell r="A552">
            <v>13821</v>
          </cell>
          <cell r="E552" t="str">
            <v>LACA NITRO TRANSPARENTE SIGLO</v>
          </cell>
        </row>
        <row r="553">
          <cell r="A553">
            <v>13823</v>
          </cell>
          <cell r="E553" t="str">
            <v>LACA NITRO TRANSPARENTE SIGLO</v>
          </cell>
        </row>
        <row r="554">
          <cell r="A554">
            <v>13833</v>
          </cell>
          <cell r="E554" t="str">
            <v>LACA NITRO TRANSPARENTE SIGLO</v>
          </cell>
        </row>
        <row r="555">
          <cell r="A555">
            <v>13850</v>
          </cell>
          <cell r="E555" t="str">
            <v>LACA NITRO TRANSPARENTE SIGLO</v>
          </cell>
        </row>
        <row r="556">
          <cell r="A556">
            <v>13851</v>
          </cell>
          <cell r="E556" t="str">
            <v>LACA NITRO TRANSPARENTE SIGLO</v>
          </cell>
        </row>
        <row r="557">
          <cell r="A557">
            <v>13853</v>
          </cell>
          <cell r="E557" t="str">
            <v>LACA NITRO TRANSPARENTE SIGLO</v>
          </cell>
        </row>
        <row r="558">
          <cell r="A558">
            <v>13854</v>
          </cell>
          <cell r="E558" t="str">
            <v>LACA NITRO TRANSPARENTE SIGLO</v>
          </cell>
        </row>
        <row r="559">
          <cell r="A559">
            <v>13860</v>
          </cell>
          <cell r="E559" t="str">
            <v>LACA ACRILICA</v>
          </cell>
        </row>
        <row r="560">
          <cell r="A560">
            <v>13861</v>
          </cell>
          <cell r="E560" t="str">
            <v>LACA ACRILICA</v>
          </cell>
        </row>
        <row r="561">
          <cell r="A561">
            <v>13863</v>
          </cell>
          <cell r="E561" t="str">
            <v>LACA ACRILICA</v>
          </cell>
        </row>
        <row r="562">
          <cell r="A562">
            <v>13871</v>
          </cell>
          <cell r="E562" t="str">
            <v>LACA NITRO TRANSPARENTE SIGLO</v>
          </cell>
        </row>
        <row r="563">
          <cell r="A563">
            <v>13901</v>
          </cell>
          <cell r="E563" t="str">
            <v>MATIZANTE DE NITROCELULOSA</v>
          </cell>
        </row>
        <row r="564">
          <cell r="A564">
            <v>13903</v>
          </cell>
          <cell r="E564" t="str">
            <v>MATIZANTE DE NITROCELULOSA</v>
          </cell>
        </row>
        <row r="565">
          <cell r="A565">
            <v>13904</v>
          </cell>
          <cell r="E565" t="str">
            <v>MATIZANTE DE NITROCELULOSA</v>
          </cell>
        </row>
        <row r="566">
          <cell r="A566">
            <v>13931</v>
          </cell>
          <cell r="E566" t="str">
            <v>MATIZANTES ALQUIDALICOS</v>
          </cell>
        </row>
        <row r="567">
          <cell r="A567">
            <v>13933</v>
          </cell>
          <cell r="E567" t="str">
            <v>MATIZANTES ALQUIDALICOS</v>
          </cell>
        </row>
        <row r="568">
          <cell r="A568">
            <v>13934</v>
          </cell>
          <cell r="E568" t="str">
            <v>MATIZANTES ALQUIDALICOS</v>
          </cell>
        </row>
        <row r="569">
          <cell r="A569">
            <v>13970</v>
          </cell>
          <cell r="E569" t="str">
            <v>SELLADORES DE POLIURETANO</v>
          </cell>
        </row>
        <row r="570">
          <cell r="A570">
            <v>13971</v>
          </cell>
          <cell r="E570" t="str">
            <v>SELLADORES DE POLIURETANO</v>
          </cell>
        </row>
        <row r="571">
          <cell r="A571">
            <v>13973</v>
          </cell>
          <cell r="E571" t="str">
            <v>SELLADORES DE POLIURETANO</v>
          </cell>
        </row>
        <row r="572">
          <cell r="A572">
            <v>13974</v>
          </cell>
          <cell r="E572" t="str">
            <v>SELLADORES DE POLIURETANO</v>
          </cell>
        </row>
        <row r="573">
          <cell r="A573">
            <v>13990</v>
          </cell>
          <cell r="E573" t="str">
            <v>LACA NITRO INDUSTRIAL</v>
          </cell>
        </row>
        <row r="574">
          <cell r="A574">
            <v>13991</v>
          </cell>
          <cell r="E574" t="str">
            <v>LACA NITRO INDUSTRIAL</v>
          </cell>
        </row>
        <row r="575">
          <cell r="A575">
            <v>13993</v>
          </cell>
          <cell r="E575" t="str">
            <v>LACA NITRO INDUSTRIAL</v>
          </cell>
        </row>
        <row r="576">
          <cell r="A576">
            <v>13994</v>
          </cell>
          <cell r="E576" t="str">
            <v>LACA NITRO INDUSTRIAL</v>
          </cell>
        </row>
        <row r="577">
          <cell r="A577">
            <v>13995</v>
          </cell>
          <cell r="E577" t="str">
            <v>LACA NITRO INDUSTRIAL</v>
          </cell>
        </row>
        <row r="578">
          <cell r="A578">
            <v>14001</v>
          </cell>
          <cell r="E578" t="str">
            <v>PRIMARIOS ESTRUCTURALES ALQUID</v>
          </cell>
        </row>
        <row r="579">
          <cell r="A579">
            <v>14241</v>
          </cell>
          <cell r="E579" t="str">
            <v>BARNIZ DE POLIURETANO SIGLO</v>
          </cell>
        </row>
        <row r="580">
          <cell r="A580">
            <v>14243</v>
          </cell>
          <cell r="E580" t="str">
            <v>BARNIZ DE POLIURETANO SIGLO</v>
          </cell>
        </row>
        <row r="581">
          <cell r="A581">
            <v>14244</v>
          </cell>
          <cell r="E581" t="str">
            <v>BARNIZ DE POLIURETANO SIGLO</v>
          </cell>
        </row>
        <row r="582">
          <cell r="A582">
            <v>14581</v>
          </cell>
          <cell r="E582" t="str">
            <v>SICLAS PARA MADERA SIGLO</v>
          </cell>
        </row>
        <row r="583">
          <cell r="A583">
            <v>14601</v>
          </cell>
          <cell r="E583" t="str">
            <v>SICLAS PARA MADERA SIGLO</v>
          </cell>
        </row>
        <row r="584">
          <cell r="A584">
            <v>14603</v>
          </cell>
          <cell r="E584" t="str">
            <v>SICLAS PARA MADERA SIGLO</v>
          </cell>
        </row>
        <row r="585">
          <cell r="A585">
            <v>14691</v>
          </cell>
          <cell r="E585" t="str">
            <v>SICLA Y DIPLOMADO</v>
          </cell>
        </row>
        <row r="586">
          <cell r="A586">
            <v>14693</v>
          </cell>
          <cell r="E586" t="str">
            <v>SICLA Y DIPLOMADO</v>
          </cell>
        </row>
        <row r="587">
          <cell r="A587">
            <v>14711</v>
          </cell>
          <cell r="E587" t="str">
            <v>SELLADORES DE POLIURETANO</v>
          </cell>
        </row>
        <row r="588">
          <cell r="A588">
            <v>14721</v>
          </cell>
          <cell r="E588" t="str">
            <v>SELLADORES DE POLIURETANO</v>
          </cell>
        </row>
        <row r="589">
          <cell r="A589">
            <v>14723</v>
          </cell>
          <cell r="E589" t="str">
            <v>SELLADORES DE POLIURETANO</v>
          </cell>
        </row>
        <row r="590">
          <cell r="A590">
            <v>14724</v>
          </cell>
          <cell r="E590" t="str">
            <v>SELLADORES DE POLIURETANO</v>
          </cell>
        </row>
        <row r="591">
          <cell r="A591">
            <v>14731</v>
          </cell>
          <cell r="E591" t="str">
            <v>SELLADORES DE POLIURETANO</v>
          </cell>
        </row>
        <row r="592">
          <cell r="A592">
            <v>14733</v>
          </cell>
          <cell r="E592" t="str">
            <v>SELLADORES DE POLIURETANO</v>
          </cell>
        </row>
        <row r="593">
          <cell r="A593">
            <v>14734</v>
          </cell>
          <cell r="E593" t="str">
            <v>SELLADORES DE POLIURETANO</v>
          </cell>
        </row>
        <row r="594">
          <cell r="A594">
            <v>14761</v>
          </cell>
          <cell r="E594" t="str">
            <v>SELLADORES DE POLIURETANO</v>
          </cell>
        </row>
        <row r="595">
          <cell r="A595">
            <v>14763</v>
          </cell>
          <cell r="E595" t="str">
            <v>SELLADORES DE POLIURETANO</v>
          </cell>
        </row>
        <row r="596">
          <cell r="A596">
            <v>14764</v>
          </cell>
          <cell r="E596" t="str">
            <v>SELLADORES DE POLIURETANO</v>
          </cell>
        </row>
        <row r="597">
          <cell r="A597">
            <v>14801</v>
          </cell>
          <cell r="E597" t="str">
            <v>BARNIZ DE POLIURETANO SIGLO</v>
          </cell>
        </row>
        <row r="598">
          <cell r="A598">
            <v>14803</v>
          </cell>
          <cell r="E598" t="str">
            <v>BARNIZ DE POLIURETANO SIGLO</v>
          </cell>
        </row>
        <row r="599">
          <cell r="A599">
            <v>14804</v>
          </cell>
          <cell r="E599" t="str">
            <v>BARNIZ DE POLIURETANO SIGLO</v>
          </cell>
        </row>
        <row r="600">
          <cell r="A600">
            <v>14811</v>
          </cell>
          <cell r="E600" t="str">
            <v>BARNIZ DE POLIURETANO SIGLO</v>
          </cell>
        </row>
        <row r="601">
          <cell r="A601">
            <v>14821</v>
          </cell>
          <cell r="E601" t="str">
            <v>BARNIZ DE POLIURETANO SIGLO</v>
          </cell>
        </row>
        <row r="602">
          <cell r="A602">
            <v>14831</v>
          </cell>
          <cell r="E602" t="str">
            <v>BARNIZ DE POLIURETANO SIGLO</v>
          </cell>
        </row>
        <row r="603">
          <cell r="A603">
            <v>14833</v>
          </cell>
          <cell r="E603" t="str">
            <v>BARNIZ DE POLIURETANO SIGLO</v>
          </cell>
        </row>
        <row r="604">
          <cell r="A604">
            <v>14841</v>
          </cell>
          <cell r="E604" t="str">
            <v>BARNIZ DE POLIURETANO SIGLO</v>
          </cell>
        </row>
        <row r="605">
          <cell r="A605">
            <v>14843</v>
          </cell>
          <cell r="E605" t="str">
            <v>BARNIZ DE POLIURETANO SIGLO</v>
          </cell>
        </row>
        <row r="606">
          <cell r="A606">
            <v>14844</v>
          </cell>
          <cell r="E606" t="str">
            <v>BARNIZ DE POLIURETANO SIGLO</v>
          </cell>
        </row>
        <row r="607">
          <cell r="A607">
            <v>14881</v>
          </cell>
          <cell r="E607" t="str">
            <v>BARNIZ DE POLIURETANO SIGLO</v>
          </cell>
        </row>
        <row r="608">
          <cell r="A608">
            <v>14883</v>
          </cell>
          <cell r="E608" t="str">
            <v>BARNIZ DE POLIURETANO SIGLO</v>
          </cell>
        </row>
        <row r="609">
          <cell r="A609">
            <v>14884</v>
          </cell>
          <cell r="E609" t="str">
            <v>BARNIZ DE POLIURETANO SIGLO</v>
          </cell>
        </row>
        <row r="610">
          <cell r="A610">
            <v>14891</v>
          </cell>
          <cell r="E610" t="str">
            <v>BARNIZ DE POLIURETANO SIGLO</v>
          </cell>
        </row>
        <row r="611">
          <cell r="A611">
            <v>14911</v>
          </cell>
          <cell r="E611" t="str">
            <v>BARNIZ DE POLIURETANO SIGLO</v>
          </cell>
        </row>
        <row r="612">
          <cell r="A612">
            <v>14931</v>
          </cell>
          <cell r="E612" t="str">
            <v>BARNIZ DE POLIURETANO SIGLO</v>
          </cell>
        </row>
        <row r="613">
          <cell r="A613">
            <v>14933</v>
          </cell>
          <cell r="E613" t="str">
            <v>BARNIZ DE POLIURETANO SIGLO</v>
          </cell>
        </row>
        <row r="614">
          <cell r="A614">
            <v>14934</v>
          </cell>
          <cell r="E614" t="str">
            <v>BARNIZ DE POLIURETANO SIGLO</v>
          </cell>
        </row>
        <row r="615">
          <cell r="A615">
            <v>14943</v>
          </cell>
          <cell r="E615" t="str">
            <v>BARNIZ DE POLIURETANO SIGLO</v>
          </cell>
        </row>
        <row r="616">
          <cell r="A616">
            <v>14944</v>
          </cell>
          <cell r="E616" t="str">
            <v>BARNIZ DE POLIURETANO SIGLO</v>
          </cell>
        </row>
        <row r="617">
          <cell r="A617">
            <v>14946</v>
          </cell>
          <cell r="E617" t="str">
            <v>BARNIZ DE POLIURETANO SIGLO</v>
          </cell>
        </row>
        <row r="618">
          <cell r="A618">
            <v>14971</v>
          </cell>
          <cell r="E618" t="str">
            <v>BARNIZ DE POLIURETANO SIGLO</v>
          </cell>
        </row>
        <row r="619">
          <cell r="A619">
            <v>14973</v>
          </cell>
          <cell r="E619" t="str">
            <v>BARNIZ DE POLIURETANO SIGLO</v>
          </cell>
        </row>
        <row r="620">
          <cell r="A620">
            <v>14974</v>
          </cell>
          <cell r="E620" t="str">
            <v>BARNIZ DE POLIURETANO SIGLO</v>
          </cell>
        </row>
        <row r="621">
          <cell r="A621">
            <v>14975</v>
          </cell>
          <cell r="E621" t="str">
            <v>BARNIZ DE POLIURETANO SIGLO</v>
          </cell>
        </row>
        <row r="622">
          <cell r="A622">
            <v>15031</v>
          </cell>
          <cell r="E622" t="str">
            <v>SELLADOR - SELLAPRISA</v>
          </cell>
        </row>
        <row r="623">
          <cell r="A623">
            <v>15033</v>
          </cell>
          <cell r="E623" t="str">
            <v>SELLADOR - SELLAPRISA</v>
          </cell>
        </row>
        <row r="624">
          <cell r="A624">
            <v>15034</v>
          </cell>
          <cell r="E624" t="str">
            <v>SELLADOR - SELLAPRISA</v>
          </cell>
        </row>
        <row r="625">
          <cell r="A625">
            <v>15090</v>
          </cell>
          <cell r="E625" t="str">
            <v>PRIMARIOS ESTRUCTURALES ALQUID</v>
          </cell>
        </row>
        <row r="626">
          <cell r="A626">
            <v>15091</v>
          </cell>
          <cell r="E626" t="str">
            <v>PRIMARIOS ESTRUCTURALES ALQUID</v>
          </cell>
        </row>
        <row r="627">
          <cell r="A627">
            <v>15271</v>
          </cell>
          <cell r="E627" t="str">
            <v>PRIMARIOS ESTRUCTURALES ALQUID</v>
          </cell>
        </row>
        <row r="628">
          <cell r="A628">
            <v>15273</v>
          </cell>
          <cell r="E628" t="str">
            <v>PRIMARIOS ESTRUCTURALES ALQUID</v>
          </cell>
        </row>
        <row r="629">
          <cell r="A629">
            <v>15274</v>
          </cell>
          <cell r="E629" t="str">
            <v>PRIMARIOS ESTRUCTURALES ALQUID</v>
          </cell>
        </row>
        <row r="630">
          <cell r="A630">
            <v>15341</v>
          </cell>
          <cell r="E630" t="str">
            <v>PRIMARIOS ESTRUCTURALES ALQUID</v>
          </cell>
        </row>
        <row r="631">
          <cell r="A631">
            <v>15343</v>
          </cell>
          <cell r="E631" t="str">
            <v>PRIMARIOS ESTRUCTURALES ALQUID</v>
          </cell>
        </row>
        <row r="632">
          <cell r="A632">
            <v>15344</v>
          </cell>
          <cell r="E632" t="str">
            <v>PRIMARIOS ESTRUCTURALES ALQUID</v>
          </cell>
        </row>
        <row r="633">
          <cell r="A633">
            <v>15361</v>
          </cell>
          <cell r="E633" t="str">
            <v>PRIMARIOS ESTRUCTURALES ALQUID</v>
          </cell>
        </row>
        <row r="634">
          <cell r="A634">
            <v>15363</v>
          </cell>
          <cell r="E634" t="str">
            <v>PRIMARIOS ESTRUCTURALES ALQUID</v>
          </cell>
        </row>
        <row r="635">
          <cell r="A635">
            <v>15364</v>
          </cell>
          <cell r="E635" t="str">
            <v>PRIMARIOS ESTRUCTURALES ALQUID</v>
          </cell>
        </row>
        <row r="636">
          <cell r="A636">
            <v>15560</v>
          </cell>
          <cell r="E636" t="str">
            <v>PRIMARIOS ESTRUCTURALES ALQUID</v>
          </cell>
        </row>
        <row r="637">
          <cell r="A637">
            <v>15561</v>
          </cell>
          <cell r="E637" t="str">
            <v>PRIMARIOS ESTRUCTURALES ALQUID</v>
          </cell>
        </row>
        <row r="638">
          <cell r="A638">
            <v>15563</v>
          </cell>
          <cell r="E638" t="str">
            <v>PRIMARIOS ESTRUCTURALES ALQUID</v>
          </cell>
        </row>
        <row r="639">
          <cell r="A639">
            <v>15564</v>
          </cell>
          <cell r="E639" t="str">
            <v>PRIMARIOS ESTRUCTURALES ALQUID</v>
          </cell>
        </row>
        <row r="640">
          <cell r="A640">
            <v>15750</v>
          </cell>
          <cell r="E640" t="str">
            <v>PINTURA PARA TRAFICO</v>
          </cell>
        </row>
        <row r="641">
          <cell r="A641">
            <v>15751</v>
          </cell>
          <cell r="E641" t="str">
            <v>PINTURA PARA TRAFICO</v>
          </cell>
        </row>
        <row r="642">
          <cell r="A642">
            <v>15753</v>
          </cell>
          <cell r="E642" t="str">
            <v>PINTURA PARA TRAFICO</v>
          </cell>
        </row>
        <row r="643">
          <cell r="A643">
            <v>15760</v>
          </cell>
          <cell r="E643" t="str">
            <v>PINTURA PARA TRAFICO</v>
          </cell>
        </row>
        <row r="644">
          <cell r="A644">
            <v>15761</v>
          </cell>
          <cell r="E644" t="str">
            <v>PINTURA PARA TRAFICO</v>
          </cell>
        </row>
        <row r="645">
          <cell r="A645">
            <v>15763</v>
          </cell>
          <cell r="E645" t="str">
            <v>PINTURA PARA TRAFICO</v>
          </cell>
        </row>
        <row r="646">
          <cell r="A646">
            <v>15920</v>
          </cell>
          <cell r="E646" t="str">
            <v>PRIMARIOS ESTRUCTURALES ALQUID</v>
          </cell>
        </row>
        <row r="647">
          <cell r="A647">
            <v>15921</v>
          </cell>
          <cell r="E647" t="str">
            <v>PRIMARIOS ESTRUCTURALES ALQUID</v>
          </cell>
        </row>
        <row r="648">
          <cell r="A648">
            <v>15923</v>
          </cell>
          <cell r="E648" t="str">
            <v>PRIMARIOS ESTRUCTURALES ALQUID</v>
          </cell>
        </row>
        <row r="649">
          <cell r="A649">
            <v>15930</v>
          </cell>
          <cell r="E649" t="str">
            <v>PRIMARIOS ESTRUCTURALES ALQUID</v>
          </cell>
        </row>
        <row r="650">
          <cell r="A650">
            <v>15931</v>
          </cell>
          <cell r="E650" t="str">
            <v>PRIMARIOS ESTRUCTURALES ALQUID</v>
          </cell>
        </row>
        <row r="651">
          <cell r="A651">
            <v>15933</v>
          </cell>
          <cell r="E651" t="str">
            <v>PRIMARIOS ESTRUCTURALES ALQUID</v>
          </cell>
        </row>
        <row r="652">
          <cell r="A652">
            <v>15934</v>
          </cell>
          <cell r="E652" t="str">
            <v>PRIMARIOS ESTRUCTURALES ALQUID</v>
          </cell>
        </row>
        <row r="653">
          <cell r="A653">
            <v>15990</v>
          </cell>
          <cell r="E653" t="str">
            <v>PRIMARIOS ESTRUCTURALES ALQUID</v>
          </cell>
        </row>
        <row r="654">
          <cell r="A654">
            <v>15991</v>
          </cell>
          <cell r="E654" t="str">
            <v>PRIMARIOS ESTRUCTURALES ALQUID</v>
          </cell>
        </row>
        <row r="655">
          <cell r="A655">
            <v>15993</v>
          </cell>
          <cell r="E655" t="str">
            <v>PRIMARIOS ESTRUCTURALES ALQUID</v>
          </cell>
        </row>
        <row r="656">
          <cell r="A656">
            <v>15994</v>
          </cell>
          <cell r="E656" t="str">
            <v>PRIMARIOS ESTRUCTURALES ALQUID</v>
          </cell>
        </row>
        <row r="657">
          <cell r="A657">
            <v>16000</v>
          </cell>
          <cell r="E657" t="str">
            <v>ESMALTE DE HORNEO BASE SOLVENT</v>
          </cell>
        </row>
        <row r="658">
          <cell r="A658">
            <v>16001</v>
          </cell>
          <cell r="E658" t="str">
            <v>ESMALTE DE HORNEO BASE SOLVENT</v>
          </cell>
        </row>
        <row r="659">
          <cell r="A659">
            <v>16140</v>
          </cell>
          <cell r="E659" t="str">
            <v>ESMALTE DE HORNEO BASE SOLVENT</v>
          </cell>
        </row>
        <row r="660">
          <cell r="A660">
            <v>16141</v>
          </cell>
          <cell r="E660" t="str">
            <v>ESMALTE DE HORNEO BASE SOLVENT</v>
          </cell>
        </row>
        <row r="661">
          <cell r="A661">
            <v>16151</v>
          </cell>
          <cell r="E661" t="str">
            <v>ESMALTE DE HORNEO BASE SOLVENT</v>
          </cell>
        </row>
        <row r="662">
          <cell r="A662">
            <v>16170</v>
          </cell>
          <cell r="E662" t="str">
            <v>ESMALTE DE HORNEO BASE SOLVENT</v>
          </cell>
        </row>
        <row r="663">
          <cell r="A663">
            <v>16171</v>
          </cell>
          <cell r="E663" t="str">
            <v>ESMALTE DE HORNEO BASE SOLVENT</v>
          </cell>
        </row>
        <row r="664">
          <cell r="A664">
            <v>16350</v>
          </cell>
          <cell r="E664" t="str">
            <v>ESMALTE DE HORNEO BASE SOLVENT</v>
          </cell>
        </row>
        <row r="665">
          <cell r="A665">
            <v>16351</v>
          </cell>
          <cell r="E665" t="str">
            <v>ESMALTE DE HORNEO BASE SOLVENT</v>
          </cell>
        </row>
        <row r="666">
          <cell r="A666">
            <v>16440</v>
          </cell>
          <cell r="E666" t="str">
            <v>ESMALTE DE HORNEO BASE SOLVENT</v>
          </cell>
        </row>
        <row r="667">
          <cell r="A667">
            <v>16441</v>
          </cell>
          <cell r="E667" t="str">
            <v>ESMALTE DE HORNEO BASE SOLVENT</v>
          </cell>
        </row>
        <row r="668">
          <cell r="A668">
            <v>16450</v>
          </cell>
          <cell r="E668" t="str">
            <v>ESMALTE DE HORNEO BASE SOLVENT</v>
          </cell>
        </row>
        <row r="669">
          <cell r="A669">
            <v>16451</v>
          </cell>
          <cell r="E669" t="str">
            <v>ESMALTE DE HORNEO BASE SOLVENT</v>
          </cell>
        </row>
        <row r="670">
          <cell r="A670">
            <v>16480</v>
          </cell>
          <cell r="E670" t="str">
            <v>ESMALTE DE HORNEO BASE SOLVENT</v>
          </cell>
        </row>
        <row r="671">
          <cell r="A671">
            <v>16600</v>
          </cell>
          <cell r="E671" t="str">
            <v>ESMALTE DE HORNEO BASE SOLVENT</v>
          </cell>
        </row>
        <row r="672">
          <cell r="A672">
            <v>16601</v>
          </cell>
          <cell r="E672" t="str">
            <v>ESMALTE DE HORNEO BASE SOLVENT</v>
          </cell>
        </row>
        <row r="673">
          <cell r="A673">
            <v>16610</v>
          </cell>
          <cell r="E673" t="str">
            <v>ESMALTE DE HORNEO BASE SOLVENT</v>
          </cell>
        </row>
        <row r="674">
          <cell r="A674">
            <v>16690</v>
          </cell>
          <cell r="E674" t="str">
            <v>ESMALTE DE HORNEO BASE SOLVENT</v>
          </cell>
        </row>
        <row r="675">
          <cell r="A675">
            <v>16691</v>
          </cell>
          <cell r="E675" t="str">
            <v>ESMALTE DE HORNEO BASE SOLVENT</v>
          </cell>
        </row>
        <row r="676">
          <cell r="A676">
            <v>16700</v>
          </cell>
          <cell r="E676" t="str">
            <v>ESMALTE DE HORNEO BASE SOLVENT</v>
          </cell>
        </row>
        <row r="677">
          <cell r="A677">
            <v>16701</v>
          </cell>
          <cell r="E677" t="str">
            <v>ESMALTE DE HORNEO BASE SOLVENT</v>
          </cell>
        </row>
        <row r="678">
          <cell r="A678">
            <v>16830</v>
          </cell>
          <cell r="E678" t="str">
            <v>ESMALTE DE HORNEO BASE SOLVENT</v>
          </cell>
        </row>
        <row r="679">
          <cell r="A679">
            <v>16831</v>
          </cell>
          <cell r="E679" t="str">
            <v>ESMALTE DE HORNEO BASE SOLVENT</v>
          </cell>
        </row>
        <row r="680">
          <cell r="A680">
            <v>16850</v>
          </cell>
          <cell r="E680" t="str">
            <v>ACABADO MARTILLADO HORNEO</v>
          </cell>
        </row>
        <row r="681">
          <cell r="A681">
            <v>16851</v>
          </cell>
          <cell r="E681" t="str">
            <v>ACABADO MARTILLADO HORNEO</v>
          </cell>
        </row>
        <row r="682">
          <cell r="A682">
            <v>16890</v>
          </cell>
          <cell r="E682" t="str">
            <v>ESMALTE DE HORNEO BASE SOLVENT</v>
          </cell>
        </row>
        <row r="683">
          <cell r="A683">
            <v>16891</v>
          </cell>
          <cell r="E683" t="str">
            <v>ESMALTE DE HORNEO BASE SOLVENT</v>
          </cell>
        </row>
        <row r="684">
          <cell r="A684">
            <v>16910</v>
          </cell>
          <cell r="E684" t="str">
            <v>ESMALTE DE HORNEO BASE SOLVENT</v>
          </cell>
        </row>
        <row r="685">
          <cell r="A685">
            <v>16911</v>
          </cell>
          <cell r="E685" t="str">
            <v>ESMALTE DE HORNEO BASE SOLVENT</v>
          </cell>
        </row>
        <row r="686">
          <cell r="A686">
            <v>16980</v>
          </cell>
          <cell r="E686" t="str">
            <v>ESMALTE DE HORNEO BASE SOLVENT</v>
          </cell>
        </row>
        <row r="687">
          <cell r="A687">
            <v>16981</v>
          </cell>
          <cell r="E687" t="str">
            <v>ESMALTE DE HORNEO BASE SOLVENT</v>
          </cell>
        </row>
        <row r="688">
          <cell r="A688">
            <v>16990</v>
          </cell>
          <cell r="E688" t="str">
            <v>ESMALTE DE HORNEO BASE SOLVENT</v>
          </cell>
        </row>
        <row r="689">
          <cell r="A689">
            <v>16991</v>
          </cell>
          <cell r="E689" t="str">
            <v>ESMALTE DE HORNEO BASE SOLVENT</v>
          </cell>
        </row>
        <row r="690">
          <cell r="A690">
            <v>17000</v>
          </cell>
          <cell r="E690" t="str">
            <v>ESM SECADO RAPIDO BASE SOLVENT</v>
          </cell>
        </row>
        <row r="691">
          <cell r="A691">
            <v>17001</v>
          </cell>
          <cell r="E691" t="str">
            <v>ESM SECADO RAPIDO BASE SOLVENT</v>
          </cell>
        </row>
        <row r="692">
          <cell r="A692">
            <v>17003</v>
          </cell>
          <cell r="E692" t="str">
            <v>ESM SECADO RAPIDO BASE SOLVENT</v>
          </cell>
        </row>
        <row r="693">
          <cell r="A693">
            <v>17004</v>
          </cell>
          <cell r="E693" t="str">
            <v>ESM SECADO RAPIDO BASE SOLVENT</v>
          </cell>
        </row>
        <row r="694">
          <cell r="A694">
            <v>17020</v>
          </cell>
          <cell r="E694" t="str">
            <v>ESM SECADO RAPIDO BASE SOLVENT</v>
          </cell>
        </row>
        <row r="695">
          <cell r="A695">
            <v>17021</v>
          </cell>
          <cell r="E695" t="str">
            <v>ESM SECADO RAPIDO BASE SOLVENT</v>
          </cell>
        </row>
        <row r="696">
          <cell r="A696">
            <v>17030</v>
          </cell>
          <cell r="E696" t="str">
            <v>PINTURA PARA TRAFICO</v>
          </cell>
        </row>
        <row r="697">
          <cell r="A697">
            <v>17031</v>
          </cell>
          <cell r="E697" t="str">
            <v>PINTURA PARA TRAFICO</v>
          </cell>
        </row>
        <row r="698">
          <cell r="A698">
            <v>17033</v>
          </cell>
          <cell r="E698" t="str">
            <v>PINTURA PARA TRAFICO</v>
          </cell>
        </row>
        <row r="699">
          <cell r="A699">
            <v>17070</v>
          </cell>
          <cell r="E699" t="str">
            <v>ESM SECADO RAPIDO BASE SOLVENT</v>
          </cell>
        </row>
        <row r="700">
          <cell r="A700">
            <v>17071</v>
          </cell>
          <cell r="E700" t="str">
            <v>ESM SECADO RAPIDO BASE SOLVENT</v>
          </cell>
        </row>
        <row r="701">
          <cell r="A701">
            <v>17073</v>
          </cell>
          <cell r="E701" t="str">
            <v>ESM SECADO RAPIDO BASE SOLVENT</v>
          </cell>
        </row>
        <row r="702">
          <cell r="A702">
            <v>17110</v>
          </cell>
          <cell r="E702" t="str">
            <v>ESM SECADO RAPIDO BASE SOLVENT</v>
          </cell>
        </row>
        <row r="703">
          <cell r="A703">
            <v>17111</v>
          </cell>
          <cell r="E703" t="str">
            <v>ESM SECADO RAPIDO BASE SOLVENT</v>
          </cell>
        </row>
        <row r="704">
          <cell r="A704">
            <v>17131</v>
          </cell>
          <cell r="E704" t="str">
            <v>ESM SECADO RAPIDO BASE SOLVENT</v>
          </cell>
        </row>
        <row r="705">
          <cell r="A705">
            <v>17133</v>
          </cell>
          <cell r="E705" t="str">
            <v>ESM SECADO RAPIDO BASE SOLVENT</v>
          </cell>
        </row>
        <row r="706">
          <cell r="A706">
            <v>17140</v>
          </cell>
          <cell r="E706" t="str">
            <v>ESM SECADO RAPIDO BASE SOLVENT</v>
          </cell>
        </row>
        <row r="707">
          <cell r="A707">
            <v>17141</v>
          </cell>
          <cell r="E707" t="str">
            <v>ESM SECADO RAPIDO BASE SOLVENT</v>
          </cell>
        </row>
        <row r="708">
          <cell r="A708">
            <v>17143</v>
          </cell>
          <cell r="E708" t="str">
            <v>ESM SECADO RAPIDO BASE SOLVENT</v>
          </cell>
        </row>
        <row r="709">
          <cell r="A709">
            <v>17144</v>
          </cell>
          <cell r="E709" t="str">
            <v>ESM SECADO RAPIDO BASE SOLVENT</v>
          </cell>
        </row>
        <row r="710">
          <cell r="A710">
            <v>17151</v>
          </cell>
          <cell r="E710" t="str">
            <v>ESM SECADO RAPIDO BASE SOLVENT</v>
          </cell>
        </row>
        <row r="711">
          <cell r="A711">
            <v>17153</v>
          </cell>
          <cell r="E711" t="str">
            <v>ESM SECADO RAPIDO BASE SOLVENT</v>
          </cell>
        </row>
        <row r="712">
          <cell r="A712">
            <v>17154</v>
          </cell>
          <cell r="E712" t="str">
            <v>ESM SECADO RAPIDO BASE SOLVENT</v>
          </cell>
        </row>
        <row r="713">
          <cell r="A713">
            <v>17160</v>
          </cell>
          <cell r="E713" t="str">
            <v>PINTURA PARA TRAFICO</v>
          </cell>
        </row>
        <row r="714">
          <cell r="A714">
            <v>17161</v>
          </cell>
          <cell r="E714" t="str">
            <v>PINTURA PARA TRAFICO</v>
          </cell>
        </row>
        <row r="715">
          <cell r="A715">
            <v>17163</v>
          </cell>
          <cell r="E715" t="str">
            <v>PINTURA PARA TRAFICO</v>
          </cell>
        </row>
        <row r="716">
          <cell r="A716">
            <v>17170</v>
          </cell>
          <cell r="E716" t="str">
            <v>ESM SECADO RAPIDO BASE SOLVENT</v>
          </cell>
        </row>
        <row r="717">
          <cell r="A717">
            <v>17171</v>
          </cell>
          <cell r="E717" t="str">
            <v>ESM SECADO RAPIDO BASE SOLVENT</v>
          </cell>
        </row>
        <row r="718">
          <cell r="A718">
            <v>17173</v>
          </cell>
          <cell r="E718" t="str">
            <v>ESM SECADO RAPIDO BASE SOLVENT</v>
          </cell>
        </row>
        <row r="719">
          <cell r="A719">
            <v>17174</v>
          </cell>
          <cell r="E719" t="str">
            <v>ESM SECADO RAPIDO BASE SOLVENT</v>
          </cell>
        </row>
        <row r="720">
          <cell r="A720">
            <v>17211</v>
          </cell>
          <cell r="E720" t="str">
            <v>ESM SECADO RAPIDO BASE SOLVENT</v>
          </cell>
        </row>
        <row r="721">
          <cell r="A721">
            <v>17213</v>
          </cell>
          <cell r="E721" t="str">
            <v>ESM SECADO RAPIDO BASE SOLVENT</v>
          </cell>
        </row>
        <row r="722">
          <cell r="A722">
            <v>17214</v>
          </cell>
          <cell r="E722" t="str">
            <v>ESM SECADO RAPIDO BASE SOLVENT</v>
          </cell>
        </row>
        <row r="723">
          <cell r="A723">
            <v>17240</v>
          </cell>
          <cell r="E723" t="str">
            <v>ESM SECADO RAPIDO BASE SOLVENT</v>
          </cell>
        </row>
        <row r="724">
          <cell r="A724">
            <v>17241</v>
          </cell>
          <cell r="E724" t="str">
            <v>ESM SECADO RAPIDO BASE SOLVENT</v>
          </cell>
        </row>
        <row r="725">
          <cell r="A725">
            <v>17243</v>
          </cell>
          <cell r="E725" t="str">
            <v>ESM SECADO RAPIDO BASE SOLVENT</v>
          </cell>
        </row>
        <row r="726">
          <cell r="A726">
            <v>17261</v>
          </cell>
          <cell r="E726" t="str">
            <v>ESM SECADO RAPIDO BASE SOLVENT</v>
          </cell>
        </row>
        <row r="727">
          <cell r="A727">
            <v>17263</v>
          </cell>
          <cell r="E727" t="str">
            <v>ESM SECADO RAPIDO BASE SOLVENT</v>
          </cell>
        </row>
        <row r="728">
          <cell r="A728">
            <v>17264</v>
          </cell>
          <cell r="E728" t="str">
            <v>ESM SECADO RAPIDO BASE SOLVENT</v>
          </cell>
        </row>
        <row r="729">
          <cell r="A729">
            <v>17350</v>
          </cell>
          <cell r="E729" t="str">
            <v>ESM SECADO RAPIDO BASE SOLVENT</v>
          </cell>
        </row>
        <row r="730">
          <cell r="A730">
            <v>17351</v>
          </cell>
          <cell r="E730" t="str">
            <v>ESM SECADO RAPIDO BASE SOLVENT</v>
          </cell>
        </row>
        <row r="731">
          <cell r="A731">
            <v>17353</v>
          </cell>
          <cell r="E731" t="str">
            <v>ESM SECADO RAPIDO BASE SOLVENT</v>
          </cell>
        </row>
        <row r="732">
          <cell r="A732">
            <v>17354</v>
          </cell>
          <cell r="E732" t="str">
            <v>ESM SECADO RAPIDO BASE SOLVENT</v>
          </cell>
        </row>
        <row r="733">
          <cell r="A733">
            <v>17450</v>
          </cell>
          <cell r="E733" t="str">
            <v>ESM SECADO RAPIDO BASE SOLVENT</v>
          </cell>
        </row>
        <row r="734">
          <cell r="A734">
            <v>17451</v>
          </cell>
          <cell r="E734" t="str">
            <v>ESM SECADO RAPIDO BASE SOLVENT</v>
          </cell>
        </row>
        <row r="735">
          <cell r="A735">
            <v>17453</v>
          </cell>
          <cell r="E735" t="str">
            <v>ESM SECADO RAPIDO BASE SOLVENT</v>
          </cell>
        </row>
        <row r="736">
          <cell r="A736">
            <v>17454</v>
          </cell>
          <cell r="E736" t="str">
            <v>ESM SECADO RAPIDO BASE SOLVENT</v>
          </cell>
        </row>
        <row r="737">
          <cell r="A737">
            <v>17551</v>
          </cell>
          <cell r="E737" t="str">
            <v>PINTURA PARA TRAFICO</v>
          </cell>
        </row>
        <row r="738">
          <cell r="A738">
            <v>17553</v>
          </cell>
          <cell r="E738" t="str">
            <v>PINTURA PARA TRAFICO</v>
          </cell>
        </row>
        <row r="739">
          <cell r="A739">
            <v>17561</v>
          </cell>
          <cell r="E739" t="str">
            <v>ESM SECADO RAPIDO BASE SOLVENT</v>
          </cell>
        </row>
        <row r="740">
          <cell r="A740">
            <v>17563</v>
          </cell>
          <cell r="E740" t="str">
            <v>ESM SECADO RAPIDO BASE SOLVENT</v>
          </cell>
        </row>
        <row r="741">
          <cell r="A741">
            <v>17564</v>
          </cell>
          <cell r="E741" t="str">
            <v>ESM SECADO RAPIDO BASE SOLVENT</v>
          </cell>
        </row>
        <row r="742">
          <cell r="A742">
            <v>17581</v>
          </cell>
          <cell r="E742" t="str">
            <v>ESM SECADO RAPIDO BASE SOLVENT</v>
          </cell>
        </row>
        <row r="743">
          <cell r="A743">
            <v>17583</v>
          </cell>
          <cell r="E743" t="str">
            <v>ESM SECADO RAPIDO BASE SOLVENT</v>
          </cell>
        </row>
        <row r="744">
          <cell r="A744">
            <v>17640</v>
          </cell>
          <cell r="E744" t="str">
            <v>ESM SECADO RAPIDO BASE SOLVENT</v>
          </cell>
        </row>
        <row r="745">
          <cell r="A745">
            <v>17641</v>
          </cell>
          <cell r="E745" t="str">
            <v>ESM SECADO RAPIDO BASE SOLVENT</v>
          </cell>
        </row>
        <row r="746">
          <cell r="A746">
            <v>17643</v>
          </cell>
          <cell r="E746" t="str">
            <v>ESM SECADO RAPIDO BASE SOLVENT</v>
          </cell>
        </row>
        <row r="747">
          <cell r="A747">
            <v>17644</v>
          </cell>
          <cell r="E747" t="str">
            <v>ESM SECADO RAPIDO BASE SOLVENT</v>
          </cell>
        </row>
        <row r="748">
          <cell r="A748">
            <v>17650</v>
          </cell>
          <cell r="E748" t="str">
            <v>ESM SECADO RAPIDO BASE SOLVENT</v>
          </cell>
        </row>
        <row r="749">
          <cell r="A749">
            <v>17651</v>
          </cell>
          <cell r="E749" t="str">
            <v>ESM SECADO RAPIDO BASE SOLVENT</v>
          </cell>
        </row>
        <row r="750">
          <cell r="A750">
            <v>17653</v>
          </cell>
          <cell r="E750" t="str">
            <v>ESM SECADO RAPIDO BASE SOLVENT</v>
          </cell>
        </row>
        <row r="751">
          <cell r="A751">
            <v>17690</v>
          </cell>
          <cell r="E751" t="str">
            <v>ESM SECADO RAPIDO BASE SOLVENT</v>
          </cell>
        </row>
        <row r="752">
          <cell r="A752">
            <v>17691</v>
          </cell>
          <cell r="E752" t="str">
            <v>ESM SECADO RAPIDO BASE SOLVENT</v>
          </cell>
        </row>
        <row r="753">
          <cell r="A753">
            <v>17693</v>
          </cell>
          <cell r="E753" t="str">
            <v>ESM SECADO RAPIDO BASE SOLVENT</v>
          </cell>
        </row>
        <row r="754">
          <cell r="A754">
            <v>17694</v>
          </cell>
          <cell r="E754" t="str">
            <v>ESM SECADO RAPIDO BASE SOLVENT</v>
          </cell>
        </row>
        <row r="755">
          <cell r="A755">
            <v>17721</v>
          </cell>
          <cell r="E755" t="str">
            <v>ESM SECADO RAPIDO BASE SOLVENT</v>
          </cell>
        </row>
        <row r="756">
          <cell r="A756">
            <v>17723</v>
          </cell>
          <cell r="E756" t="str">
            <v>ESM SECADO RAPIDO BASE SOLVENT</v>
          </cell>
        </row>
        <row r="757">
          <cell r="A757">
            <v>17740</v>
          </cell>
          <cell r="E757" t="str">
            <v>ESM SECADO RAPIDO BASE SOLVENT</v>
          </cell>
        </row>
        <row r="758">
          <cell r="A758">
            <v>17741</v>
          </cell>
          <cell r="E758" t="str">
            <v>ESM SECADO RAPIDO BASE SOLVENT</v>
          </cell>
        </row>
        <row r="759">
          <cell r="A759">
            <v>17743</v>
          </cell>
          <cell r="E759" t="str">
            <v>ESM SECADO RAPIDO BASE SOLVENT</v>
          </cell>
        </row>
        <row r="760">
          <cell r="A760">
            <v>17744</v>
          </cell>
          <cell r="E760" t="str">
            <v>ESM SECADO RAPIDO BASE SOLVENT</v>
          </cell>
        </row>
        <row r="761">
          <cell r="A761">
            <v>17790</v>
          </cell>
          <cell r="E761" t="str">
            <v>ESM SECADO RAPIDO BASE SOLVENT</v>
          </cell>
        </row>
        <row r="762">
          <cell r="A762">
            <v>17791</v>
          </cell>
          <cell r="E762" t="str">
            <v>ESM SECADO RAPIDO BASE SOLVENT</v>
          </cell>
        </row>
        <row r="763">
          <cell r="A763">
            <v>17793</v>
          </cell>
          <cell r="E763" t="str">
            <v>ESM SECADO RAPIDO BASE SOLVENT</v>
          </cell>
        </row>
        <row r="764">
          <cell r="A764">
            <v>17794</v>
          </cell>
          <cell r="E764" t="str">
            <v>ESM SECADO RAPIDO BASE SOLVENT</v>
          </cell>
        </row>
        <row r="765">
          <cell r="A765">
            <v>17800</v>
          </cell>
          <cell r="E765" t="str">
            <v>ESM SECADO RAPIDO BASE SOLVENT</v>
          </cell>
        </row>
        <row r="766">
          <cell r="A766">
            <v>17801</v>
          </cell>
          <cell r="E766" t="str">
            <v>ESM SECADO RAPIDO BASE SOLVENT</v>
          </cell>
        </row>
        <row r="767">
          <cell r="A767">
            <v>17803</v>
          </cell>
          <cell r="E767" t="str">
            <v>ESM SECADO RAPIDO BASE SOLVENT</v>
          </cell>
        </row>
        <row r="768">
          <cell r="A768">
            <v>17804</v>
          </cell>
          <cell r="E768" t="str">
            <v>ESM SECADO RAPIDO BASE SOLVENT</v>
          </cell>
        </row>
        <row r="769">
          <cell r="A769">
            <v>17820</v>
          </cell>
          <cell r="E769" t="str">
            <v>ESM SECADO RAPIDO BASE SOLVENT</v>
          </cell>
        </row>
        <row r="770">
          <cell r="A770">
            <v>17821</v>
          </cell>
          <cell r="E770" t="str">
            <v>ESM SECADO RAPIDO BASE SOLVENT</v>
          </cell>
        </row>
        <row r="771">
          <cell r="A771">
            <v>17823</v>
          </cell>
          <cell r="E771" t="str">
            <v>ESM SECADO RAPIDO BASE SOLVENT</v>
          </cell>
        </row>
        <row r="772">
          <cell r="A772">
            <v>17911</v>
          </cell>
          <cell r="E772" t="str">
            <v>ESM SECADO RAPIDO BASE SOLVENT</v>
          </cell>
        </row>
        <row r="773">
          <cell r="A773">
            <v>17913</v>
          </cell>
          <cell r="E773" t="str">
            <v>ESM SECADO RAPIDO BASE SOLVENT</v>
          </cell>
        </row>
        <row r="774">
          <cell r="A774">
            <v>17920</v>
          </cell>
          <cell r="E774" t="str">
            <v>ESM SECADO RAPIDO BASE SOLVENT</v>
          </cell>
        </row>
        <row r="775">
          <cell r="A775">
            <v>17921</v>
          </cell>
          <cell r="E775" t="str">
            <v>ESM SECADO RAPIDO BASE SOLVENT</v>
          </cell>
        </row>
        <row r="776">
          <cell r="A776">
            <v>17923</v>
          </cell>
          <cell r="E776" t="str">
            <v>ESM SECADO RAPIDO BASE SOLVENT</v>
          </cell>
        </row>
        <row r="777">
          <cell r="A777">
            <v>17930</v>
          </cell>
          <cell r="E777" t="str">
            <v>ESM SECADO RAPIDO BASE SOLVENT</v>
          </cell>
        </row>
        <row r="778">
          <cell r="A778">
            <v>17931</v>
          </cell>
          <cell r="E778" t="str">
            <v>ESM SECADO RAPIDO BASE SOLVENT</v>
          </cell>
        </row>
        <row r="779">
          <cell r="A779">
            <v>17933</v>
          </cell>
          <cell r="E779" t="str">
            <v>ESM SECADO RAPIDO BASE SOLVENT</v>
          </cell>
        </row>
        <row r="780">
          <cell r="A780">
            <v>17934</v>
          </cell>
          <cell r="E780" t="str">
            <v>ESM SECADO RAPIDO BASE SOLVENT</v>
          </cell>
        </row>
        <row r="781">
          <cell r="A781">
            <v>17971</v>
          </cell>
          <cell r="E781" t="str">
            <v>PINTURA PARA TRAFICO</v>
          </cell>
        </row>
        <row r="782">
          <cell r="A782">
            <v>17980</v>
          </cell>
          <cell r="E782" t="str">
            <v>ESM SECADO RAPIDO BASE SOLVENT</v>
          </cell>
        </row>
        <row r="783">
          <cell r="A783">
            <v>17981</v>
          </cell>
          <cell r="E783" t="str">
            <v>ESM SECADO RAPIDO BASE SOLVENT</v>
          </cell>
        </row>
        <row r="784">
          <cell r="A784">
            <v>17983</v>
          </cell>
          <cell r="E784" t="str">
            <v>ESM SECADO RAPIDO BASE SOLVENT</v>
          </cell>
        </row>
        <row r="785">
          <cell r="A785">
            <v>17984</v>
          </cell>
          <cell r="E785" t="str">
            <v>ESM SECADO RAPIDO BASE SOLVENT</v>
          </cell>
        </row>
        <row r="786">
          <cell r="A786">
            <v>17990</v>
          </cell>
          <cell r="E786" t="str">
            <v>ESM SECADO RAPIDO BASE SOLVENT</v>
          </cell>
        </row>
        <row r="787">
          <cell r="A787">
            <v>17991</v>
          </cell>
          <cell r="E787" t="str">
            <v>ESM SECADO RAPIDO BASE SOLVENT</v>
          </cell>
        </row>
        <row r="788">
          <cell r="A788">
            <v>17993</v>
          </cell>
          <cell r="E788" t="str">
            <v>ESM SECADO RAPIDO BASE SOLVENT</v>
          </cell>
        </row>
        <row r="789">
          <cell r="A789">
            <v>17994</v>
          </cell>
          <cell r="E789" t="str">
            <v>ESM SECADO RAPIDO BASE SOLVENT</v>
          </cell>
        </row>
        <row r="790">
          <cell r="A790">
            <v>18321</v>
          </cell>
          <cell r="E790" t="str">
            <v>FONDO CURADO ULTRAVIOLETA</v>
          </cell>
        </row>
        <row r="791">
          <cell r="A791">
            <v>19670</v>
          </cell>
          <cell r="E791" t="str">
            <v>ACABADO MARTILLADO  SR</v>
          </cell>
        </row>
        <row r="792">
          <cell r="A792">
            <v>19671</v>
          </cell>
          <cell r="E792" t="str">
            <v>ACABADO MARTILLADO  SR</v>
          </cell>
        </row>
        <row r="793">
          <cell r="A793">
            <v>19673</v>
          </cell>
          <cell r="E793" t="str">
            <v>ACABADO MARTILLADO  SR</v>
          </cell>
        </row>
        <row r="794">
          <cell r="A794">
            <v>19674</v>
          </cell>
          <cell r="E794" t="str">
            <v>ACABADO MARTILLADO  SR</v>
          </cell>
        </row>
        <row r="795">
          <cell r="A795">
            <v>19730</v>
          </cell>
          <cell r="E795" t="str">
            <v>ACABADO MARTILLADO  SR</v>
          </cell>
        </row>
        <row r="796">
          <cell r="A796">
            <v>19731</v>
          </cell>
          <cell r="E796" t="str">
            <v>ACABADO MARTILLADO  SR</v>
          </cell>
        </row>
        <row r="797">
          <cell r="A797">
            <v>19733</v>
          </cell>
          <cell r="E797" t="str">
            <v>ACABADO MARTILLADO  SR</v>
          </cell>
        </row>
        <row r="798">
          <cell r="A798">
            <v>19734</v>
          </cell>
          <cell r="E798" t="str">
            <v>ACABADO MARTILLADO  SR</v>
          </cell>
        </row>
        <row r="799">
          <cell r="A799">
            <v>19750</v>
          </cell>
          <cell r="E799" t="str">
            <v>ACABADO MARTILLADO  SR</v>
          </cell>
        </row>
        <row r="800">
          <cell r="A800">
            <v>19751</v>
          </cell>
          <cell r="E800" t="str">
            <v>ACABADO MARTILLADO  SR</v>
          </cell>
        </row>
        <row r="801">
          <cell r="A801">
            <v>19753</v>
          </cell>
          <cell r="E801" t="str">
            <v>ACABADO MARTILLADO  SR</v>
          </cell>
        </row>
        <row r="802">
          <cell r="A802">
            <v>19754</v>
          </cell>
          <cell r="E802" t="str">
            <v>ACABADO MARTILLADO  SR</v>
          </cell>
        </row>
        <row r="803">
          <cell r="A803">
            <v>19771</v>
          </cell>
          <cell r="E803" t="str">
            <v>ACABADO MARTILLADO  SR</v>
          </cell>
        </row>
        <row r="804">
          <cell r="A804">
            <v>19773</v>
          </cell>
          <cell r="E804" t="str">
            <v>ACABADO MARTILLADO  SR</v>
          </cell>
        </row>
        <row r="805">
          <cell r="A805">
            <v>19774</v>
          </cell>
          <cell r="E805" t="str">
            <v>ACABADO MARTILLADO  SR</v>
          </cell>
        </row>
        <row r="806">
          <cell r="A806">
            <v>19930</v>
          </cell>
          <cell r="E806" t="str">
            <v>ACABADO MARTILLADO  SR</v>
          </cell>
        </row>
        <row r="807">
          <cell r="A807">
            <v>19931</v>
          </cell>
          <cell r="E807" t="str">
            <v>ACABADO MARTILLADO  SR</v>
          </cell>
        </row>
        <row r="808">
          <cell r="A808">
            <v>19933</v>
          </cell>
          <cell r="E808" t="str">
            <v>ACABADO MARTILLADO  SR</v>
          </cell>
        </row>
        <row r="809">
          <cell r="A809">
            <v>19934</v>
          </cell>
          <cell r="E809" t="str">
            <v>ACABADO MARTILLADO  SR</v>
          </cell>
        </row>
        <row r="810">
          <cell r="A810">
            <v>20000</v>
          </cell>
          <cell r="E810" t="str">
            <v>ESMALTE - COLOREX</v>
          </cell>
        </row>
        <row r="811">
          <cell r="A811">
            <v>20001</v>
          </cell>
          <cell r="E811" t="str">
            <v>ESMALTE - COLOREX</v>
          </cell>
        </row>
        <row r="812">
          <cell r="A812">
            <v>20003</v>
          </cell>
          <cell r="E812" t="str">
            <v>ESMALTE - COLOREX</v>
          </cell>
        </row>
        <row r="813">
          <cell r="A813">
            <v>20004</v>
          </cell>
          <cell r="E813" t="str">
            <v>ESMALTE - COLOREX</v>
          </cell>
        </row>
        <row r="814">
          <cell r="A814">
            <v>20041</v>
          </cell>
          <cell r="E814" t="str">
            <v>ESMALTE - COLOREX</v>
          </cell>
        </row>
        <row r="815">
          <cell r="A815">
            <v>20043</v>
          </cell>
          <cell r="E815" t="str">
            <v>ESMALTE - COLOREX</v>
          </cell>
        </row>
        <row r="816">
          <cell r="A816">
            <v>20044</v>
          </cell>
          <cell r="E816" t="str">
            <v>ESMALTE - COLOREX</v>
          </cell>
        </row>
        <row r="817">
          <cell r="A817">
            <v>20063</v>
          </cell>
          <cell r="E817" t="str">
            <v>ETIQUETAS</v>
          </cell>
        </row>
        <row r="818">
          <cell r="A818">
            <v>20071</v>
          </cell>
          <cell r="E818" t="str">
            <v>ESMALTE - COLOREX</v>
          </cell>
        </row>
        <row r="819">
          <cell r="A819">
            <v>20073</v>
          </cell>
          <cell r="E819" t="str">
            <v>ESMALTE - COLOREX</v>
          </cell>
        </row>
        <row r="820">
          <cell r="A820">
            <v>20074</v>
          </cell>
          <cell r="E820" t="str">
            <v>ESMALTE - COLOREX</v>
          </cell>
        </row>
        <row r="821">
          <cell r="A821">
            <v>20081</v>
          </cell>
          <cell r="E821" t="str">
            <v>ESMALTE - COLOREX</v>
          </cell>
        </row>
        <row r="822">
          <cell r="A822">
            <v>20083</v>
          </cell>
          <cell r="E822" t="str">
            <v>ESMALTE - COLOREX</v>
          </cell>
        </row>
        <row r="823">
          <cell r="A823">
            <v>20084</v>
          </cell>
          <cell r="E823" t="str">
            <v>ESMALTE - COLOREX</v>
          </cell>
        </row>
        <row r="824">
          <cell r="A824">
            <v>20131</v>
          </cell>
          <cell r="E824" t="str">
            <v>ESMALTE - COLOREX</v>
          </cell>
        </row>
        <row r="825">
          <cell r="A825">
            <v>20133</v>
          </cell>
          <cell r="E825" t="str">
            <v>ESMALTE - COLOREX</v>
          </cell>
        </row>
        <row r="826">
          <cell r="A826">
            <v>20134</v>
          </cell>
          <cell r="E826" t="str">
            <v>ESMALTE - COLOREX</v>
          </cell>
        </row>
        <row r="827">
          <cell r="A827">
            <v>20135</v>
          </cell>
          <cell r="E827" t="str">
            <v>ESMALTE - COLOREX</v>
          </cell>
        </row>
        <row r="828">
          <cell r="A828">
            <v>20351</v>
          </cell>
          <cell r="E828" t="str">
            <v>ESMALTE - COLOREX</v>
          </cell>
        </row>
        <row r="829">
          <cell r="A829">
            <v>20353</v>
          </cell>
          <cell r="E829" t="str">
            <v>ESMALTE - COLOREX</v>
          </cell>
        </row>
        <row r="830">
          <cell r="A830">
            <v>20354</v>
          </cell>
          <cell r="E830" t="str">
            <v>ESMALTE - COLOREX</v>
          </cell>
        </row>
        <row r="831">
          <cell r="A831">
            <v>20355</v>
          </cell>
          <cell r="E831" t="str">
            <v>ESMALTE - COLOREX</v>
          </cell>
        </row>
        <row r="832">
          <cell r="A832">
            <v>20451</v>
          </cell>
          <cell r="E832" t="str">
            <v>ESMALTE - COLOREX</v>
          </cell>
        </row>
        <row r="833">
          <cell r="A833">
            <v>20453</v>
          </cell>
          <cell r="E833" t="str">
            <v>ESMALTE - COLOREX</v>
          </cell>
        </row>
        <row r="834">
          <cell r="A834">
            <v>20454</v>
          </cell>
          <cell r="E834" t="str">
            <v>ESMALTE - COLOREX</v>
          </cell>
        </row>
        <row r="835">
          <cell r="A835">
            <v>20455</v>
          </cell>
          <cell r="E835" t="str">
            <v>ESMALTE - COLOREX</v>
          </cell>
        </row>
        <row r="836">
          <cell r="A836">
            <v>20771</v>
          </cell>
          <cell r="E836" t="str">
            <v>ESMALTE - COLOREX</v>
          </cell>
        </row>
        <row r="837">
          <cell r="A837">
            <v>20773</v>
          </cell>
          <cell r="E837" t="str">
            <v>ESMALTE - COLOREX</v>
          </cell>
        </row>
        <row r="838">
          <cell r="A838">
            <v>20774</v>
          </cell>
          <cell r="E838" t="str">
            <v>ESMALTE - COLOREX</v>
          </cell>
        </row>
        <row r="839">
          <cell r="A839">
            <v>20775</v>
          </cell>
          <cell r="E839" t="str">
            <v>ESMALTE - COLOREX</v>
          </cell>
        </row>
        <row r="840">
          <cell r="A840">
            <v>20921</v>
          </cell>
          <cell r="E840" t="str">
            <v>ESMALTE - COLOREX</v>
          </cell>
        </row>
        <row r="841">
          <cell r="A841">
            <v>20923</v>
          </cell>
          <cell r="E841" t="str">
            <v>ESMALTE - COLOREX</v>
          </cell>
        </row>
        <row r="842">
          <cell r="A842">
            <v>20924</v>
          </cell>
          <cell r="E842" t="str">
            <v>ESMALTE - COLOREX</v>
          </cell>
        </row>
        <row r="843">
          <cell r="A843">
            <v>20925</v>
          </cell>
          <cell r="E843" t="str">
            <v>ESMALTE - COLOREX</v>
          </cell>
        </row>
        <row r="844">
          <cell r="A844">
            <v>20991</v>
          </cell>
          <cell r="E844" t="str">
            <v>ESMALTE - COLOREX</v>
          </cell>
        </row>
        <row r="845">
          <cell r="A845">
            <v>20993</v>
          </cell>
          <cell r="E845" t="str">
            <v>ESMALTE - COLOREX</v>
          </cell>
        </row>
        <row r="846">
          <cell r="A846">
            <v>20994</v>
          </cell>
          <cell r="E846" t="str">
            <v>ESMALTE - COLOREX</v>
          </cell>
        </row>
        <row r="847">
          <cell r="A847">
            <v>20995</v>
          </cell>
          <cell r="E847" t="str">
            <v>ESMALTE - COLOREX</v>
          </cell>
        </row>
        <row r="848">
          <cell r="A848">
            <v>21000</v>
          </cell>
          <cell r="E848" t="str">
            <v>ESMALTE - MILCO</v>
          </cell>
        </row>
        <row r="849">
          <cell r="A849">
            <v>21001</v>
          </cell>
          <cell r="E849" t="str">
            <v>ESMALTE - MILCO</v>
          </cell>
        </row>
        <row r="850">
          <cell r="A850">
            <v>21003</v>
          </cell>
          <cell r="E850" t="str">
            <v>ESMALTE - MILCO</v>
          </cell>
        </row>
        <row r="851">
          <cell r="A851">
            <v>21004</v>
          </cell>
          <cell r="E851" t="str">
            <v>ESMALTE - MILCO</v>
          </cell>
        </row>
        <row r="852">
          <cell r="A852">
            <v>21005</v>
          </cell>
          <cell r="E852" t="str">
            <v>ESMALTE - MILCO</v>
          </cell>
        </row>
        <row r="853">
          <cell r="A853">
            <v>21006</v>
          </cell>
          <cell r="E853" t="str">
            <v>ESMALTE - MILCO</v>
          </cell>
        </row>
        <row r="854">
          <cell r="A854">
            <v>21011</v>
          </cell>
          <cell r="E854" t="str">
            <v>ESMALTE - MILCO</v>
          </cell>
        </row>
        <row r="855">
          <cell r="A855">
            <v>21013</v>
          </cell>
          <cell r="E855" t="str">
            <v>ESMALTE - MILCO</v>
          </cell>
        </row>
        <row r="856">
          <cell r="A856">
            <v>21014</v>
          </cell>
          <cell r="E856" t="str">
            <v>ESMALTE - MILCO</v>
          </cell>
        </row>
        <row r="857">
          <cell r="A857">
            <v>21016</v>
          </cell>
          <cell r="E857" t="str">
            <v>ESMALTE - MILCO</v>
          </cell>
        </row>
        <row r="858">
          <cell r="A858">
            <v>21030</v>
          </cell>
          <cell r="E858" t="str">
            <v>ESMALTE - MILCO</v>
          </cell>
        </row>
        <row r="859">
          <cell r="A859">
            <v>21031</v>
          </cell>
          <cell r="E859" t="str">
            <v>ESMALTE - MILCO</v>
          </cell>
        </row>
        <row r="860">
          <cell r="A860">
            <v>21033</v>
          </cell>
          <cell r="E860" t="str">
            <v>ESMALTE - MILCO</v>
          </cell>
        </row>
        <row r="861">
          <cell r="A861">
            <v>21034</v>
          </cell>
          <cell r="E861" t="str">
            <v>ESMALTE - MILCO</v>
          </cell>
        </row>
        <row r="862">
          <cell r="A862">
            <v>21036</v>
          </cell>
          <cell r="E862" t="str">
            <v>ESMALTE - MILCO</v>
          </cell>
        </row>
        <row r="863">
          <cell r="A863">
            <v>21041</v>
          </cell>
          <cell r="E863" t="str">
            <v>ESMALTE - MILCO</v>
          </cell>
        </row>
        <row r="864">
          <cell r="A864">
            <v>21043</v>
          </cell>
          <cell r="E864" t="str">
            <v>ESMALTE - MILCO</v>
          </cell>
        </row>
        <row r="865">
          <cell r="A865">
            <v>21044</v>
          </cell>
          <cell r="E865" t="str">
            <v>ESMALTE - MILCO</v>
          </cell>
        </row>
        <row r="866">
          <cell r="A866">
            <v>21050</v>
          </cell>
          <cell r="E866" t="str">
            <v>ESMALTE - MILCO</v>
          </cell>
        </row>
        <row r="867">
          <cell r="A867">
            <v>21051</v>
          </cell>
          <cell r="E867" t="str">
            <v>ESMALTE - MILCO</v>
          </cell>
        </row>
        <row r="868">
          <cell r="A868">
            <v>21053</v>
          </cell>
          <cell r="E868" t="str">
            <v>ESMALTE - MILCO</v>
          </cell>
        </row>
        <row r="869">
          <cell r="A869">
            <v>21054</v>
          </cell>
          <cell r="E869" t="str">
            <v>ESMALTE - MILCO</v>
          </cell>
        </row>
        <row r="870">
          <cell r="A870">
            <v>21056</v>
          </cell>
          <cell r="E870" t="str">
            <v>ESMALTE - MILCO</v>
          </cell>
        </row>
        <row r="871">
          <cell r="A871">
            <v>21071</v>
          </cell>
          <cell r="E871" t="str">
            <v>ESMALTE - MILCO</v>
          </cell>
        </row>
        <row r="872">
          <cell r="A872">
            <v>21073</v>
          </cell>
          <cell r="E872" t="str">
            <v>ESMALTE - MILCO</v>
          </cell>
        </row>
        <row r="873">
          <cell r="A873">
            <v>21074</v>
          </cell>
          <cell r="E873" t="str">
            <v>ESMALTE - MILCO</v>
          </cell>
        </row>
        <row r="874">
          <cell r="A874">
            <v>21081</v>
          </cell>
          <cell r="E874" t="str">
            <v>ESMALTE - MILCO</v>
          </cell>
        </row>
        <row r="875">
          <cell r="A875">
            <v>21083</v>
          </cell>
          <cell r="E875" t="str">
            <v>ESMALTE - MILCO</v>
          </cell>
        </row>
        <row r="876">
          <cell r="A876">
            <v>21084</v>
          </cell>
          <cell r="E876" t="str">
            <v>ESMALTE - MILCO</v>
          </cell>
        </row>
        <row r="877">
          <cell r="A877">
            <v>21091</v>
          </cell>
          <cell r="E877" t="str">
            <v>ESMALTE - MILCO</v>
          </cell>
        </row>
        <row r="878">
          <cell r="A878">
            <v>21093</v>
          </cell>
          <cell r="E878" t="str">
            <v>ESMALTE - MILCO</v>
          </cell>
        </row>
        <row r="879">
          <cell r="A879">
            <v>21094</v>
          </cell>
          <cell r="E879" t="str">
            <v>ESMALTE - MILCO</v>
          </cell>
        </row>
        <row r="880">
          <cell r="A880">
            <v>21096</v>
          </cell>
          <cell r="E880" t="str">
            <v>ESMALTE - MILCO</v>
          </cell>
        </row>
        <row r="881">
          <cell r="A881">
            <v>21131</v>
          </cell>
          <cell r="E881" t="str">
            <v>ESMALTE - MILCO</v>
          </cell>
        </row>
        <row r="882">
          <cell r="A882">
            <v>21133</v>
          </cell>
          <cell r="E882" t="str">
            <v>ESMALTE - MILCO</v>
          </cell>
        </row>
        <row r="883">
          <cell r="A883">
            <v>21134</v>
          </cell>
          <cell r="E883" t="str">
            <v>ESMALTE - MILCO</v>
          </cell>
        </row>
        <row r="884">
          <cell r="A884">
            <v>21136</v>
          </cell>
          <cell r="E884" t="str">
            <v>ESMALTE - MILCO</v>
          </cell>
        </row>
        <row r="885">
          <cell r="A885">
            <v>21150</v>
          </cell>
          <cell r="E885" t="str">
            <v>ESMALTE - MILCO</v>
          </cell>
        </row>
        <row r="886">
          <cell r="A886">
            <v>21151</v>
          </cell>
          <cell r="E886" t="str">
            <v>ESMALTE - MILCO</v>
          </cell>
        </row>
        <row r="887">
          <cell r="A887">
            <v>21153</v>
          </cell>
          <cell r="E887" t="str">
            <v>ESMALTE - MILCO</v>
          </cell>
        </row>
        <row r="888">
          <cell r="A888">
            <v>21154</v>
          </cell>
          <cell r="E888" t="str">
            <v>ESMALTE - MILCO</v>
          </cell>
        </row>
        <row r="889">
          <cell r="A889">
            <v>21156</v>
          </cell>
          <cell r="E889" t="str">
            <v>ESMALTE - MILCO</v>
          </cell>
        </row>
        <row r="890">
          <cell r="A890">
            <v>21210</v>
          </cell>
          <cell r="E890" t="str">
            <v>ESMALTE - MILCO</v>
          </cell>
        </row>
        <row r="891">
          <cell r="A891">
            <v>21211</v>
          </cell>
          <cell r="E891" t="str">
            <v>ESMALTE - MILCO</v>
          </cell>
        </row>
        <row r="892">
          <cell r="A892">
            <v>21213</v>
          </cell>
          <cell r="E892" t="str">
            <v>ESMALTE - MILCO</v>
          </cell>
        </row>
        <row r="893">
          <cell r="A893">
            <v>21214</v>
          </cell>
          <cell r="E893" t="str">
            <v>ESMALTE - MILCO</v>
          </cell>
        </row>
        <row r="894">
          <cell r="A894">
            <v>21215</v>
          </cell>
          <cell r="E894" t="str">
            <v>ESMALTE - MILCO</v>
          </cell>
        </row>
        <row r="895">
          <cell r="A895">
            <v>21216</v>
          </cell>
          <cell r="E895" t="str">
            <v>ESMALTE - MILCO</v>
          </cell>
        </row>
        <row r="896">
          <cell r="A896">
            <v>21241</v>
          </cell>
          <cell r="E896" t="str">
            <v>ESMALTE - MILCO</v>
          </cell>
        </row>
        <row r="897">
          <cell r="A897">
            <v>21243</v>
          </cell>
          <cell r="E897" t="str">
            <v>ESMALTE - MILCO</v>
          </cell>
        </row>
        <row r="898">
          <cell r="A898">
            <v>21244</v>
          </cell>
          <cell r="E898" t="str">
            <v>ESMALTE - MILCO</v>
          </cell>
        </row>
        <row r="899">
          <cell r="A899">
            <v>21245</v>
          </cell>
          <cell r="E899" t="str">
            <v>ESMALTE - MILCO</v>
          </cell>
        </row>
        <row r="900">
          <cell r="A900">
            <v>21246</v>
          </cell>
          <cell r="E900" t="str">
            <v>ESMALTE - MILCO</v>
          </cell>
        </row>
        <row r="901">
          <cell r="A901">
            <v>21253</v>
          </cell>
          <cell r="E901" t="str">
            <v>ESMALTE - MILCO</v>
          </cell>
        </row>
        <row r="902">
          <cell r="A902">
            <v>21261</v>
          </cell>
          <cell r="E902" t="str">
            <v>ESMALTE - MILCO</v>
          </cell>
        </row>
        <row r="903">
          <cell r="A903">
            <v>21263</v>
          </cell>
          <cell r="E903" t="str">
            <v>ESMALTE - MILCO</v>
          </cell>
        </row>
        <row r="904">
          <cell r="A904">
            <v>21264</v>
          </cell>
          <cell r="E904" t="str">
            <v>ESMALTE - MILCO</v>
          </cell>
        </row>
        <row r="905">
          <cell r="A905">
            <v>21266</v>
          </cell>
          <cell r="E905" t="str">
            <v>ESMALTE - MILCO</v>
          </cell>
        </row>
        <row r="906">
          <cell r="A906">
            <v>21301</v>
          </cell>
          <cell r="E906" t="str">
            <v>ESMALTE - MILCO</v>
          </cell>
        </row>
        <row r="907">
          <cell r="A907">
            <v>21303</v>
          </cell>
          <cell r="E907" t="str">
            <v>ESMALTE - MILCO</v>
          </cell>
        </row>
        <row r="908">
          <cell r="A908">
            <v>21304</v>
          </cell>
          <cell r="E908" t="str">
            <v>ESMALTE - MILCO</v>
          </cell>
        </row>
        <row r="909">
          <cell r="A909">
            <v>21306</v>
          </cell>
          <cell r="E909" t="str">
            <v>ESMALTE - MILCO</v>
          </cell>
        </row>
        <row r="910">
          <cell r="A910">
            <v>21351</v>
          </cell>
          <cell r="E910" t="str">
            <v>ESMALTE - MILCO</v>
          </cell>
        </row>
        <row r="911">
          <cell r="A911">
            <v>21353</v>
          </cell>
          <cell r="E911" t="str">
            <v>ESMALTE - MILCO</v>
          </cell>
        </row>
        <row r="912">
          <cell r="A912">
            <v>21354</v>
          </cell>
          <cell r="E912" t="str">
            <v>ESMALTE - MILCO</v>
          </cell>
        </row>
        <row r="913">
          <cell r="A913">
            <v>21356</v>
          </cell>
          <cell r="E913" t="str">
            <v>ESMALTE - MILCO</v>
          </cell>
        </row>
        <row r="914">
          <cell r="A914">
            <v>21423</v>
          </cell>
          <cell r="E914" t="str">
            <v>ESMALTE - MILCO</v>
          </cell>
        </row>
        <row r="915">
          <cell r="A915">
            <v>21424</v>
          </cell>
          <cell r="E915" t="str">
            <v>ESMALTE - MILCO</v>
          </cell>
        </row>
        <row r="916">
          <cell r="A916">
            <v>21426</v>
          </cell>
          <cell r="E916" t="str">
            <v>ESMALTE - MILCO</v>
          </cell>
        </row>
        <row r="917">
          <cell r="A917">
            <v>21441</v>
          </cell>
          <cell r="E917" t="str">
            <v>ESMALTE - MILCO</v>
          </cell>
        </row>
        <row r="918">
          <cell r="A918">
            <v>21443</v>
          </cell>
          <cell r="E918" t="str">
            <v>ESMALTE - MILCO</v>
          </cell>
        </row>
        <row r="919">
          <cell r="A919">
            <v>21444</v>
          </cell>
          <cell r="E919" t="str">
            <v>ESMALTE - MILCO</v>
          </cell>
        </row>
        <row r="920">
          <cell r="A920">
            <v>21446</v>
          </cell>
          <cell r="E920" t="str">
            <v>ESMALTE - MILCO</v>
          </cell>
        </row>
        <row r="921">
          <cell r="A921">
            <v>21451</v>
          </cell>
          <cell r="E921" t="str">
            <v>ESMALTE - MILCO</v>
          </cell>
        </row>
        <row r="922">
          <cell r="A922">
            <v>21453</v>
          </cell>
          <cell r="E922" t="str">
            <v>ESMALTE - MILCO</v>
          </cell>
        </row>
        <row r="923">
          <cell r="A923">
            <v>21454</v>
          </cell>
          <cell r="E923" t="str">
            <v>ESMALTE - MILCO</v>
          </cell>
        </row>
        <row r="924">
          <cell r="A924">
            <v>21455</v>
          </cell>
          <cell r="E924" t="str">
            <v>ESMALTE - MILCO</v>
          </cell>
        </row>
        <row r="925">
          <cell r="A925">
            <v>21456</v>
          </cell>
          <cell r="E925" t="str">
            <v>ESMALTE - MILCO</v>
          </cell>
        </row>
        <row r="926">
          <cell r="A926">
            <v>21491</v>
          </cell>
          <cell r="E926" t="str">
            <v>ESMALTE - MILCO</v>
          </cell>
        </row>
        <row r="927">
          <cell r="A927">
            <v>21493</v>
          </cell>
          <cell r="E927" t="str">
            <v>ESMALTE - MILCO</v>
          </cell>
        </row>
        <row r="928">
          <cell r="A928">
            <v>21494</v>
          </cell>
          <cell r="E928" t="str">
            <v>ESMALTE - MILCO</v>
          </cell>
        </row>
        <row r="929">
          <cell r="A929">
            <v>21496</v>
          </cell>
          <cell r="E929" t="str">
            <v>ESMALTE - MILCO</v>
          </cell>
        </row>
        <row r="930">
          <cell r="A930">
            <v>21561</v>
          </cell>
          <cell r="E930" t="str">
            <v>ESMALTE - MILCO</v>
          </cell>
        </row>
        <row r="931">
          <cell r="A931">
            <v>21563</v>
          </cell>
          <cell r="E931" t="str">
            <v>ESMALTE - MILCO</v>
          </cell>
        </row>
        <row r="932">
          <cell r="A932">
            <v>21564</v>
          </cell>
          <cell r="E932" t="str">
            <v>ESMALTE - MILCO</v>
          </cell>
        </row>
        <row r="933">
          <cell r="A933">
            <v>21566</v>
          </cell>
          <cell r="E933" t="str">
            <v>ESMALTE - MILCO</v>
          </cell>
        </row>
        <row r="934">
          <cell r="A934">
            <v>21571</v>
          </cell>
          <cell r="E934" t="str">
            <v>ESMALTE - MILCO</v>
          </cell>
        </row>
        <row r="935">
          <cell r="A935">
            <v>21573</v>
          </cell>
          <cell r="E935" t="str">
            <v>ESMALTE - MILCO</v>
          </cell>
        </row>
        <row r="936">
          <cell r="A936">
            <v>21574</v>
          </cell>
          <cell r="E936" t="str">
            <v>ESMALTE - MILCO</v>
          </cell>
        </row>
        <row r="937">
          <cell r="A937">
            <v>21576</v>
          </cell>
          <cell r="E937" t="str">
            <v>ESMALTE - MILCO</v>
          </cell>
        </row>
        <row r="938">
          <cell r="A938">
            <v>21581</v>
          </cell>
          <cell r="E938" t="str">
            <v>ESMALTE - MILCO</v>
          </cell>
        </row>
        <row r="939">
          <cell r="A939">
            <v>21583</v>
          </cell>
          <cell r="E939" t="str">
            <v>ESMALTE - MILCO</v>
          </cell>
        </row>
        <row r="940">
          <cell r="A940">
            <v>21584</v>
          </cell>
          <cell r="E940" t="str">
            <v>ESMALTE - MILCO</v>
          </cell>
        </row>
        <row r="941">
          <cell r="A941">
            <v>21585</v>
          </cell>
          <cell r="E941" t="str">
            <v>ESMALTE - MILCO</v>
          </cell>
        </row>
        <row r="942">
          <cell r="A942">
            <v>21586</v>
          </cell>
          <cell r="E942" t="str">
            <v>ESMALTE - MILCO</v>
          </cell>
        </row>
        <row r="943">
          <cell r="A943">
            <v>21631</v>
          </cell>
          <cell r="E943" t="str">
            <v>ESMALTE - MILCO</v>
          </cell>
        </row>
        <row r="944">
          <cell r="A944">
            <v>21633</v>
          </cell>
          <cell r="E944" t="str">
            <v>ESMALTE - MILCO</v>
          </cell>
        </row>
        <row r="945">
          <cell r="A945">
            <v>21634</v>
          </cell>
          <cell r="E945" t="str">
            <v>ESMALTE - MILCO</v>
          </cell>
        </row>
        <row r="946">
          <cell r="A946">
            <v>21636</v>
          </cell>
          <cell r="E946" t="str">
            <v>ESMALTE - MILCO</v>
          </cell>
        </row>
        <row r="947">
          <cell r="A947">
            <v>21640</v>
          </cell>
          <cell r="E947" t="str">
            <v>ESMALTE - MILCO</v>
          </cell>
        </row>
        <row r="948">
          <cell r="A948">
            <v>21641</v>
          </cell>
          <cell r="E948" t="str">
            <v>ESMALTE - MILCO</v>
          </cell>
        </row>
        <row r="949">
          <cell r="A949">
            <v>21643</v>
          </cell>
          <cell r="E949" t="str">
            <v>ESMALTE - MILCO</v>
          </cell>
        </row>
        <row r="950">
          <cell r="A950">
            <v>21644</v>
          </cell>
          <cell r="E950" t="str">
            <v>ESMALTE - MILCO</v>
          </cell>
        </row>
        <row r="951">
          <cell r="A951">
            <v>21646</v>
          </cell>
          <cell r="E951" t="str">
            <v>ESMALTE - MILCO</v>
          </cell>
        </row>
        <row r="952">
          <cell r="A952">
            <v>21651</v>
          </cell>
          <cell r="E952" t="str">
            <v>ESMALTE - MILCO</v>
          </cell>
        </row>
        <row r="953">
          <cell r="A953">
            <v>21653</v>
          </cell>
          <cell r="E953" t="str">
            <v>ESMALTE - MILCO</v>
          </cell>
        </row>
        <row r="954">
          <cell r="A954">
            <v>21654</v>
          </cell>
          <cell r="E954" t="str">
            <v>ESMALTE - MILCO</v>
          </cell>
        </row>
        <row r="955">
          <cell r="A955">
            <v>21655</v>
          </cell>
          <cell r="E955" t="str">
            <v>ESMALTE - MILCO</v>
          </cell>
        </row>
        <row r="956">
          <cell r="A956">
            <v>21656</v>
          </cell>
          <cell r="E956" t="str">
            <v>ESMALTE - MILCO</v>
          </cell>
        </row>
        <row r="957">
          <cell r="A957">
            <v>21711</v>
          </cell>
          <cell r="E957" t="str">
            <v>ESMALTE - MILCO</v>
          </cell>
        </row>
        <row r="958">
          <cell r="A958">
            <v>21713</v>
          </cell>
          <cell r="E958" t="str">
            <v>ESMALTE - MILCO</v>
          </cell>
        </row>
        <row r="959">
          <cell r="A959">
            <v>21714</v>
          </cell>
          <cell r="E959" t="str">
            <v>ESMALTE - MILCO</v>
          </cell>
        </row>
        <row r="960">
          <cell r="A960">
            <v>21716</v>
          </cell>
          <cell r="E960" t="str">
            <v>ESMALTE - MILCO</v>
          </cell>
        </row>
        <row r="961">
          <cell r="A961">
            <v>21751</v>
          </cell>
          <cell r="E961" t="str">
            <v>ESMALTE - MILCO</v>
          </cell>
        </row>
        <row r="962">
          <cell r="A962">
            <v>21753</v>
          </cell>
          <cell r="E962" t="str">
            <v>ESMALTE - MILCO</v>
          </cell>
        </row>
        <row r="963">
          <cell r="A963">
            <v>21754</v>
          </cell>
          <cell r="E963" t="str">
            <v>ESMALTE - MILCO</v>
          </cell>
        </row>
        <row r="964">
          <cell r="A964">
            <v>21756</v>
          </cell>
          <cell r="E964" t="str">
            <v>ESMALTE - MILCO</v>
          </cell>
        </row>
        <row r="965">
          <cell r="A965">
            <v>21770</v>
          </cell>
          <cell r="E965" t="str">
            <v>ESMALTE - MILCO</v>
          </cell>
        </row>
        <row r="966">
          <cell r="A966">
            <v>21771</v>
          </cell>
          <cell r="E966" t="str">
            <v>ESMALTE - MILCO</v>
          </cell>
        </row>
        <row r="967">
          <cell r="A967">
            <v>21773</v>
          </cell>
          <cell r="E967" t="str">
            <v>ESMALTE - MILCO</v>
          </cell>
        </row>
        <row r="968">
          <cell r="A968">
            <v>21774</v>
          </cell>
          <cell r="E968" t="str">
            <v>ESMALTE - MILCO</v>
          </cell>
        </row>
        <row r="969">
          <cell r="A969">
            <v>21776</v>
          </cell>
          <cell r="E969" t="str">
            <v>ESMALTE - MILCO</v>
          </cell>
        </row>
        <row r="970">
          <cell r="A970">
            <v>21783</v>
          </cell>
          <cell r="E970" t="str">
            <v>ESMALTE - OTROS</v>
          </cell>
        </row>
        <row r="971">
          <cell r="A971">
            <v>21784</v>
          </cell>
          <cell r="E971" t="str">
            <v>ESMALTE - OTROS</v>
          </cell>
        </row>
        <row r="972">
          <cell r="A972">
            <v>21901</v>
          </cell>
          <cell r="E972" t="str">
            <v>ESMALTE - MILCO</v>
          </cell>
        </row>
        <row r="973">
          <cell r="A973">
            <v>21903</v>
          </cell>
          <cell r="E973" t="str">
            <v>ESMALTE - MILCO</v>
          </cell>
        </row>
        <row r="974">
          <cell r="A974">
            <v>21904</v>
          </cell>
          <cell r="E974" t="str">
            <v>ESMALTE - MILCO</v>
          </cell>
        </row>
        <row r="975">
          <cell r="A975">
            <v>21905</v>
          </cell>
          <cell r="E975" t="str">
            <v>ESMALTE - MILCO</v>
          </cell>
        </row>
        <row r="976">
          <cell r="A976">
            <v>21906</v>
          </cell>
          <cell r="E976" t="str">
            <v>ESMALTE - MILCO</v>
          </cell>
        </row>
        <row r="977">
          <cell r="A977">
            <v>21913</v>
          </cell>
          <cell r="E977" t="str">
            <v>ESMALTE - MILCO</v>
          </cell>
        </row>
        <row r="978">
          <cell r="A978">
            <v>21914</v>
          </cell>
          <cell r="E978" t="str">
            <v>ESMALTE - MILCO</v>
          </cell>
        </row>
        <row r="979">
          <cell r="A979">
            <v>21916</v>
          </cell>
          <cell r="E979" t="str">
            <v>ESMALTE - MILCO</v>
          </cell>
        </row>
        <row r="980">
          <cell r="A980">
            <v>21920</v>
          </cell>
          <cell r="E980" t="str">
            <v>ESMALTE - MILCO</v>
          </cell>
        </row>
        <row r="981">
          <cell r="A981">
            <v>21921</v>
          </cell>
          <cell r="E981" t="str">
            <v>ESMALTE - MILCO</v>
          </cell>
        </row>
        <row r="982">
          <cell r="A982">
            <v>21923</v>
          </cell>
          <cell r="E982" t="str">
            <v>ESMALTE - MILCO</v>
          </cell>
        </row>
        <row r="983">
          <cell r="A983">
            <v>21924</v>
          </cell>
          <cell r="E983" t="str">
            <v>ESMALTE - MILCO</v>
          </cell>
        </row>
        <row r="984">
          <cell r="A984">
            <v>21926</v>
          </cell>
          <cell r="E984" t="str">
            <v>ESMALTE - MILCO</v>
          </cell>
        </row>
        <row r="985">
          <cell r="A985">
            <v>21931</v>
          </cell>
          <cell r="E985" t="str">
            <v>ESMALTE - MILCO</v>
          </cell>
        </row>
        <row r="986">
          <cell r="A986">
            <v>21933</v>
          </cell>
          <cell r="E986" t="str">
            <v>ESMALTE - MILCO</v>
          </cell>
        </row>
        <row r="987">
          <cell r="A987">
            <v>21934</v>
          </cell>
          <cell r="E987" t="str">
            <v>ESMALTE - MILCO</v>
          </cell>
        </row>
        <row r="988">
          <cell r="A988">
            <v>21936</v>
          </cell>
          <cell r="E988" t="str">
            <v>ESMALTE - MILCO</v>
          </cell>
        </row>
        <row r="989">
          <cell r="A989">
            <v>21981</v>
          </cell>
          <cell r="E989" t="str">
            <v>ESMALTE - MILCO</v>
          </cell>
        </row>
        <row r="990">
          <cell r="A990">
            <v>21983</v>
          </cell>
          <cell r="E990" t="str">
            <v>ESMALTE - MILCO</v>
          </cell>
        </row>
        <row r="991">
          <cell r="A991">
            <v>21984</v>
          </cell>
          <cell r="E991" t="str">
            <v>ESMALTE - MILCO</v>
          </cell>
        </row>
        <row r="992">
          <cell r="A992">
            <v>21986</v>
          </cell>
          <cell r="E992" t="str">
            <v>ESMALTE - MILCO</v>
          </cell>
        </row>
        <row r="993">
          <cell r="A993">
            <v>21991</v>
          </cell>
          <cell r="E993" t="str">
            <v>ESMALTE - MILCO</v>
          </cell>
        </row>
        <row r="994">
          <cell r="A994">
            <v>21993</v>
          </cell>
          <cell r="E994" t="str">
            <v>ESMALTE - MILCO</v>
          </cell>
        </row>
        <row r="995">
          <cell r="A995">
            <v>21994</v>
          </cell>
          <cell r="E995" t="str">
            <v>ESMALTE - MILCO</v>
          </cell>
        </row>
        <row r="996">
          <cell r="A996">
            <v>21995</v>
          </cell>
          <cell r="E996" t="str">
            <v>ESMALTE - MILCO</v>
          </cell>
        </row>
        <row r="997">
          <cell r="A997">
            <v>21996</v>
          </cell>
          <cell r="E997" t="str">
            <v>ESMALTE - MILCO</v>
          </cell>
        </row>
        <row r="998">
          <cell r="A998">
            <v>22000</v>
          </cell>
          <cell r="E998" t="str">
            <v>ESMALTE - KITOX</v>
          </cell>
        </row>
        <row r="999">
          <cell r="A999">
            <v>22001</v>
          </cell>
          <cell r="E999" t="str">
            <v>ESMALTE - KITOX</v>
          </cell>
        </row>
        <row r="1000">
          <cell r="A1000">
            <v>22003</v>
          </cell>
          <cell r="E1000" t="str">
            <v>ESMALTE - KITOX</v>
          </cell>
        </row>
        <row r="1001">
          <cell r="A1001">
            <v>22004</v>
          </cell>
          <cell r="E1001" t="str">
            <v>ESMALTE - KITOX</v>
          </cell>
        </row>
        <row r="1002">
          <cell r="A1002">
            <v>22005</v>
          </cell>
          <cell r="E1002" t="str">
            <v>ESMALTE - KITOX</v>
          </cell>
        </row>
        <row r="1003">
          <cell r="A1003">
            <v>22006</v>
          </cell>
          <cell r="E1003" t="str">
            <v>ESMALTE - KITOX</v>
          </cell>
        </row>
        <row r="1004">
          <cell r="A1004">
            <v>22150</v>
          </cell>
          <cell r="E1004" t="str">
            <v>ESMALTE - KITOX</v>
          </cell>
        </row>
        <row r="1005">
          <cell r="A1005">
            <v>22151</v>
          </cell>
          <cell r="E1005" t="str">
            <v>ESMALTE - KITOX</v>
          </cell>
        </row>
        <row r="1006">
          <cell r="A1006">
            <v>22153</v>
          </cell>
          <cell r="E1006" t="str">
            <v>ESMALTE - KITOX</v>
          </cell>
        </row>
        <row r="1007">
          <cell r="A1007">
            <v>22154</v>
          </cell>
          <cell r="E1007" t="str">
            <v>ESMALTE - KITOX</v>
          </cell>
        </row>
        <row r="1008">
          <cell r="A1008">
            <v>22155</v>
          </cell>
          <cell r="E1008" t="str">
            <v>ESMALTE - KITOX</v>
          </cell>
        </row>
        <row r="1009">
          <cell r="A1009">
            <v>22156</v>
          </cell>
          <cell r="E1009" t="str">
            <v>ESMALTE - KITOX</v>
          </cell>
        </row>
        <row r="1010">
          <cell r="A1010">
            <v>22210</v>
          </cell>
          <cell r="E1010" t="str">
            <v>ESMALTE - KITOX</v>
          </cell>
        </row>
        <row r="1011">
          <cell r="A1011">
            <v>22211</v>
          </cell>
          <cell r="E1011" t="str">
            <v>ESMALTE - KITOX</v>
          </cell>
        </row>
        <row r="1012">
          <cell r="A1012">
            <v>22213</v>
          </cell>
          <cell r="E1012" t="str">
            <v>ESMALTE - KITOX</v>
          </cell>
        </row>
        <row r="1013">
          <cell r="A1013">
            <v>22214</v>
          </cell>
          <cell r="E1013" t="str">
            <v>ESMALTE - KITOX</v>
          </cell>
        </row>
        <row r="1014">
          <cell r="A1014">
            <v>22215</v>
          </cell>
          <cell r="E1014" t="str">
            <v>ESMALTE - KITOX</v>
          </cell>
        </row>
        <row r="1015">
          <cell r="A1015">
            <v>22216</v>
          </cell>
          <cell r="E1015" t="str">
            <v>ESMALTE - KITOX</v>
          </cell>
        </row>
        <row r="1016">
          <cell r="A1016">
            <v>22261</v>
          </cell>
          <cell r="E1016" t="str">
            <v>ESMALTE - KITOX</v>
          </cell>
        </row>
        <row r="1017">
          <cell r="A1017">
            <v>22263</v>
          </cell>
          <cell r="E1017" t="str">
            <v>ESMALTE - KITOX</v>
          </cell>
        </row>
        <row r="1018">
          <cell r="A1018">
            <v>22264</v>
          </cell>
          <cell r="E1018" t="str">
            <v>ESMALTE - KITOX</v>
          </cell>
        </row>
        <row r="1019">
          <cell r="A1019">
            <v>22265</v>
          </cell>
          <cell r="E1019" t="str">
            <v>ESMALTE - KITOX</v>
          </cell>
        </row>
        <row r="1020">
          <cell r="A1020">
            <v>22266</v>
          </cell>
          <cell r="E1020" t="str">
            <v>ESMALTE - KITOX</v>
          </cell>
        </row>
        <row r="1021">
          <cell r="A1021">
            <v>22350</v>
          </cell>
          <cell r="E1021" t="str">
            <v>ESMALTE - KITOX</v>
          </cell>
        </row>
        <row r="1022">
          <cell r="A1022">
            <v>22351</v>
          </cell>
          <cell r="E1022" t="str">
            <v>ESMALTE - KITOX</v>
          </cell>
        </row>
        <row r="1023">
          <cell r="A1023">
            <v>22353</v>
          </cell>
          <cell r="E1023" t="str">
            <v>ESMALTE - KITOX</v>
          </cell>
        </row>
        <row r="1024">
          <cell r="A1024">
            <v>22354</v>
          </cell>
          <cell r="E1024" t="str">
            <v>ESMALTE - KITOX</v>
          </cell>
        </row>
        <row r="1025">
          <cell r="A1025">
            <v>22355</v>
          </cell>
          <cell r="E1025" t="str">
            <v>ESMALTE - KITOX</v>
          </cell>
        </row>
        <row r="1026">
          <cell r="A1026">
            <v>22356</v>
          </cell>
          <cell r="E1026" t="str">
            <v>ESMALTE - KITOX</v>
          </cell>
        </row>
        <row r="1027">
          <cell r="A1027">
            <v>22441</v>
          </cell>
          <cell r="E1027" t="str">
            <v>ESMALTE - KITOX</v>
          </cell>
        </row>
        <row r="1028">
          <cell r="A1028">
            <v>22443</v>
          </cell>
          <cell r="E1028" t="str">
            <v>ESMALTE - KITOX</v>
          </cell>
        </row>
        <row r="1029">
          <cell r="A1029">
            <v>22444</v>
          </cell>
          <cell r="E1029" t="str">
            <v>ESMALTE - KITOX</v>
          </cell>
        </row>
        <row r="1030">
          <cell r="A1030">
            <v>22445</v>
          </cell>
          <cell r="E1030" t="str">
            <v>ESMALTE - KITOX</v>
          </cell>
        </row>
        <row r="1031">
          <cell r="A1031">
            <v>22446</v>
          </cell>
          <cell r="E1031" t="str">
            <v>ESMALTE - KITOX</v>
          </cell>
        </row>
        <row r="1032">
          <cell r="A1032">
            <v>22450</v>
          </cell>
          <cell r="E1032" t="str">
            <v>ESMALTE - KITOX</v>
          </cell>
        </row>
        <row r="1033">
          <cell r="A1033">
            <v>22451</v>
          </cell>
          <cell r="E1033" t="str">
            <v>ESMALTE - KITOX</v>
          </cell>
        </row>
        <row r="1034">
          <cell r="A1034">
            <v>22453</v>
          </cell>
          <cell r="E1034" t="str">
            <v>ESMALTE - KITOX</v>
          </cell>
        </row>
        <row r="1035">
          <cell r="A1035">
            <v>22454</v>
          </cell>
          <cell r="E1035" t="str">
            <v>ESMALTE - KITOX</v>
          </cell>
        </row>
        <row r="1036">
          <cell r="A1036">
            <v>22455</v>
          </cell>
          <cell r="E1036" t="str">
            <v>ESMALTE - KITOX</v>
          </cell>
        </row>
        <row r="1037">
          <cell r="A1037">
            <v>22456</v>
          </cell>
          <cell r="E1037" t="str">
            <v>ESMALTE - KITOX</v>
          </cell>
        </row>
        <row r="1038">
          <cell r="A1038">
            <v>22560</v>
          </cell>
          <cell r="E1038" t="str">
            <v>ESMALTE - KITOX</v>
          </cell>
        </row>
        <row r="1039">
          <cell r="A1039">
            <v>22561</v>
          </cell>
          <cell r="E1039" t="str">
            <v>ESMALTE - KITOX</v>
          </cell>
        </row>
        <row r="1040">
          <cell r="A1040">
            <v>22563</v>
          </cell>
          <cell r="E1040" t="str">
            <v>ESMALTE - KITOX</v>
          </cell>
        </row>
        <row r="1041">
          <cell r="A1041">
            <v>22564</v>
          </cell>
          <cell r="E1041" t="str">
            <v>ESMALTE - KITOX</v>
          </cell>
        </row>
        <row r="1042">
          <cell r="A1042">
            <v>22565</v>
          </cell>
          <cell r="E1042" t="str">
            <v>ESMALTE - KITOX</v>
          </cell>
        </row>
        <row r="1043">
          <cell r="A1043">
            <v>22566</v>
          </cell>
          <cell r="E1043" t="str">
            <v>ESMALTE - KITOX</v>
          </cell>
        </row>
        <row r="1044">
          <cell r="A1044">
            <v>22580</v>
          </cell>
          <cell r="E1044" t="str">
            <v>ESMALTE - KITOX</v>
          </cell>
        </row>
        <row r="1045">
          <cell r="A1045">
            <v>22581</v>
          </cell>
          <cell r="E1045" t="str">
            <v>ESMALTE - KITOX</v>
          </cell>
        </row>
        <row r="1046">
          <cell r="A1046">
            <v>22583</v>
          </cell>
          <cell r="E1046" t="str">
            <v>ESMALTE - KITOX</v>
          </cell>
        </row>
        <row r="1047">
          <cell r="A1047">
            <v>22584</v>
          </cell>
          <cell r="E1047" t="str">
            <v>ESMALTE - KITOX</v>
          </cell>
        </row>
        <row r="1048">
          <cell r="A1048">
            <v>22585</v>
          </cell>
          <cell r="E1048" t="str">
            <v>ESMALTE - KITOX</v>
          </cell>
        </row>
        <row r="1049">
          <cell r="A1049">
            <v>22586</v>
          </cell>
          <cell r="E1049" t="str">
            <v>ESMALTE - KITOX</v>
          </cell>
        </row>
        <row r="1050">
          <cell r="A1050">
            <v>22631</v>
          </cell>
          <cell r="E1050" t="str">
            <v>ESMALTE - KITOX</v>
          </cell>
        </row>
        <row r="1051">
          <cell r="A1051">
            <v>22633</v>
          </cell>
          <cell r="E1051" t="str">
            <v>ESMALTE - KITOX</v>
          </cell>
        </row>
        <row r="1052">
          <cell r="A1052">
            <v>22634</v>
          </cell>
          <cell r="E1052" t="str">
            <v>ESMALTE - KITOX</v>
          </cell>
        </row>
        <row r="1053">
          <cell r="A1053">
            <v>22635</v>
          </cell>
          <cell r="E1053" t="str">
            <v>ESMALTE - KITOX</v>
          </cell>
        </row>
        <row r="1054">
          <cell r="A1054">
            <v>22636</v>
          </cell>
          <cell r="E1054" t="str">
            <v>ESMALTE - KITOX</v>
          </cell>
        </row>
        <row r="1055">
          <cell r="A1055">
            <v>22640</v>
          </cell>
          <cell r="E1055" t="str">
            <v>ESMALTE - KITOX</v>
          </cell>
        </row>
        <row r="1056">
          <cell r="A1056">
            <v>22641</v>
          </cell>
          <cell r="E1056" t="str">
            <v>ESMALTE - KITOX</v>
          </cell>
        </row>
        <row r="1057">
          <cell r="A1057">
            <v>22643</v>
          </cell>
          <cell r="E1057" t="str">
            <v>ESMALTE - KITOX</v>
          </cell>
        </row>
        <row r="1058">
          <cell r="A1058">
            <v>22644</v>
          </cell>
          <cell r="E1058" t="str">
            <v>ESMALTE - KITOX</v>
          </cell>
        </row>
        <row r="1059">
          <cell r="A1059">
            <v>22645</v>
          </cell>
          <cell r="E1059" t="str">
            <v>ESMALTE - KITOX</v>
          </cell>
        </row>
        <row r="1060">
          <cell r="A1060">
            <v>22646</v>
          </cell>
          <cell r="E1060" t="str">
            <v>ESMALTE - KITOX</v>
          </cell>
        </row>
        <row r="1061">
          <cell r="A1061">
            <v>22650</v>
          </cell>
          <cell r="E1061" t="str">
            <v>ESMALTE - KITOX</v>
          </cell>
        </row>
        <row r="1062">
          <cell r="A1062">
            <v>22651</v>
          </cell>
          <cell r="E1062" t="str">
            <v>ESMALTE - KITOX</v>
          </cell>
        </row>
        <row r="1063">
          <cell r="A1063">
            <v>22653</v>
          </cell>
          <cell r="E1063" t="str">
            <v>ESMALTE - KITOX</v>
          </cell>
        </row>
        <row r="1064">
          <cell r="A1064">
            <v>22654</v>
          </cell>
          <cell r="E1064" t="str">
            <v>ESMALTE - KITOX</v>
          </cell>
        </row>
        <row r="1065">
          <cell r="A1065">
            <v>22655</v>
          </cell>
          <cell r="E1065" t="str">
            <v>ESMALTE - KITOX</v>
          </cell>
        </row>
        <row r="1066">
          <cell r="A1066">
            <v>22656</v>
          </cell>
          <cell r="E1066" t="str">
            <v>ESMALTE - KITOX</v>
          </cell>
        </row>
        <row r="1067">
          <cell r="A1067">
            <v>22661</v>
          </cell>
          <cell r="E1067" t="str">
            <v>ESMALTE - KITOX</v>
          </cell>
        </row>
        <row r="1068">
          <cell r="A1068">
            <v>22663</v>
          </cell>
          <cell r="E1068" t="str">
            <v>ESMALTE - KITOX</v>
          </cell>
        </row>
        <row r="1069">
          <cell r="A1069">
            <v>22664</v>
          </cell>
          <cell r="E1069" t="str">
            <v>ESMALTE - KITOX</v>
          </cell>
        </row>
        <row r="1070">
          <cell r="A1070">
            <v>22665</v>
          </cell>
          <cell r="E1070" t="str">
            <v>ESMALTE - KITOX</v>
          </cell>
        </row>
        <row r="1071">
          <cell r="A1071">
            <v>22666</v>
          </cell>
          <cell r="E1071" t="str">
            <v>ESMALTE - KITOX</v>
          </cell>
        </row>
        <row r="1072">
          <cell r="A1072">
            <v>22750</v>
          </cell>
          <cell r="E1072" t="str">
            <v>ESMALTE - KITOX</v>
          </cell>
        </row>
        <row r="1073">
          <cell r="A1073">
            <v>22751</v>
          </cell>
          <cell r="E1073" t="str">
            <v>ESMALTE - KITOX</v>
          </cell>
        </row>
        <row r="1074">
          <cell r="A1074">
            <v>22753</v>
          </cell>
          <cell r="E1074" t="str">
            <v>ESMALTE - KITOX</v>
          </cell>
        </row>
        <row r="1075">
          <cell r="A1075">
            <v>22754</v>
          </cell>
          <cell r="E1075" t="str">
            <v>ESMALTE - KITOX</v>
          </cell>
        </row>
        <row r="1076">
          <cell r="A1076">
            <v>22755</v>
          </cell>
          <cell r="E1076" t="str">
            <v>ESMALTE - KITOX</v>
          </cell>
        </row>
        <row r="1077">
          <cell r="A1077">
            <v>22756</v>
          </cell>
          <cell r="E1077" t="str">
            <v>ESMALTE - KITOX</v>
          </cell>
        </row>
        <row r="1078">
          <cell r="A1078">
            <v>22770</v>
          </cell>
          <cell r="E1078" t="str">
            <v>ESMALTE - KITOX</v>
          </cell>
        </row>
        <row r="1079">
          <cell r="A1079">
            <v>22771</v>
          </cell>
          <cell r="E1079" t="str">
            <v>ESMALTE - KITOX</v>
          </cell>
        </row>
        <row r="1080">
          <cell r="A1080">
            <v>22773</v>
          </cell>
          <cell r="E1080" t="str">
            <v>ESMALTE - KITOX</v>
          </cell>
        </row>
        <row r="1081">
          <cell r="A1081">
            <v>22774</v>
          </cell>
          <cell r="E1081" t="str">
            <v>ESMALTE - KITOX</v>
          </cell>
        </row>
        <row r="1082">
          <cell r="A1082">
            <v>22775</v>
          </cell>
          <cell r="E1082" t="str">
            <v>ESMALTE - KITOX</v>
          </cell>
        </row>
        <row r="1083">
          <cell r="A1083">
            <v>22776</v>
          </cell>
          <cell r="E1083" t="str">
            <v>ESMALTE - KITOX</v>
          </cell>
        </row>
        <row r="1084">
          <cell r="A1084">
            <v>22901</v>
          </cell>
          <cell r="E1084" t="str">
            <v>ESMALTE - KITOX</v>
          </cell>
        </row>
        <row r="1085">
          <cell r="A1085">
            <v>22931</v>
          </cell>
          <cell r="E1085" t="str">
            <v>ESMALTE - KITOX</v>
          </cell>
        </row>
        <row r="1086">
          <cell r="A1086">
            <v>22933</v>
          </cell>
          <cell r="E1086" t="str">
            <v>ESMALTE - KITOX</v>
          </cell>
        </row>
        <row r="1087">
          <cell r="A1087">
            <v>22934</v>
          </cell>
          <cell r="E1087" t="str">
            <v>ESMALTE - KITOX</v>
          </cell>
        </row>
        <row r="1088">
          <cell r="A1088">
            <v>22935</v>
          </cell>
          <cell r="E1088" t="str">
            <v>ESMALTE - KITOX</v>
          </cell>
        </row>
        <row r="1089">
          <cell r="A1089">
            <v>22936</v>
          </cell>
          <cell r="E1089" t="str">
            <v>ESMALTE - KITOX</v>
          </cell>
        </row>
        <row r="1090">
          <cell r="A1090">
            <v>22990</v>
          </cell>
          <cell r="E1090" t="str">
            <v>ESMALTE - KITOX</v>
          </cell>
        </row>
        <row r="1091">
          <cell r="A1091">
            <v>22991</v>
          </cell>
          <cell r="E1091" t="str">
            <v>ESMALTE - KITOX</v>
          </cell>
        </row>
        <row r="1092">
          <cell r="A1092">
            <v>22993</v>
          </cell>
          <cell r="E1092" t="str">
            <v>ESMALTE - KITOX</v>
          </cell>
        </row>
        <row r="1093">
          <cell r="A1093">
            <v>22994</v>
          </cell>
          <cell r="E1093" t="str">
            <v>ESMALTE - KITOX</v>
          </cell>
        </row>
        <row r="1094">
          <cell r="A1094">
            <v>22995</v>
          </cell>
          <cell r="E1094" t="str">
            <v>ESMALTE - KITOX</v>
          </cell>
        </row>
        <row r="1095">
          <cell r="A1095">
            <v>22996</v>
          </cell>
          <cell r="E1095" t="str">
            <v>ESMALTE - KITOX</v>
          </cell>
        </row>
        <row r="1096">
          <cell r="A1096">
            <v>24005</v>
          </cell>
          <cell r="E1096" t="str">
            <v>WPRISA AEROSOL 400ML</v>
          </cell>
        </row>
        <row r="1097">
          <cell r="A1097">
            <v>24006</v>
          </cell>
          <cell r="E1097" t="str">
            <v>WPRISA AEROSOL 240ML</v>
          </cell>
        </row>
        <row r="1098">
          <cell r="A1098">
            <v>24007</v>
          </cell>
          <cell r="E1098" t="str">
            <v>WPRISA AEROSOL 150ML</v>
          </cell>
        </row>
        <row r="1099">
          <cell r="A1099">
            <v>25000</v>
          </cell>
          <cell r="E1099" t="str">
            <v>ESMALTE ACRILICO</v>
          </cell>
        </row>
        <row r="1100">
          <cell r="A1100">
            <v>25001</v>
          </cell>
          <cell r="E1100" t="str">
            <v>ESMALTE ACRILICO</v>
          </cell>
        </row>
        <row r="1101">
          <cell r="A1101">
            <v>25003</v>
          </cell>
          <cell r="E1101" t="str">
            <v>ESMALTE ACRILICO</v>
          </cell>
        </row>
        <row r="1102">
          <cell r="A1102">
            <v>25014</v>
          </cell>
          <cell r="E1102" t="str">
            <v>ESMALTE ACRILICO</v>
          </cell>
        </row>
        <row r="1103">
          <cell r="A1103">
            <v>25131</v>
          </cell>
          <cell r="E1103" t="str">
            <v>ESMALTE ACRILICO</v>
          </cell>
        </row>
        <row r="1104">
          <cell r="A1104">
            <v>25133</v>
          </cell>
          <cell r="E1104" t="str">
            <v>ESMALTE ACRILICO</v>
          </cell>
        </row>
        <row r="1105">
          <cell r="A1105">
            <v>25143</v>
          </cell>
          <cell r="E1105" t="str">
            <v>ESMALTE ACRILICO</v>
          </cell>
        </row>
        <row r="1106">
          <cell r="A1106">
            <v>25151</v>
          </cell>
          <cell r="E1106" t="str">
            <v>ESMALTE ACRILICO</v>
          </cell>
        </row>
        <row r="1107">
          <cell r="A1107">
            <v>25153</v>
          </cell>
          <cell r="E1107" t="str">
            <v>ESMALTE ACRILICO</v>
          </cell>
        </row>
        <row r="1108">
          <cell r="A1108">
            <v>25181</v>
          </cell>
          <cell r="E1108" t="str">
            <v>ESMALTE ACRILICO</v>
          </cell>
        </row>
        <row r="1109">
          <cell r="A1109">
            <v>25183</v>
          </cell>
          <cell r="E1109" t="str">
            <v>ESMALTE ACRILICO</v>
          </cell>
        </row>
        <row r="1110">
          <cell r="A1110">
            <v>25193</v>
          </cell>
          <cell r="E1110" t="str">
            <v>ESMALTE ACRILICO</v>
          </cell>
        </row>
        <row r="1111">
          <cell r="A1111">
            <v>25204</v>
          </cell>
          <cell r="E1111" t="str">
            <v>ESMALTE ACRILICO</v>
          </cell>
        </row>
        <row r="1112">
          <cell r="A1112">
            <v>25263</v>
          </cell>
          <cell r="E1112" t="str">
            <v>ESMALTE ACRILICO</v>
          </cell>
        </row>
        <row r="1113">
          <cell r="A1113">
            <v>25353</v>
          </cell>
          <cell r="E1113" t="str">
            <v>ESMALTE ACRILICO</v>
          </cell>
        </row>
        <row r="1114">
          <cell r="A1114">
            <v>25433</v>
          </cell>
          <cell r="E1114" t="str">
            <v>ESMALTE ACRILICO</v>
          </cell>
        </row>
        <row r="1115">
          <cell r="A1115">
            <v>25443</v>
          </cell>
          <cell r="E1115" t="str">
            <v>ESMALTE ACRILICO</v>
          </cell>
        </row>
        <row r="1116">
          <cell r="A1116">
            <v>25453</v>
          </cell>
          <cell r="E1116" t="str">
            <v>ESMALTE ACRILICO</v>
          </cell>
        </row>
        <row r="1117">
          <cell r="A1117">
            <v>25473</v>
          </cell>
          <cell r="E1117" t="str">
            <v>ESMALTE ACRILICO</v>
          </cell>
        </row>
        <row r="1118">
          <cell r="A1118">
            <v>25481</v>
          </cell>
          <cell r="E1118" t="str">
            <v>ESMALTE ACRILICO</v>
          </cell>
        </row>
        <row r="1119">
          <cell r="A1119">
            <v>25483</v>
          </cell>
          <cell r="E1119" t="str">
            <v>ESMALTE ACRILICO</v>
          </cell>
        </row>
        <row r="1120">
          <cell r="A1120">
            <v>25534</v>
          </cell>
          <cell r="E1120" t="str">
            <v>ESMALTE ACRILICO</v>
          </cell>
        </row>
        <row r="1121">
          <cell r="A1121">
            <v>25563</v>
          </cell>
          <cell r="E1121" t="str">
            <v>ESMALTE ACRILICO</v>
          </cell>
        </row>
        <row r="1122">
          <cell r="A1122">
            <v>25634</v>
          </cell>
          <cell r="E1122" t="str">
            <v>ESMALTE ACRILICO</v>
          </cell>
        </row>
        <row r="1123">
          <cell r="A1123">
            <v>25643</v>
          </cell>
          <cell r="E1123" t="str">
            <v>ESMALTE ACRILICO</v>
          </cell>
        </row>
        <row r="1124">
          <cell r="A1124">
            <v>25651</v>
          </cell>
          <cell r="E1124" t="str">
            <v>ESMALTE ACRILICO</v>
          </cell>
        </row>
        <row r="1125">
          <cell r="A1125">
            <v>25653</v>
          </cell>
          <cell r="E1125" t="str">
            <v>ESMALTE ACRILICO</v>
          </cell>
        </row>
        <row r="1126">
          <cell r="A1126">
            <v>25673</v>
          </cell>
          <cell r="E1126" t="str">
            <v>ESMALTE ACRILICO</v>
          </cell>
        </row>
        <row r="1127">
          <cell r="A1127">
            <v>25683</v>
          </cell>
          <cell r="E1127" t="str">
            <v>ESMALTE ACRILICO</v>
          </cell>
        </row>
        <row r="1128">
          <cell r="A1128">
            <v>25691</v>
          </cell>
          <cell r="E1128" t="str">
            <v>ESMALTE ACRILICO</v>
          </cell>
        </row>
        <row r="1129">
          <cell r="A1129">
            <v>25693</v>
          </cell>
          <cell r="E1129" t="str">
            <v>ESMALTE ACRILICO</v>
          </cell>
        </row>
        <row r="1130">
          <cell r="A1130">
            <v>25704</v>
          </cell>
          <cell r="E1130" t="str">
            <v>ESMALTE ACRILICO</v>
          </cell>
        </row>
        <row r="1131">
          <cell r="A1131">
            <v>25734</v>
          </cell>
          <cell r="E1131" t="str">
            <v>ESMALTE ACRILICO</v>
          </cell>
        </row>
        <row r="1132">
          <cell r="A1132">
            <v>25751</v>
          </cell>
          <cell r="E1132" t="str">
            <v>ESMALTE ACRILICO</v>
          </cell>
        </row>
        <row r="1133">
          <cell r="A1133">
            <v>25753</v>
          </cell>
          <cell r="E1133" t="str">
            <v>ESMALTE ACRILICO</v>
          </cell>
        </row>
        <row r="1134">
          <cell r="A1134">
            <v>25801</v>
          </cell>
          <cell r="E1134" t="str">
            <v>ESMALTE ACRILICO</v>
          </cell>
        </row>
        <row r="1135">
          <cell r="A1135">
            <v>25803</v>
          </cell>
          <cell r="E1135" t="str">
            <v>ESMALTE ACRILICO</v>
          </cell>
        </row>
        <row r="1136">
          <cell r="A1136">
            <v>25913</v>
          </cell>
          <cell r="E1136" t="str">
            <v>ESMALTE ACRILICO</v>
          </cell>
        </row>
        <row r="1137">
          <cell r="A1137">
            <v>25923</v>
          </cell>
          <cell r="E1137" t="str">
            <v>ESMALTE ACRILICO</v>
          </cell>
        </row>
        <row r="1138">
          <cell r="A1138">
            <v>25931</v>
          </cell>
          <cell r="E1138" t="str">
            <v>ESMALTE ACRILICO</v>
          </cell>
        </row>
        <row r="1139">
          <cell r="A1139">
            <v>25933</v>
          </cell>
          <cell r="E1139" t="str">
            <v>ESMALTE ACRILICO</v>
          </cell>
        </row>
        <row r="1140">
          <cell r="A1140">
            <v>25943</v>
          </cell>
          <cell r="E1140" t="str">
            <v>ESMALTE ACRILICO</v>
          </cell>
        </row>
        <row r="1141">
          <cell r="A1141">
            <v>25953</v>
          </cell>
          <cell r="E1141" t="str">
            <v>ESMALTE ACRILICO</v>
          </cell>
        </row>
        <row r="1142">
          <cell r="A1142">
            <v>25961</v>
          </cell>
          <cell r="E1142" t="str">
            <v>ESMALTE ACRILICO</v>
          </cell>
        </row>
        <row r="1143">
          <cell r="A1143">
            <v>25963</v>
          </cell>
          <cell r="E1143" t="str">
            <v>ESMALTE ACRILICO</v>
          </cell>
        </row>
        <row r="1144">
          <cell r="A1144">
            <v>25973</v>
          </cell>
          <cell r="E1144" t="str">
            <v>ESMALTE ACRILICO</v>
          </cell>
        </row>
        <row r="1145">
          <cell r="A1145">
            <v>25983</v>
          </cell>
          <cell r="E1145" t="str">
            <v>ESMALTE ACRILICO</v>
          </cell>
        </row>
        <row r="1146">
          <cell r="A1146">
            <v>25990</v>
          </cell>
          <cell r="E1146" t="str">
            <v>ESMALTE ACRILICO</v>
          </cell>
        </row>
        <row r="1147">
          <cell r="A1147">
            <v>25991</v>
          </cell>
          <cell r="E1147" t="str">
            <v>ESMALTE ACRILICO</v>
          </cell>
        </row>
        <row r="1148">
          <cell r="A1148">
            <v>25993</v>
          </cell>
          <cell r="E1148" t="str">
            <v>ESMALTE ACRILICO</v>
          </cell>
        </row>
        <row r="1149">
          <cell r="A1149">
            <v>27801</v>
          </cell>
          <cell r="E1149" t="str">
            <v>BARNIZ ALQUIDALICO SIGLO</v>
          </cell>
        </row>
        <row r="1150">
          <cell r="A1150">
            <v>27803</v>
          </cell>
          <cell r="E1150" t="str">
            <v>BARNIZ ALQUIDALICO SIGLO</v>
          </cell>
        </row>
        <row r="1151">
          <cell r="A1151">
            <v>27804</v>
          </cell>
          <cell r="E1151" t="str">
            <v>BARNIZ ALQUIDALICO SIGLO</v>
          </cell>
        </row>
        <row r="1152">
          <cell r="A1152">
            <v>27806</v>
          </cell>
          <cell r="E1152" t="str">
            <v>BARNIZ ALQUIDALICO SIGLO</v>
          </cell>
        </row>
        <row r="1153">
          <cell r="A1153">
            <v>27813</v>
          </cell>
          <cell r="E1153" t="str">
            <v>BARNIZ ALQUIDALICO SIGLO</v>
          </cell>
        </row>
        <row r="1154">
          <cell r="A1154">
            <v>27814</v>
          </cell>
          <cell r="E1154" t="str">
            <v>OTROS INSUMOS</v>
          </cell>
        </row>
        <row r="1155">
          <cell r="A1155">
            <v>28001</v>
          </cell>
          <cell r="E1155" t="str">
            <v>ESMALTE - BRILLON</v>
          </cell>
        </row>
        <row r="1156">
          <cell r="A1156">
            <v>28003</v>
          </cell>
          <cell r="E1156" t="str">
            <v>ESMALTE - BRILLON</v>
          </cell>
        </row>
        <row r="1157">
          <cell r="A1157">
            <v>28004</v>
          </cell>
          <cell r="E1157" t="str">
            <v>ESMALTE - BRILLON</v>
          </cell>
        </row>
        <row r="1158">
          <cell r="A1158">
            <v>28005</v>
          </cell>
          <cell r="E1158" t="str">
            <v>ESMALTE - BRILLON</v>
          </cell>
        </row>
        <row r="1159">
          <cell r="A1159">
            <v>28006</v>
          </cell>
          <cell r="E1159" t="str">
            <v>ESMALTE - BRILLON</v>
          </cell>
        </row>
        <row r="1160">
          <cell r="A1160">
            <v>28011</v>
          </cell>
          <cell r="E1160" t="str">
            <v>ESMALTE - BRILLON</v>
          </cell>
        </row>
        <row r="1161">
          <cell r="A1161">
            <v>28013</v>
          </cell>
          <cell r="E1161" t="str">
            <v>ESMALTE - BRILLON</v>
          </cell>
        </row>
        <row r="1162">
          <cell r="A1162">
            <v>28014</v>
          </cell>
          <cell r="E1162" t="str">
            <v>ESMALTE - BRILLON</v>
          </cell>
        </row>
        <row r="1163">
          <cell r="A1163">
            <v>28015</v>
          </cell>
          <cell r="E1163" t="str">
            <v>ESMALTE - BRILLON</v>
          </cell>
        </row>
        <row r="1164">
          <cell r="A1164">
            <v>28016</v>
          </cell>
          <cell r="E1164" t="str">
            <v>ESMALTE - BRILLON</v>
          </cell>
        </row>
        <row r="1165">
          <cell r="A1165">
            <v>28031</v>
          </cell>
          <cell r="E1165" t="str">
            <v>ESMALTE - BRILLON</v>
          </cell>
        </row>
        <row r="1166">
          <cell r="A1166">
            <v>28033</v>
          </cell>
          <cell r="E1166" t="str">
            <v>ESMALTE - BRILLON</v>
          </cell>
        </row>
        <row r="1167">
          <cell r="A1167">
            <v>28034</v>
          </cell>
          <cell r="E1167" t="str">
            <v>ESMALTE - BRILLON</v>
          </cell>
        </row>
        <row r="1168">
          <cell r="A1168">
            <v>28035</v>
          </cell>
          <cell r="E1168" t="str">
            <v>ESMALTE - BRILLON</v>
          </cell>
        </row>
        <row r="1169">
          <cell r="A1169">
            <v>28036</v>
          </cell>
          <cell r="E1169" t="str">
            <v>ESMALTE - BRILLON</v>
          </cell>
        </row>
        <row r="1170">
          <cell r="A1170">
            <v>28051</v>
          </cell>
          <cell r="E1170" t="str">
            <v>ESMALTE - BRILLON</v>
          </cell>
        </row>
        <row r="1171">
          <cell r="A1171">
            <v>28053</v>
          </cell>
          <cell r="E1171" t="str">
            <v>ESMALTE - BRILLON</v>
          </cell>
        </row>
        <row r="1172">
          <cell r="A1172">
            <v>28054</v>
          </cell>
          <cell r="E1172" t="str">
            <v>ESMALTE - BRILLON</v>
          </cell>
        </row>
        <row r="1173">
          <cell r="A1173">
            <v>28055</v>
          </cell>
          <cell r="E1173" t="str">
            <v>ESMALTE - BRILLON</v>
          </cell>
        </row>
        <row r="1174">
          <cell r="A1174">
            <v>28056</v>
          </cell>
          <cell r="E1174" t="str">
            <v>ESMALTE - BRILLON</v>
          </cell>
        </row>
        <row r="1175">
          <cell r="A1175">
            <v>28093</v>
          </cell>
          <cell r="E1175" t="str">
            <v>ESMALTE - BRILLON</v>
          </cell>
        </row>
        <row r="1176">
          <cell r="A1176">
            <v>28094</v>
          </cell>
          <cell r="E1176" t="str">
            <v>ESMALTE - BRILLON</v>
          </cell>
        </row>
        <row r="1177">
          <cell r="A1177">
            <v>28095</v>
          </cell>
          <cell r="E1177" t="str">
            <v>ESMALTE - BRILLON</v>
          </cell>
        </row>
        <row r="1178">
          <cell r="A1178">
            <v>28096</v>
          </cell>
          <cell r="E1178" t="str">
            <v>ESMALTE - BRILLON</v>
          </cell>
        </row>
        <row r="1179">
          <cell r="A1179">
            <v>28101</v>
          </cell>
          <cell r="E1179" t="str">
            <v>ESMALTE - BRILLON</v>
          </cell>
        </row>
        <row r="1180">
          <cell r="A1180">
            <v>28103</v>
          </cell>
          <cell r="E1180" t="str">
            <v>ESMALTE - BRILLON</v>
          </cell>
        </row>
        <row r="1181">
          <cell r="A1181">
            <v>28104</v>
          </cell>
          <cell r="E1181" t="str">
            <v>ESMALTE - BRILLON</v>
          </cell>
        </row>
        <row r="1182">
          <cell r="A1182">
            <v>28105</v>
          </cell>
          <cell r="E1182" t="str">
            <v>ESMALTE - BRILLON</v>
          </cell>
        </row>
        <row r="1183">
          <cell r="A1183">
            <v>28106</v>
          </cell>
          <cell r="E1183" t="str">
            <v>ESMALTE - BRILLON</v>
          </cell>
        </row>
        <row r="1184">
          <cell r="A1184">
            <v>28131</v>
          </cell>
          <cell r="E1184" t="str">
            <v>ESMALTE - BRILLON</v>
          </cell>
        </row>
        <row r="1185">
          <cell r="A1185">
            <v>28133</v>
          </cell>
          <cell r="E1185" t="str">
            <v>ESMALTE - BRILLON</v>
          </cell>
        </row>
        <row r="1186">
          <cell r="A1186">
            <v>28134</v>
          </cell>
          <cell r="E1186" t="str">
            <v>ESMALTE - BRILLON</v>
          </cell>
        </row>
        <row r="1187">
          <cell r="A1187">
            <v>28135</v>
          </cell>
          <cell r="E1187" t="str">
            <v>ESMALTE - BRILLON</v>
          </cell>
        </row>
        <row r="1188">
          <cell r="A1188">
            <v>28136</v>
          </cell>
          <cell r="E1188" t="str">
            <v>ESMALTE - BRILLON</v>
          </cell>
        </row>
        <row r="1189">
          <cell r="A1189">
            <v>28151</v>
          </cell>
          <cell r="E1189" t="str">
            <v>ESMALTE - BRILLON</v>
          </cell>
        </row>
        <row r="1190">
          <cell r="A1190">
            <v>28153</v>
          </cell>
          <cell r="E1190" t="str">
            <v>ESMALTE - BRILLON</v>
          </cell>
        </row>
        <row r="1191">
          <cell r="A1191">
            <v>28154</v>
          </cell>
          <cell r="E1191" t="str">
            <v>ESMALTE - BRILLON</v>
          </cell>
        </row>
        <row r="1192">
          <cell r="A1192">
            <v>28155</v>
          </cell>
          <cell r="E1192" t="str">
            <v>ESMALTE - BRILLON</v>
          </cell>
        </row>
        <row r="1193">
          <cell r="A1193">
            <v>28156</v>
          </cell>
          <cell r="E1193" t="str">
            <v>ESMALTE - BRILLON</v>
          </cell>
        </row>
        <row r="1194">
          <cell r="A1194">
            <v>28211</v>
          </cell>
          <cell r="E1194" t="str">
            <v>ESMALTE - BRILLON</v>
          </cell>
        </row>
        <row r="1195">
          <cell r="A1195">
            <v>28213</v>
          </cell>
          <cell r="E1195" t="str">
            <v>ESMALTE - BRILLON</v>
          </cell>
        </row>
        <row r="1196">
          <cell r="A1196">
            <v>28214</v>
          </cell>
          <cell r="E1196" t="str">
            <v>ESMALTE - BRILLON</v>
          </cell>
        </row>
        <row r="1197">
          <cell r="A1197">
            <v>28215</v>
          </cell>
          <cell r="E1197" t="str">
            <v>ESMALTE - BRILLON</v>
          </cell>
        </row>
        <row r="1198">
          <cell r="A1198">
            <v>28216</v>
          </cell>
          <cell r="E1198" t="str">
            <v>ESMALTE - BRILLON</v>
          </cell>
        </row>
        <row r="1199">
          <cell r="A1199">
            <v>28241</v>
          </cell>
          <cell r="E1199" t="str">
            <v>ESMALTE - BRILLON</v>
          </cell>
        </row>
        <row r="1200">
          <cell r="A1200">
            <v>28243</v>
          </cell>
          <cell r="E1200" t="str">
            <v>ESMALTE - BRILLON</v>
          </cell>
        </row>
        <row r="1201">
          <cell r="A1201">
            <v>28244</v>
          </cell>
          <cell r="E1201" t="str">
            <v>ESMALTE - BRILLON</v>
          </cell>
        </row>
        <row r="1202">
          <cell r="A1202">
            <v>28246</v>
          </cell>
          <cell r="E1202" t="str">
            <v>ESMALTE - BRILLON</v>
          </cell>
        </row>
        <row r="1203">
          <cell r="A1203">
            <v>28261</v>
          </cell>
          <cell r="E1203" t="str">
            <v>ESMALTE - BRILLON</v>
          </cell>
        </row>
        <row r="1204">
          <cell r="A1204">
            <v>28263</v>
          </cell>
          <cell r="E1204" t="str">
            <v>ESMALTE - BRILLON</v>
          </cell>
        </row>
        <row r="1205">
          <cell r="A1205">
            <v>28264</v>
          </cell>
          <cell r="E1205" t="str">
            <v>ESMALTE - BRILLON</v>
          </cell>
        </row>
        <row r="1206">
          <cell r="A1206">
            <v>28265</v>
          </cell>
          <cell r="E1206" t="str">
            <v>ESMALTE - BRILLON</v>
          </cell>
        </row>
        <row r="1207">
          <cell r="A1207">
            <v>28266</v>
          </cell>
          <cell r="E1207" t="str">
            <v>ESMALTE - BRILLON</v>
          </cell>
        </row>
        <row r="1208">
          <cell r="A1208">
            <v>28301</v>
          </cell>
          <cell r="E1208" t="str">
            <v>ESMALTE - BRILLON</v>
          </cell>
        </row>
        <row r="1209">
          <cell r="A1209">
            <v>28303</v>
          </cell>
          <cell r="E1209" t="str">
            <v>ESMALTE - BRILLON</v>
          </cell>
        </row>
        <row r="1210">
          <cell r="A1210">
            <v>28304</v>
          </cell>
          <cell r="E1210" t="str">
            <v>ESMALTE - BRILLON</v>
          </cell>
        </row>
        <row r="1211">
          <cell r="A1211">
            <v>28305</v>
          </cell>
          <cell r="E1211" t="str">
            <v>ESMALTE - BRILLON</v>
          </cell>
        </row>
        <row r="1212">
          <cell r="A1212">
            <v>28306</v>
          </cell>
          <cell r="E1212" t="str">
            <v>ESMALTE - BRILLON</v>
          </cell>
        </row>
        <row r="1213">
          <cell r="A1213">
            <v>28351</v>
          </cell>
          <cell r="E1213" t="str">
            <v>ESMALTE - BRILLON</v>
          </cell>
        </row>
        <row r="1214">
          <cell r="A1214">
            <v>28353</v>
          </cell>
          <cell r="E1214" t="str">
            <v>ESMALTE - BRILLON</v>
          </cell>
        </row>
        <row r="1215">
          <cell r="A1215">
            <v>28354</v>
          </cell>
          <cell r="E1215" t="str">
            <v>ESMALTE - BRILLON</v>
          </cell>
        </row>
        <row r="1216">
          <cell r="A1216">
            <v>28355</v>
          </cell>
          <cell r="E1216" t="str">
            <v>ESMALTE - BRILLON</v>
          </cell>
        </row>
        <row r="1217">
          <cell r="A1217">
            <v>28356</v>
          </cell>
          <cell r="E1217" t="str">
            <v>ESMALTE - BRILLON</v>
          </cell>
        </row>
        <row r="1218">
          <cell r="A1218">
            <v>28423</v>
          </cell>
          <cell r="E1218" t="str">
            <v>ESMALTE - BRILLON</v>
          </cell>
        </row>
        <row r="1219">
          <cell r="A1219">
            <v>28424</v>
          </cell>
          <cell r="E1219" t="str">
            <v>ESMALTE - BRILLON</v>
          </cell>
        </row>
        <row r="1220">
          <cell r="A1220">
            <v>28426</v>
          </cell>
          <cell r="E1220" t="str">
            <v>ESMALTE - BRILLON</v>
          </cell>
        </row>
        <row r="1221">
          <cell r="A1221">
            <v>28441</v>
          </cell>
          <cell r="E1221" t="str">
            <v>ESMALTE - BRILLON</v>
          </cell>
        </row>
        <row r="1222">
          <cell r="A1222">
            <v>28443</v>
          </cell>
          <cell r="E1222" t="str">
            <v>ESMALTE - BRILLON</v>
          </cell>
        </row>
        <row r="1223">
          <cell r="A1223">
            <v>28444</v>
          </cell>
          <cell r="E1223" t="str">
            <v>ESMALTE - BRILLON</v>
          </cell>
        </row>
        <row r="1224">
          <cell r="A1224">
            <v>28445</v>
          </cell>
          <cell r="E1224" t="str">
            <v>ESMALTE - BRILLON</v>
          </cell>
        </row>
        <row r="1225">
          <cell r="A1225">
            <v>28446</v>
          </cell>
          <cell r="E1225" t="str">
            <v>ESMALTE - BRILLON</v>
          </cell>
        </row>
        <row r="1226">
          <cell r="A1226">
            <v>28451</v>
          </cell>
          <cell r="E1226" t="str">
            <v>ESMALTE - BRILLON</v>
          </cell>
        </row>
        <row r="1227">
          <cell r="A1227">
            <v>28453</v>
          </cell>
          <cell r="E1227" t="str">
            <v>ESMALTE - BRILLON</v>
          </cell>
        </row>
        <row r="1228">
          <cell r="A1228">
            <v>28454</v>
          </cell>
          <cell r="E1228" t="str">
            <v>ESMALTE - BRILLON</v>
          </cell>
        </row>
        <row r="1229">
          <cell r="A1229">
            <v>28455</v>
          </cell>
          <cell r="E1229" t="str">
            <v>ESMALTE - BRILLON</v>
          </cell>
        </row>
        <row r="1230">
          <cell r="A1230">
            <v>28456</v>
          </cell>
          <cell r="E1230" t="str">
            <v>ESMALTE - BRILLON</v>
          </cell>
        </row>
        <row r="1231">
          <cell r="A1231">
            <v>28491</v>
          </cell>
          <cell r="E1231" t="str">
            <v>ESMALTE - BRILLON</v>
          </cell>
        </row>
        <row r="1232">
          <cell r="A1232">
            <v>28493</v>
          </cell>
          <cell r="E1232" t="str">
            <v>ESMALTE - BRILLON</v>
          </cell>
        </row>
        <row r="1233">
          <cell r="A1233">
            <v>28494</v>
          </cell>
          <cell r="E1233" t="str">
            <v>ESMALTE - BRILLON</v>
          </cell>
        </row>
        <row r="1234">
          <cell r="A1234">
            <v>28495</v>
          </cell>
          <cell r="E1234" t="str">
            <v>ESMALTE - BRILLON</v>
          </cell>
        </row>
        <row r="1235">
          <cell r="A1235">
            <v>28496</v>
          </cell>
          <cell r="E1235" t="str">
            <v>ESMALTE - BRILLON</v>
          </cell>
        </row>
        <row r="1236">
          <cell r="A1236">
            <v>28561</v>
          </cell>
          <cell r="E1236" t="str">
            <v>ESMALTE - BRILLON</v>
          </cell>
        </row>
        <row r="1237">
          <cell r="A1237">
            <v>28563</v>
          </cell>
          <cell r="E1237" t="str">
            <v>ESMALTE - BRILLON</v>
          </cell>
        </row>
        <row r="1238">
          <cell r="A1238">
            <v>28564</v>
          </cell>
          <cell r="E1238" t="str">
            <v>ESMALTE - BRILLON</v>
          </cell>
        </row>
        <row r="1239">
          <cell r="A1239">
            <v>28565</v>
          </cell>
          <cell r="E1239" t="str">
            <v>ESMALTE - BRILLON</v>
          </cell>
        </row>
        <row r="1240">
          <cell r="A1240">
            <v>28566</v>
          </cell>
          <cell r="E1240" t="str">
            <v>ESMALTE - BRILLON</v>
          </cell>
        </row>
        <row r="1241">
          <cell r="A1241">
            <v>28571</v>
          </cell>
          <cell r="E1241" t="str">
            <v>ESMALTE - BRILLON</v>
          </cell>
        </row>
        <row r="1242">
          <cell r="A1242">
            <v>28573</v>
          </cell>
          <cell r="E1242" t="str">
            <v>ESMALTE - BRILLON</v>
          </cell>
        </row>
        <row r="1243">
          <cell r="A1243">
            <v>28574</v>
          </cell>
          <cell r="E1243" t="str">
            <v>ESMALTE - BRILLON</v>
          </cell>
        </row>
        <row r="1244">
          <cell r="A1244">
            <v>28575</v>
          </cell>
          <cell r="E1244" t="str">
            <v>ESMALTE - BRILLON</v>
          </cell>
        </row>
        <row r="1245">
          <cell r="A1245">
            <v>28576</v>
          </cell>
          <cell r="E1245" t="str">
            <v>ESMALTE - BRILLON</v>
          </cell>
        </row>
        <row r="1246">
          <cell r="A1246">
            <v>28581</v>
          </cell>
          <cell r="E1246" t="str">
            <v>ESMALTE - BRILLON</v>
          </cell>
        </row>
        <row r="1247">
          <cell r="A1247">
            <v>28583</v>
          </cell>
          <cell r="E1247" t="str">
            <v>ESMALTE - BRILLON</v>
          </cell>
        </row>
        <row r="1248">
          <cell r="A1248">
            <v>28584</v>
          </cell>
          <cell r="E1248" t="str">
            <v>ESMALTE - BRILLON</v>
          </cell>
        </row>
        <row r="1249">
          <cell r="A1249">
            <v>28585</v>
          </cell>
          <cell r="E1249" t="str">
            <v>ESMALTE - BRILLON</v>
          </cell>
        </row>
        <row r="1250">
          <cell r="A1250">
            <v>28586</v>
          </cell>
          <cell r="E1250" t="str">
            <v>ESMALTE - BRILLON</v>
          </cell>
        </row>
        <row r="1251">
          <cell r="A1251">
            <v>28631</v>
          </cell>
          <cell r="E1251" t="str">
            <v>ESMALTE - BRILLON</v>
          </cell>
        </row>
        <row r="1252">
          <cell r="A1252">
            <v>28633</v>
          </cell>
          <cell r="E1252" t="str">
            <v>ESMALTE - BRILLON</v>
          </cell>
        </row>
        <row r="1253">
          <cell r="A1253">
            <v>28634</v>
          </cell>
          <cell r="E1253" t="str">
            <v>ESMALTE - BRILLON</v>
          </cell>
        </row>
        <row r="1254">
          <cell r="A1254">
            <v>28635</v>
          </cell>
          <cell r="E1254" t="str">
            <v>ESMALTE - BRILLON</v>
          </cell>
        </row>
        <row r="1255">
          <cell r="A1255">
            <v>28636</v>
          </cell>
          <cell r="E1255" t="str">
            <v>ESMALTE - BRILLON</v>
          </cell>
        </row>
        <row r="1256">
          <cell r="A1256">
            <v>28641</v>
          </cell>
          <cell r="E1256" t="str">
            <v>ESMALTE - BRILLON</v>
          </cell>
        </row>
        <row r="1257">
          <cell r="A1257">
            <v>28643</v>
          </cell>
          <cell r="E1257" t="str">
            <v>ESMALTE - BRILLON</v>
          </cell>
        </row>
        <row r="1258">
          <cell r="A1258">
            <v>28644</v>
          </cell>
          <cell r="E1258" t="str">
            <v>ESMALTE - BRILLON</v>
          </cell>
        </row>
        <row r="1259">
          <cell r="A1259">
            <v>28645</v>
          </cell>
          <cell r="E1259" t="str">
            <v>ESMALTE - BRILLON</v>
          </cell>
        </row>
        <row r="1260">
          <cell r="A1260">
            <v>28646</v>
          </cell>
          <cell r="E1260" t="str">
            <v>ESMALTE - BRILLON</v>
          </cell>
        </row>
        <row r="1261">
          <cell r="A1261">
            <v>28651</v>
          </cell>
          <cell r="E1261" t="str">
            <v>ESMALTE - BRILLON</v>
          </cell>
        </row>
        <row r="1262">
          <cell r="A1262">
            <v>28653</v>
          </cell>
          <cell r="E1262" t="str">
            <v>ESMALTE - BRILLON</v>
          </cell>
        </row>
        <row r="1263">
          <cell r="A1263">
            <v>28654</v>
          </cell>
          <cell r="E1263" t="str">
            <v>ESMALTE - BRILLON</v>
          </cell>
        </row>
        <row r="1264">
          <cell r="A1264">
            <v>28655</v>
          </cell>
          <cell r="E1264" t="str">
            <v>ESMALTE - BRILLON</v>
          </cell>
        </row>
        <row r="1265">
          <cell r="A1265">
            <v>28656</v>
          </cell>
          <cell r="E1265" t="str">
            <v>ESMALTE - BRILLON</v>
          </cell>
        </row>
        <row r="1266">
          <cell r="A1266">
            <v>28661</v>
          </cell>
          <cell r="E1266" t="str">
            <v>ESMALTE - BRILLON</v>
          </cell>
        </row>
        <row r="1267">
          <cell r="A1267">
            <v>28663</v>
          </cell>
          <cell r="E1267" t="str">
            <v>ESMALTE - BRILLON</v>
          </cell>
        </row>
        <row r="1268">
          <cell r="A1268">
            <v>28664</v>
          </cell>
          <cell r="E1268" t="str">
            <v>ESMALTE - BRILLON</v>
          </cell>
        </row>
        <row r="1269">
          <cell r="A1269">
            <v>28665</v>
          </cell>
          <cell r="E1269" t="str">
            <v>ESMALTE - BRILLON</v>
          </cell>
        </row>
        <row r="1270">
          <cell r="A1270">
            <v>28666</v>
          </cell>
          <cell r="E1270" t="str">
            <v>ESMALTE - BRILLON</v>
          </cell>
        </row>
        <row r="1271">
          <cell r="A1271">
            <v>28711</v>
          </cell>
          <cell r="E1271" t="str">
            <v>ESMALTE - BRILLON</v>
          </cell>
        </row>
        <row r="1272">
          <cell r="A1272">
            <v>28713</v>
          </cell>
          <cell r="E1272" t="str">
            <v>ESMALTE - BRILLON</v>
          </cell>
        </row>
        <row r="1273">
          <cell r="A1273">
            <v>28714</v>
          </cell>
          <cell r="E1273" t="str">
            <v>ESMALTE - BRILLON</v>
          </cell>
        </row>
        <row r="1274">
          <cell r="A1274">
            <v>28715</v>
          </cell>
          <cell r="E1274" t="str">
            <v>ESMALTE - BRILLON</v>
          </cell>
        </row>
        <row r="1275">
          <cell r="A1275">
            <v>28716</v>
          </cell>
          <cell r="E1275" t="str">
            <v>ESMALTE - BRILLON</v>
          </cell>
        </row>
        <row r="1276">
          <cell r="A1276">
            <v>28751</v>
          </cell>
          <cell r="E1276" t="str">
            <v>ESMALTE - BRILLON</v>
          </cell>
        </row>
        <row r="1277">
          <cell r="A1277">
            <v>28753</v>
          </cell>
          <cell r="E1277" t="str">
            <v>ESMALTE - BRILLON</v>
          </cell>
        </row>
        <row r="1278">
          <cell r="A1278">
            <v>28754</v>
          </cell>
          <cell r="E1278" t="str">
            <v>ESMALTE - BRILLON</v>
          </cell>
        </row>
        <row r="1279">
          <cell r="A1279">
            <v>28755</v>
          </cell>
          <cell r="E1279" t="str">
            <v>ESMALTE - BRILLON</v>
          </cell>
        </row>
        <row r="1280">
          <cell r="A1280">
            <v>28756</v>
          </cell>
          <cell r="E1280" t="str">
            <v>ESMALTE - BRILLON</v>
          </cell>
        </row>
        <row r="1281">
          <cell r="A1281">
            <v>28771</v>
          </cell>
          <cell r="E1281" t="str">
            <v>ESMALTE - BRILLON</v>
          </cell>
        </row>
        <row r="1282">
          <cell r="A1282">
            <v>28773</v>
          </cell>
          <cell r="E1282" t="str">
            <v>ESMALTE - BRILLON</v>
          </cell>
        </row>
        <row r="1283">
          <cell r="A1283">
            <v>28774</v>
          </cell>
          <cell r="E1283" t="str">
            <v>ESMALTE - BRILLON</v>
          </cell>
        </row>
        <row r="1284">
          <cell r="A1284">
            <v>28775</v>
          </cell>
          <cell r="E1284" t="str">
            <v>ESMALTE - BRILLON</v>
          </cell>
        </row>
        <row r="1285">
          <cell r="A1285">
            <v>28776</v>
          </cell>
          <cell r="E1285" t="str">
            <v>ESMALTE - BRILLON</v>
          </cell>
        </row>
        <row r="1286">
          <cell r="A1286">
            <v>28800</v>
          </cell>
          <cell r="E1286" t="str">
            <v>BARNIZ ALQUIDALICO SIGLO</v>
          </cell>
        </row>
        <row r="1287">
          <cell r="A1287">
            <v>28801</v>
          </cell>
          <cell r="E1287" t="str">
            <v>BARNIZ ALQUIDALICO SIGLO</v>
          </cell>
        </row>
        <row r="1288">
          <cell r="A1288">
            <v>28803</v>
          </cell>
          <cell r="E1288" t="str">
            <v>BARNIZ ALQUIDALICO SIGLO</v>
          </cell>
        </row>
        <row r="1289">
          <cell r="A1289">
            <v>28804</v>
          </cell>
          <cell r="E1289" t="str">
            <v>BARNIZ ALQUIDALICO SIGLO</v>
          </cell>
        </row>
        <row r="1290">
          <cell r="A1290">
            <v>28806</v>
          </cell>
          <cell r="E1290" t="str">
            <v>BARNIZ ALQUIDALICO SIGLO</v>
          </cell>
        </row>
        <row r="1291">
          <cell r="A1291">
            <v>28814</v>
          </cell>
          <cell r="E1291" t="str">
            <v>BARNIZ ALQUIDALICO SIGLO</v>
          </cell>
        </row>
        <row r="1292">
          <cell r="A1292">
            <v>28823</v>
          </cell>
          <cell r="E1292" t="str">
            <v>BARNIZ ALQUIDALICO SIGLO</v>
          </cell>
        </row>
        <row r="1293">
          <cell r="A1293">
            <v>28824</v>
          </cell>
          <cell r="E1293" t="str">
            <v>BARNIZ ALQUIDALICO SIGLO</v>
          </cell>
        </row>
        <row r="1294">
          <cell r="A1294">
            <v>28826</v>
          </cell>
          <cell r="E1294" t="str">
            <v>BARNIZ ALQUIDALICO SIGLO</v>
          </cell>
        </row>
        <row r="1295">
          <cell r="A1295">
            <v>28833</v>
          </cell>
          <cell r="E1295" t="str">
            <v>BARNIZ ALQUIDALICO SIGLO</v>
          </cell>
        </row>
        <row r="1296">
          <cell r="A1296">
            <v>28834</v>
          </cell>
          <cell r="E1296" t="str">
            <v>BARNIZ ALQUIDALICO SIGLO</v>
          </cell>
        </row>
        <row r="1297">
          <cell r="A1297">
            <v>28836</v>
          </cell>
          <cell r="E1297" t="str">
            <v>BARNIZ ALQUIDALICO SIGLO</v>
          </cell>
        </row>
        <row r="1298">
          <cell r="A1298">
            <v>28843</v>
          </cell>
          <cell r="E1298" t="str">
            <v>BARNIZ ALQUIDALICO SIGLO</v>
          </cell>
        </row>
        <row r="1299">
          <cell r="A1299">
            <v>28844</v>
          </cell>
          <cell r="E1299" t="str">
            <v>BARNIZ ALQUIDALICO SIGLO</v>
          </cell>
        </row>
        <row r="1300">
          <cell r="A1300">
            <v>28846</v>
          </cell>
          <cell r="E1300" t="str">
            <v>BARNIZ ALQUIDALICO SIGLO</v>
          </cell>
        </row>
        <row r="1301">
          <cell r="A1301">
            <v>28850</v>
          </cell>
          <cell r="E1301" t="str">
            <v>BARNIZ ALQUIDALICO SIGLO</v>
          </cell>
        </row>
        <row r="1302">
          <cell r="A1302">
            <v>28853</v>
          </cell>
          <cell r="E1302" t="str">
            <v>BARNIZ ALQUIDALICO SIGLO</v>
          </cell>
        </row>
        <row r="1303">
          <cell r="A1303">
            <v>28854</v>
          </cell>
          <cell r="E1303" t="str">
            <v>BARNIZ ALQUIDALICO SIGLO</v>
          </cell>
        </row>
        <row r="1304">
          <cell r="A1304">
            <v>28856</v>
          </cell>
          <cell r="E1304" t="str">
            <v>BARNIZ ALQUIDALICO SIGLO</v>
          </cell>
        </row>
        <row r="1305">
          <cell r="A1305">
            <v>28863</v>
          </cell>
          <cell r="E1305" t="str">
            <v>BARNIZ ALQUIDALICO SIGLO</v>
          </cell>
        </row>
        <row r="1306">
          <cell r="A1306">
            <v>28864</v>
          </cell>
          <cell r="E1306" t="str">
            <v>BARNIZ ALQUIDALICO SIGLO</v>
          </cell>
        </row>
        <row r="1307">
          <cell r="A1307">
            <v>28866</v>
          </cell>
          <cell r="E1307" t="str">
            <v>BARNIZ ALQUIDALICO SIGLO</v>
          </cell>
        </row>
        <row r="1308">
          <cell r="A1308">
            <v>28883</v>
          </cell>
          <cell r="E1308" t="str">
            <v>BARNIZ ALQUIDALICO SIGLO</v>
          </cell>
        </row>
        <row r="1309">
          <cell r="A1309">
            <v>28884</v>
          </cell>
          <cell r="E1309" t="str">
            <v>BARNIZ ALQUIDALICO SIGLO</v>
          </cell>
        </row>
        <row r="1310">
          <cell r="A1310">
            <v>28886</v>
          </cell>
          <cell r="E1310" t="str">
            <v>BARNIZ ALQUIDALICO SIGLO</v>
          </cell>
        </row>
        <row r="1311">
          <cell r="A1311">
            <v>28893</v>
          </cell>
          <cell r="E1311" t="str">
            <v>BARNIZ ALQUIDALICO SIGLO</v>
          </cell>
        </row>
        <row r="1312">
          <cell r="A1312">
            <v>28894</v>
          </cell>
          <cell r="E1312" t="str">
            <v>BARNIZ ALQUIDALICO SIGLO</v>
          </cell>
        </row>
        <row r="1313">
          <cell r="A1313">
            <v>28896</v>
          </cell>
          <cell r="E1313" t="str">
            <v>BARNIZ ALQUIDALICO SIGLO</v>
          </cell>
        </row>
        <row r="1314">
          <cell r="A1314">
            <v>28903</v>
          </cell>
          <cell r="E1314" t="str">
            <v>BARNIZ ALQUIDALICO SIGLO</v>
          </cell>
        </row>
        <row r="1315">
          <cell r="A1315">
            <v>28904</v>
          </cell>
          <cell r="E1315" t="str">
            <v>BARNIZ ALQUIDALICO SIGLO</v>
          </cell>
        </row>
        <row r="1316">
          <cell r="A1316">
            <v>28906</v>
          </cell>
          <cell r="E1316" t="str">
            <v>BARNIZ ALQUIDALICO SIGLO</v>
          </cell>
        </row>
        <row r="1317">
          <cell r="A1317">
            <v>28913</v>
          </cell>
          <cell r="E1317" t="str">
            <v>ESMALTE - BRILLON</v>
          </cell>
        </row>
        <row r="1318">
          <cell r="A1318">
            <v>28914</v>
          </cell>
          <cell r="E1318" t="str">
            <v>ESMALTE - BRILLON</v>
          </cell>
        </row>
        <row r="1319">
          <cell r="A1319">
            <v>28915</v>
          </cell>
          <cell r="E1319" t="str">
            <v>ESMALTE - BRILLON</v>
          </cell>
        </row>
        <row r="1320">
          <cell r="A1320">
            <v>28916</v>
          </cell>
          <cell r="E1320" t="str">
            <v>ESMALTE - BRILLON</v>
          </cell>
        </row>
        <row r="1321">
          <cell r="A1321">
            <v>28923</v>
          </cell>
          <cell r="E1321" t="str">
            <v>ESMALTE - OTROS</v>
          </cell>
        </row>
        <row r="1322">
          <cell r="A1322">
            <v>28924</v>
          </cell>
          <cell r="E1322" t="str">
            <v>ESMALTE - OTROS</v>
          </cell>
        </row>
        <row r="1323">
          <cell r="A1323">
            <v>28931</v>
          </cell>
          <cell r="E1323" t="str">
            <v>ESMALTE - BRILLON</v>
          </cell>
        </row>
        <row r="1324">
          <cell r="A1324">
            <v>28933</v>
          </cell>
          <cell r="E1324" t="str">
            <v>ESMALTE - BRILLON</v>
          </cell>
        </row>
        <row r="1325">
          <cell r="A1325">
            <v>28934</v>
          </cell>
          <cell r="E1325" t="str">
            <v>ESMALTE - BRILLON</v>
          </cell>
        </row>
        <row r="1326">
          <cell r="A1326">
            <v>28935</v>
          </cell>
          <cell r="E1326" t="str">
            <v>ESMALTE - BRILLON</v>
          </cell>
        </row>
        <row r="1327">
          <cell r="A1327">
            <v>28936</v>
          </cell>
          <cell r="E1327" t="str">
            <v>ESMALTE - BRILLON</v>
          </cell>
        </row>
        <row r="1328">
          <cell r="A1328">
            <v>28943</v>
          </cell>
          <cell r="E1328" t="str">
            <v>BARNIZ ALQUIDALICO SIGLO</v>
          </cell>
        </row>
        <row r="1329">
          <cell r="A1329">
            <v>28944</v>
          </cell>
          <cell r="E1329" t="str">
            <v>BARNIZ ALQUIDALICO SIGLO</v>
          </cell>
        </row>
        <row r="1330">
          <cell r="A1330">
            <v>28946</v>
          </cell>
          <cell r="E1330" t="str">
            <v>BARNIZ ALQUIDALICO SIGLO</v>
          </cell>
        </row>
        <row r="1331">
          <cell r="A1331">
            <v>28954</v>
          </cell>
          <cell r="E1331" t="str">
            <v>BARNIZ ALQUIDALICO SIGLO</v>
          </cell>
        </row>
        <row r="1332">
          <cell r="A1332">
            <v>28956</v>
          </cell>
          <cell r="E1332" t="str">
            <v>BARNIZ ALQUIDALICO SIGLO</v>
          </cell>
        </row>
        <row r="1333">
          <cell r="A1333">
            <v>28961</v>
          </cell>
          <cell r="E1333" t="str">
            <v>ESMALTE - BRILLON</v>
          </cell>
        </row>
        <row r="1334">
          <cell r="A1334">
            <v>28963</v>
          </cell>
          <cell r="E1334" t="str">
            <v>ESMALTE - BRILLON</v>
          </cell>
        </row>
        <row r="1335">
          <cell r="A1335">
            <v>28964</v>
          </cell>
          <cell r="E1335" t="str">
            <v>ESMALTE - BRILLON</v>
          </cell>
        </row>
        <row r="1336">
          <cell r="A1336">
            <v>28965</v>
          </cell>
          <cell r="E1336" t="str">
            <v>ESMALTE - BRILLON</v>
          </cell>
        </row>
        <row r="1337">
          <cell r="A1337">
            <v>28966</v>
          </cell>
          <cell r="E1337" t="str">
            <v>ESMALTE - BRILLON</v>
          </cell>
        </row>
        <row r="1338">
          <cell r="A1338">
            <v>28973</v>
          </cell>
          <cell r="E1338" t="str">
            <v>BARNIZ ALQUIDALICO SIGLO</v>
          </cell>
        </row>
        <row r="1339">
          <cell r="A1339">
            <v>28974</v>
          </cell>
          <cell r="E1339" t="str">
            <v>BARNIZ ALQUIDALICO SIGLO</v>
          </cell>
        </row>
        <row r="1340">
          <cell r="A1340">
            <v>28981</v>
          </cell>
          <cell r="E1340" t="str">
            <v>ESMALTE - BRILLON</v>
          </cell>
        </row>
        <row r="1341">
          <cell r="A1341">
            <v>28983</v>
          </cell>
          <cell r="E1341" t="str">
            <v>ESMALTE - BRILLON</v>
          </cell>
        </row>
        <row r="1342">
          <cell r="A1342">
            <v>28984</v>
          </cell>
          <cell r="E1342" t="str">
            <v>ESMALTE - BRILLON</v>
          </cell>
        </row>
        <row r="1343">
          <cell r="A1343">
            <v>28985</v>
          </cell>
          <cell r="E1343" t="str">
            <v>ESMALTE - BRILLON</v>
          </cell>
        </row>
        <row r="1344">
          <cell r="A1344">
            <v>28986</v>
          </cell>
          <cell r="E1344" t="str">
            <v>ESMALTE - BRILLON</v>
          </cell>
        </row>
        <row r="1345">
          <cell r="A1345">
            <v>28994</v>
          </cell>
          <cell r="E1345" t="str">
            <v>BARNIZ ALQUIDALICO SIGLO</v>
          </cell>
        </row>
        <row r="1346">
          <cell r="A1346">
            <v>29002</v>
          </cell>
          <cell r="E1346" t="str">
            <v>PASTA RELLENADORA</v>
          </cell>
        </row>
        <row r="1347">
          <cell r="A1347">
            <v>29003</v>
          </cell>
          <cell r="E1347" t="str">
            <v>PASTA RELLENADORA</v>
          </cell>
        </row>
        <row r="1348">
          <cell r="A1348">
            <v>29004</v>
          </cell>
          <cell r="E1348" t="str">
            <v>PASTA RELLENADORA</v>
          </cell>
        </row>
        <row r="1349">
          <cell r="A1349">
            <v>29012</v>
          </cell>
          <cell r="E1349" t="str">
            <v>PASTA RELLENADORA</v>
          </cell>
        </row>
        <row r="1350">
          <cell r="A1350">
            <v>29013</v>
          </cell>
          <cell r="E1350" t="str">
            <v>PASTA RELLENADORA</v>
          </cell>
        </row>
        <row r="1351">
          <cell r="A1351">
            <v>29014</v>
          </cell>
          <cell r="E1351" t="str">
            <v>PASTA RELLENADORA</v>
          </cell>
        </row>
        <row r="1352">
          <cell r="A1352">
            <v>29024</v>
          </cell>
          <cell r="E1352" t="str">
            <v>PASTA RELLENADORA</v>
          </cell>
        </row>
        <row r="1353">
          <cell r="A1353">
            <v>29101</v>
          </cell>
          <cell r="E1353" t="str">
            <v>REMOVEDOR</v>
          </cell>
        </row>
        <row r="1354">
          <cell r="A1354">
            <v>29103</v>
          </cell>
          <cell r="E1354" t="str">
            <v>REMOVEDOR</v>
          </cell>
        </row>
        <row r="1355">
          <cell r="A1355">
            <v>29104</v>
          </cell>
          <cell r="E1355" t="str">
            <v>REMOVEDOR</v>
          </cell>
        </row>
        <row r="1356">
          <cell r="A1356">
            <v>29203</v>
          </cell>
          <cell r="E1356" t="str">
            <v>RELLENADOR</v>
          </cell>
        </row>
        <row r="1357">
          <cell r="A1357">
            <v>29204</v>
          </cell>
          <cell r="E1357" t="str">
            <v>RELLENADOR</v>
          </cell>
        </row>
        <row r="1358">
          <cell r="A1358">
            <v>29205</v>
          </cell>
          <cell r="E1358" t="str">
            <v>RELLENADOR</v>
          </cell>
        </row>
        <row r="1359">
          <cell r="A1359">
            <v>29213</v>
          </cell>
          <cell r="E1359" t="str">
            <v>FONDO UNIVERSAL</v>
          </cell>
        </row>
        <row r="1360">
          <cell r="A1360">
            <v>29214</v>
          </cell>
          <cell r="E1360" t="str">
            <v>FONDO UNIVERSAL</v>
          </cell>
        </row>
        <row r="1361">
          <cell r="A1361">
            <v>29223</v>
          </cell>
          <cell r="E1361" t="str">
            <v>RELLENADOR</v>
          </cell>
        </row>
        <row r="1362">
          <cell r="A1362">
            <v>29224</v>
          </cell>
          <cell r="E1362" t="str">
            <v>RELLENADOR</v>
          </cell>
        </row>
        <row r="1363">
          <cell r="A1363">
            <v>29225</v>
          </cell>
          <cell r="E1363" t="str">
            <v>RELLENADOR</v>
          </cell>
        </row>
        <row r="1364">
          <cell r="A1364">
            <v>29233</v>
          </cell>
          <cell r="E1364" t="str">
            <v>RELLENADOR</v>
          </cell>
        </row>
        <row r="1365">
          <cell r="A1365">
            <v>29234</v>
          </cell>
          <cell r="E1365" t="str">
            <v>RELLENADOR</v>
          </cell>
        </row>
        <row r="1366">
          <cell r="A1366">
            <v>29235</v>
          </cell>
          <cell r="E1366" t="str">
            <v>RELLENADOR</v>
          </cell>
        </row>
        <row r="1367">
          <cell r="A1367">
            <v>29243</v>
          </cell>
          <cell r="E1367" t="str">
            <v>RELLENADOR</v>
          </cell>
        </row>
        <row r="1368">
          <cell r="A1368">
            <v>29244</v>
          </cell>
          <cell r="E1368" t="str">
            <v>RELLENADOR</v>
          </cell>
        </row>
        <row r="1369">
          <cell r="A1369">
            <v>29245</v>
          </cell>
          <cell r="E1369" t="str">
            <v>RELLENADOR</v>
          </cell>
        </row>
        <row r="1370">
          <cell r="A1370">
            <v>29253</v>
          </cell>
          <cell r="E1370" t="str">
            <v>FONDO UNIVERSAL</v>
          </cell>
        </row>
        <row r="1371">
          <cell r="A1371">
            <v>29273</v>
          </cell>
          <cell r="E1371" t="str">
            <v>RELLENADOR</v>
          </cell>
        </row>
        <row r="1372">
          <cell r="A1372">
            <v>29274</v>
          </cell>
          <cell r="E1372" t="str">
            <v>RELLENADOR</v>
          </cell>
        </row>
        <row r="1373">
          <cell r="A1373">
            <v>29283</v>
          </cell>
          <cell r="E1373" t="str">
            <v>RELLENADOR</v>
          </cell>
        </row>
        <row r="1374">
          <cell r="A1374">
            <v>29284</v>
          </cell>
          <cell r="E1374" t="str">
            <v>RELLENADOR</v>
          </cell>
        </row>
        <row r="1375">
          <cell r="A1375">
            <v>29293</v>
          </cell>
          <cell r="E1375" t="str">
            <v>FONDO UNIVERSAL</v>
          </cell>
        </row>
        <row r="1376">
          <cell r="A1376">
            <v>29294</v>
          </cell>
          <cell r="E1376" t="str">
            <v>FONDO UNIVERSAL</v>
          </cell>
        </row>
        <row r="1377">
          <cell r="A1377">
            <v>29300</v>
          </cell>
          <cell r="E1377" t="str">
            <v>FONDO DE NITRO AUTOMOTRIZ</v>
          </cell>
        </row>
        <row r="1378">
          <cell r="A1378">
            <v>29301</v>
          </cell>
          <cell r="E1378" t="str">
            <v>FONDO DE NITRO AUTOMOTRIZ</v>
          </cell>
        </row>
        <row r="1379">
          <cell r="A1379">
            <v>29303</v>
          </cell>
          <cell r="E1379" t="str">
            <v>FONDO DE NITRO AUTOMOTRIZ</v>
          </cell>
        </row>
        <row r="1380">
          <cell r="A1380">
            <v>29304</v>
          </cell>
          <cell r="E1380" t="str">
            <v>FONDO DE NITRO AUTOMOTRIZ</v>
          </cell>
        </row>
        <row r="1381">
          <cell r="A1381">
            <v>29305</v>
          </cell>
          <cell r="E1381" t="str">
            <v>FONDO DE NITRO AUTOMOTRIZ</v>
          </cell>
        </row>
        <row r="1382">
          <cell r="A1382">
            <v>29311</v>
          </cell>
          <cell r="E1382" t="str">
            <v>FONDO DE NITRO AUTOMOTRIZ</v>
          </cell>
        </row>
        <row r="1383">
          <cell r="A1383">
            <v>29313</v>
          </cell>
          <cell r="E1383" t="str">
            <v>FONDO DE NITRO AUTOMOTRIZ</v>
          </cell>
        </row>
        <row r="1384">
          <cell r="A1384">
            <v>29314</v>
          </cell>
          <cell r="E1384" t="str">
            <v>FONDO DE NITRO AUTOMOTRIZ</v>
          </cell>
        </row>
        <row r="1385">
          <cell r="A1385">
            <v>29321</v>
          </cell>
          <cell r="E1385" t="str">
            <v>FONDO UNIVERSAL</v>
          </cell>
        </row>
        <row r="1386">
          <cell r="A1386">
            <v>29323</v>
          </cell>
          <cell r="E1386" t="str">
            <v>FONDO UNIVERSAL</v>
          </cell>
        </row>
        <row r="1387">
          <cell r="A1387">
            <v>29324</v>
          </cell>
          <cell r="E1387" t="str">
            <v>FONDO UNIVERSAL</v>
          </cell>
        </row>
        <row r="1388">
          <cell r="A1388">
            <v>29331</v>
          </cell>
          <cell r="E1388" t="str">
            <v>FONDO UNIVERSAL</v>
          </cell>
        </row>
        <row r="1389">
          <cell r="A1389">
            <v>29333</v>
          </cell>
          <cell r="E1389" t="str">
            <v>FONDO DE NITRO AUTOMOTRIZ</v>
          </cell>
        </row>
        <row r="1390">
          <cell r="A1390">
            <v>29334</v>
          </cell>
          <cell r="E1390" t="str">
            <v>FONDO DE NITRO AUTOMOTRIZ</v>
          </cell>
        </row>
        <row r="1391">
          <cell r="A1391">
            <v>29351</v>
          </cell>
          <cell r="E1391" t="str">
            <v>FONDO DE NITRO AUTOMOTRIZ</v>
          </cell>
        </row>
        <row r="1392">
          <cell r="A1392">
            <v>29353</v>
          </cell>
          <cell r="E1392" t="str">
            <v>FONDO DE NITRO AUTOMOTRIZ</v>
          </cell>
        </row>
        <row r="1393">
          <cell r="A1393">
            <v>29354</v>
          </cell>
          <cell r="E1393" t="str">
            <v>FONDO DE NITRO AUTOMOTRIZ</v>
          </cell>
        </row>
        <row r="1394">
          <cell r="A1394">
            <v>29355</v>
          </cell>
          <cell r="E1394" t="str">
            <v>FONDO DE NITRO AUTOMOTRIZ</v>
          </cell>
        </row>
        <row r="1395">
          <cell r="A1395">
            <v>29373</v>
          </cell>
          <cell r="E1395" t="str">
            <v>FONDO ALQUIDAL</v>
          </cell>
        </row>
        <row r="1396">
          <cell r="A1396">
            <v>29381</v>
          </cell>
          <cell r="E1396" t="str">
            <v>FONDO DE NITRO AUTOMOTRIZ</v>
          </cell>
        </row>
        <row r="1397">
          <cell r="A1397">
            <v>29383</v>
          </cell>
          <cell r="E1397" t="str">
            <v>FONDO DE NITRO AUTOMOTRIZ</v>
          </cell>
        </row>
        <row r="1398">
          <cell r="A1398">
            <v>29384</v>
          </cell>
          <cell r="E1398" t="str">
            <v>FONDO DE NITRO AUTOMOTRIZ</v>
          </cell>
        </row>
        <row r="1399">
          <cell r="A1399">
            <v>29385</v>
          </cell>
          <cell r="E1399" t="str">
            <v>FONDO DE NITRO AUTOMOTRIZ</v>
          </cell>
        </row>
        <row r="1400">
          <cell r="A1400">
            <v>29391</v>
          </cell>
          <cell r="E1400" t="str">
            <v>FONDO DE NITRO AUTOMOTRIZ</v>
          </cell>
        </row>
        <row r="1401">
          <cell r="A1401">
            <v>29393</v>
          </cell>
          <cell r="E1401" t="str">
            <v>FONDO DE NITRO AUTOMOTRIZ</v>
          </cell>
        </row>
        <row r="1402">
          <cell r="A1402">
            <v>29394</v>
          </cell>
          <cell r="E1402" t="str">
            <v>FONDO DE NITRO AUTOMOTRIZ</v>
          </cell>
        </row>
        <row r="1403">
          <cell r="A1403">
            <v>29395</v>
          </cell>
          <cell r="E1403" t="str">
            <v>FONDO DE NITRO AUTOMOTRIZ</v>
          </cell>
        </row>
        <row r="1404">
          <cell r="A1404">
            <v>29403</v>
          </cell>
          <cell r="E1404" t="str">
            <v>PLASTE</v>
          </cell>
        </row>
        <row r="1405">
          <cell r="A1405">
            <v>29404</v>
          </cell>
          <cell r="E1405" t="str">
            <v>PLASTE</v>
          </cell>
        </row>
        <row r="1406">
          <cell r="A1406">
            <v>29405</v>
          </cell>
          <cell r="E1406" t="str">
            <v>PLASTE</v>
          </cell>
        </row>
        <row r="1407">
          <cell r="A1407">
            <v>29416</v>
          </cell>
          <cell r="E1407" t="str">
            <v>ESTETICA AUTOMOTRIZ</v>
          </cell>
        </row>
        <row r="1408">
          <cell r="A1408">
            <v>29471</v>
          </cell>
          <cell r="E1408" t="str">
            <v>PLASTE</v>
          </cell>
        </row>
        <row r="1409">
          <cell r="A1409">
            <v>29473</v>
          </cell>
          <cell r="E1409" t="str">
            <v>PLASTE</v>
          </cell>
        </row>
        <row r="1410">
          <cell r="A1410">
            <v>29474</v>
          </cell>
          <cell r="E1410" t="str">
            <v>PLASTE</v>
          </cell>
        </row>
        <row r="1411">
          <cell r="A1411">
            <v>29475</v>
          </cell>
          <cell r="E1411" t="str">
            <v>PLASTE</v>
          </cell>
        </row>
        <row r="1412">
          <cell r="A1412">
            <v>29481</v>
          </cell>
          <cell r="E1412" t="str">
            <v>PLASTE</v>
          </cell>
        </row>
        <row r="1413">
          <cell r="A1413">
            <v>29483</v>
          </cell>
          <cell r="E1413" t="str">
            <v>PLASTE</v>
          </cell>
        </row>
        <row r="1414">
          <cell r="A1414">
            <v>29484</v>
          </cell>
          <cell r="E1414" t="str">
            <v>PLASTE</v>
          </cell>
        </row>
        <row r="1415">
          <cell r="A1415">
            <v>29485</v>
          </cell>
          <cell r="E1415" t="str">
            <v>PLASTE</v>
          </cell>
        </row>
        <row r="1416">
          <cell r="A1416">
            <v>29491</v>
          </cell>
          <cell r="E1416" t="str">
            <v>PLASTE</v>
          </cell>
        </row>
        <row r="1417">
          <cell r="A1417">
            <v>29493</v>
          </cell>
          <cell r="E1417" t="str">
            <v>PLASTE</v>
          </cell>
        </row>
        <row r="1418">
          <cell r="A1418">
            <v>29494</v>
          </cell>
          <cell r="E1418" t="str">
            <v>PLASTE</v>
          </cell>
        </row>
        <row r="1419">
          <cell r="A1419">
            <v>29495</v>
          </cell>
          <cell r="E1419" t="str">
            <v>PLASTE</v>
          </cell>
        </row>
        <row r="1420">
          <cell r="A1420">
            <v>29501</v>
          </cell>
          <cell r="E1420" t="str">
            <v>PULIMENTO</v>
          </cell>
        </row>
        <row r="1421">
          <cell r="A1421">
            <v>29503</v>
          </cell>
          <cell r="E1421" t="str">
            <v>PULIMENTO</v>
          </cell>
        </row>
        <row r="1422">
          <cell r="A1422">
            <v>29504</v>
          </cell>
          <cell r="E1422" t="str">
            <v>PULIMENTO</v>
          </cell>
        </row>
        <row r="1423">
          <cell r="A1423">
            <v>29505</v>
          </cell>
          <cell r="E1423" t="str">
            <v>PULIMENTO</v>
          </cell>
        </row>
        <row r="1424">
          <cell r="A1424">
            <v>29506</v>
          </cell>
          <cell r="E1424" t="str">
            <v>PULIMENTO</v>
          </cell>
        </row>
        <row r="1425">
          <cell r="A1425">
            <v>29507</v>
          </cell>
          <cell r="E1425" t="str">
            <v>PULIMENTO</v>
          </cell>
        </row>
        <row r="1426">
          <cell r="A1426">
            <v>29508</v>
          </cell>
          <cell r="E1426" t="str">
            <v>PULIMENTO</v>
          </cell>
        </row>
        <row r="1427">
          <cell r="A1427">
            <v>29513</v>
          </cell>
          <cell r="E1427" t="str">
            <v>PULIMENTO</v>
          </cell>
        </row>
        <row r="1428">
          <cell r="A1428">
            <v>29515</v>
          </cell>
          <cell r="E1428" t="str">
            <v>PULIMENTO</v>
          </cell>
        </row>
        <row r="1429">
          <cell r="A1429">
            <v>29525</v>
          </cell>
          <cell r="E1429" t="str">
            <v>ESTETICA AUTOMOTRIZ</v>
          </cell>
        </row>
        <row r="1430">
          <cell r="A1430">
            <v>29546</v>
          </cell>
          <cell r="E1430" t="str">
            <v>ESTETICA AUTOMOTRIZ</v>
          </cell>
        </row>
        <row r="1431">
          <cell r="A1431">
            <v>29553</v>
          </cell>
          <cell r="E1431" t="str">
            <v>PULIMENTO</v>
          </cell>
        </row>
        <row r="1432">
          <cell r="A1432">
            <v>29555</v>
          </cell>
          <cell r="E1432" t="str">
            <v>PULIMENTO</v>
          </cell>
        </row>
        <row r="1433">
          <cell r="A1433">
            <v>29565</v>
          </cell>
          <cell r="E1433" t="str">
            <v>ESTETICA AUTOMOTRIZ</v>
          </cell>
        </row>
        <row r="1434">
          <cell r="A1434">
            <v>29583</v>
          </cell>
          <cell r="E1434" t="str">
            <v>ESTETICA AUTOMOTRIZ</v>
          </cell>
        </row>
        <row r="1435">
          <cell r="A1435">
            <v>29585</v>
          </cell>
          <cell r="E1435" t="str">
            <v>ESTETICA AUTOMOTRIZ</v>
          </cell>
        </row>
        <row r="1436">
          <cell r="A1436">
            <v>29591</v>
          </cell>
          <cell r="E1436" t="str">
            <v>PULIMENTO</v>
          </cell>
        </row>
        <row r="1437">
          <cell r="A1437">
            <v>29593</v>
          </cell>
          <cell r="E1437" t="str">
            <v>PULIMENTO</v>
          </cell>
        </row>
        <row r="1438">
          <cell r="A1438">
            <v>29594</v>
          </cell>
          <cell r="E1438" t="str">
            <v>PULIMENTO</v>
          </cell>
        </row>
        <row r="1439">
          <cell r="A1439">
            <v>29595</v>
          </cell>
          <cell r="E1439" t="str">
            <v>PULIMENTO</v>
          </cell>
        </row>
        <row r="1440">
          <cell r="A1440">
            <v>29596</v>
          </cell>
          <cell r="E1440" t="str">
            <v>PULIMENTO</v>
          </cell>
        </row>
        <row r="1441">
          <cell r="A1441">
            <v>29600</v>
          </cell>
          <cell r="E1441" t="str">
            <v>BICAPA TRANSPARENTE</v>
          </cell>
        </row>
        <row r="1442">
          <cell r="A1442">
            <v>29603</v>
          </cell>
          <cell r="E1442" t="str">
            <v>ESMALTE ACRILICO</v>
          </cell>
        </row>
        <row r="1443">
          <cell r="A1443">
            <v>29604</v>
          </cell>
          <cell r="E1443" t="str">
            <v>ESMALTE ACRILICO</v>
          </cell>
        </row>
        <row r="1444">
          <cell r="A1444">
            <v>29610</v>
          </cell>
          <cell r="E1444" t="str">
            <v>BICAPA TRANSPARENTE</v>
          </cell>
        </row>
        <row r="1445">
          <cell r="A1445">
            <v>29613</v>
          </cell>
          <cell r="E1445" t="str">
            <v>BICAPA TRANSPARENTE</v>
          </cell>
        </row>
        <row r="1446">
          <cell r="A1446">
            <v>29614</v>
          </cell>
          <cell r="E1446" t="str">
            <v>BICAPA TRANSPARENTE</v>
          </cell>
        </row>
        <row r="1447">
          <cell r="A1447">
            <v>29631</v>
          </cell>
          <cell r="E1447" t="str">
            <v>CATALIZADOR UNIVERSAL</v>
          </cell>
        </row>
        <row r="1448">
          <cell r="A1448">
            <v>29634</v>
          </cell>
          <cell r="E1448" t="str">
            <v>CATALIZADOR UNIVERSAL</v>
          </cell>
        </row>
        <row r="1449">
          <cell r="A1449">
            <v>29635</v>
          </cell>
          <cell r="E1449" t="str">
            <v>CATALIZADOR UNIVERSAL</v>
          </cell>
        </row>
        <row r="1450">
          <cell r="A1450">
            <v>29636</v>
          </cell>
          <cell r="E1450" t="str">
            <v>CATALIZADOR UNIVERSAL</v>
          </cell>
        </row>
        <row r="1451">
          <cell r="A1451">
            <v>29644</v>
          </cell>
          <cell r="E1451" t="str">
            <v>CATALIZADOR UNIVERSAL</v>
          </cell>
        </row>
        <row r="1452">
          <cell r="A1452">
            <v>29645</v>
          </cell>
          <cell r="E1452" t="str">
            <v>CATALIZADOR UNIVERSAL</v>
          </cell>
        </row>
        <row r="1453">
          <cell r="A1453">
            <v>29646</v>
          </cell>
          <cell r="E1453" t="str">
            <v>CATALIZADOR UNIVERSAL</v>
          </cell>
        </row>
        <row r="1454">
          <cell r="A1454">
            <v>29655</v>
          </cell>
          <cell r="E1454" t="str">
            <v>ENDURECEDORES PARA BICAPA</v>
          </cell>
        </row>
        <row r="1455">
          <cell r="A1455">
            <v>29657</v>
          </cell>
          <cell r="E1455" t="str">
            <v>ENDURECEDORES PARA BICAPA</v>
          </cell>
        </row>
        <row r="1456">
          <cell r="A1456">
            <v>29665</v>
          </cell>
          <cell r="E1456" t="str">
            <v>ESMALTE ACRILICO</v>
          </cell>
        </row>
        <row r="1457">
          <cell r="A1457">
            <v>29675</v>
          </cell>
          <cell r="E1457" t="str">
            <v>ENDURECEDORES PARA BICAPA</v>
          </cell>
        </row>
        <row r="1458">
          <cell r="A1458">
            <v>29677</v>
          </cell>
          <cell r="E1458" t="str">
            <v>ENDURECEDORES PARA BICAPA</v>
          </cell>
        </row>
        <row r="1459">
          <cell r="A1459">
            <v>29711</v>
          </cell>
          <cell r="E1459" t="str">
            <v>ACCESORIOS PARA PREPARACION DE</v>
          </cell>
        </row>
        <row r="1460">
          <cell r="A1460">
            <v>29714</v>
          </cell>
          <cell r="E1460" t="str">
            <v>ACCESORIOS PARA PREPARACION DE</v>
          </cell>
        </row>
        <row r="1461">
          <cell r="A1461">
            <v>29716</v>
          </cell>
          <cell r="E1461" t="str">
            <v>ACCESORIOS PARA PREPARACION DE</v>
          </cell>
        </row>
        <row r="1462">
          <cell r="A1462">
            <v>29733</v>
          </cell>
          <cell r="E1462" t="str">
            <v>BICAPA TRANSPARENTE</v>
          </cell>
        </row>
        <row r="1463">
          <cell r="A1463">
            <v>29734</v>
          </cell>
          <cell r="E1463" t="str">
            <v>BICAPA TRANSPARENTE</v>
          </cell>
        </row>
        <row r="1464">
          <cell r="A1464">
            <v>29744</v>
          </cell>
          <cell r="E1464" t="str">
            <v>ENDURECEDORES PARA BICAPA</v>
          </cell>
        </row>
        <row r="1465">
          <cell r="A1465">
            <v>29746</v>
          </cell>
          <cell r="E1465" t="str">
            <v>ENDURECEDORES PARA BICAPA</v>
          </cell>
        </row>
        <row r="1466">
          <cell r="A1466">
            <v>30000</v>
          </cell>
          <cell r="E1466" t="str">
            <v>VINILICA - POLIPRISA</v>
          </cell>
        </row>
        <row r="1467">
          <cell r="A1467">
            <v>30001</v>
          </cell>
          <cell r="E1467" t="str">
            <v>VINILICA - POLIPRISA</v>
          </cell>
        </row>
        <row r="1468">
          <cell r="A1468">
            <v>30002</v>
          </cell>
          <cell r="E1468" t="str">
            <v>VINILICA-POLIPRISA 70 ANIVERSA</v>
          </cell>
        </row>
        <row r="1469">
          <cell r="A1469">
            <v>30003</v>
          </cell>
          <cell r="E1469" t="str">
            <v>VINILICA - POLIPRISA</v>
          </cell>
        </row>
        <row r="1470">
          <cell r="A1470">
            <v>30004</v>
          </cell>
          <cell r="E1470" t="str">
            <v>VINILICA - POLIPRISA</v>
          </cell>
        </row>
        <row r="1471">
          <cell r="A1471">
            <v>30041</v>
          </cell>
          <cell r="E1471" t="str">
            <v>VINILICA - POLIPRISA</v>
          </cell>
        </row>
        <row r="1472">
          <cell r="A1472">
            <v>30043</v>
          </cell>
          <cell r="E1472" t="str">
            <v>VINILICA - POLIPRISA</v>
          </cell>
        </row>
        <row r="1473">
          <cell r="A1473">
            <v>30044</v>
          </cell>
          <cell r="E1473" t="str">
            <v>VINILICA - POLIPRISA</v>
          </cell>
        </row>
        <row r="1474">
          <cell r="A1474">
            <v>30051</v>
          </cell>
          <cell r="E1474" t="str">
            <v>VINILICA - POLIPRISA</v>
          </cell>
        </row>
        <row r="1475">
          <cell r="A1475">
            <v>30053</v>
          </cell>
          <cell r="E1475" t="str">
            <v>VINILICA - POLIPRISA</v>
          </cell>
        </row>
        <row r="1476">
          <cell r="A1476">
            <v>30054</v>
          </cell>
          <cell r="E1476" t="str">
            <v>VINILICA - POLIPRISA</v>
          </cell>
        </row>
        <row r="1477">
          <cell r="A1477">
            <v>30071</v>
          </cell>
          <cell r="E1477" t="str">
            <v>VINILICA - POLIPRISA</v>
          </cell>
        </row>
        <row r="1478">
          <cell r="A1478">
            <v>30073</v>
          </cell>
          <cell r="E1478" t="str">
            <v>VINILICA - POLIPRISA</v>
          </cell>
        </row>
        <row r="1479">
          <cell r="A1479">
            <v>30074</v>
          </cell>
          <cell r="E1479" t="str">
            <v>VINILICA - POLIPRISA</v>
          </cell>
        </row>
        <row r="1480">
          <cell r="A1480">
            <v>30081</v>
          </cell>
          <cell r="E1480" t="str">
            <v>VINILICA - POLIPRISA</v>
          </cell>
        </row>
        <row r="1481">
          <cell r="A1481">
            <v>30083</v>
          </cell>
          <cell r="E1481" t="str">
            <v>VINILICA - POLIPRISA</v>
          </cell>
        </row>
        <row r="1482">
          <cell r="A1482">
            <v>30084</v>
          </cell>
          <cell r="E1482" t="str">
            <v>VINILICA - POLIPRISA</v>
          </cell>
        </row>
        <row r="1483">
          <cell r="A1483">
            <v>30150</v>
          </cell>
          <cell r="E1483" t="str">
            <v>VINILICA - POLIPRISA</v>
          </cell>
        </row>
        <row r="1484">
          <cell r="A1484">
            <v>30151</v>
          </cell>
          <cell r="E1484" t="str">
            <v>VINILICA - POLIPRISA</v>
          </cell>
        </row>
        <row r="1485">
          <cell r="A1485">
            <v>30153</v>
          </cell>
          <cell r="E1485" t="str">
            <v>VINILICA - POLIPRISA</v>
          </cell>
        </row>
        <row r="1486">
          <cell r="A1486">
            <v>30154</v>
          </cell>
          <cell r="E1486" t="str">
            <v>VINILICA - POLIPRISA</v>
          </cell>
        </row>
        <row r="1487">
          <cell r="A1487">
            <v>30161</v>
          </cell>
          <cell r="E1487" t="str">
            <v>VINILICA - POLIPRISA</v>
          </cell>
        </row>
        <row r="1488">
          <cell r="A1488">
            <v>30163</v>
          </cell>
          <cell r="E1488" t="str">
            <v>VINILICA - POLIPRISA</v>
          </cell>
        </row>
        <row r="1489">
          <cell r="A1489">
            <v>30164</v>
          </cell>
          <cell r="E1489" t="str">
            <v>VINILICA - POLIPRISA</v>
          </cell>
        </row>
        <row r="1490">
          <cell r="A1490">
            <v>30261</v>
          </cell>
          <cell r="E1490" t="str">
            <v>VINILICA - POLIPRISA</v>
          </cell>
        </row>
        <row r="1491">
          <cell r="A1491">
            <v>30263</v>
          </cell>
          <cell r="E1491" t="str">
            <v>VINILICA - POLIPRISA</v>
          </cell>
        </row>
        <row r="1492">
          <cell r="A1492">
            <v>30264</v>
          </cell>
          <cell r="E1492" t="str">
            <v>VINILICA - POLIPRISA</v>
          </cell>
        </row>
        <row r="1493">
          <cell r="A1493">
            <v>30351</v>
          </cell>
          <cell r="E1493" t="str">
            <v>VINILICA - POLIPRISA</v>
          </cell>
        </row>
        <row r="1494">
          <cell r="A1494">
            <v>30353</v>
          </cell>
          <cell r="E1494" t="str">
            <v>VINILICA - POLIPRISA</v>
          </cell>
        </row>
        <row r="1495">
          <cell r="A1495">
            <v>30354</v>
          </cell>
          <cell r="E1495" t="str">
            <v>VINILICA - POLIPRISA</v>
          </cell>
        </row>
        <row r="1496">
          <cell r="A1496">
            <v>30361</v>
          </cell>
          <cell r="E1496" t="str">
            <v>VINILICA - POLIPRISA</v>
          </cell>
        </row>
        <row r="1497">
          <cell r="A1497">
            <v>30363</v>
          </cell>
          <cell r="E1497" t="str">
            <v>VINILICA - POLIPRISA</v>
          </cell>
        </row>
        <row r="1498">
          <cell r="A1498">
            <v>30364</v>
          </cell>
          <cell r="E1498" t="str">
            <v>VINILICA - POLIPRISA</v>
          </cell>
        </row>
        <row r="1499">
          <cell r="A1499">
            <v>30381</v>
          </cell>
          <cell r="E1499" t="str">
            <v>VINILICA - POLIPRISA</v>
          </cell>
        </row>
        <row r="1500">
          <cell r="A1500">
            <v>30383</v>
          </cell>
          <cell r="E1500" t="str">
            <v>VINILICA - POLIPRISA</v>
          </cell>
        </row>
        <row r="1501">
          <cell r="A1501">
            <v>30384</v>
          </cell>
          <cell r="E1501" t="str">
            <v>VINILICA - POLIPRISA</v>
          </cell>
        </row>
        <row r="1502">
          <cell r="A1502">
            <v>30451</v>
          </cell>
          <cell r="E1502" t="str">
            <v>VINILICA - POLIPRISA</v>
          </cell>
        </row>
        <row r="1503">
          <cell r="A1503">
            <v>30453</v>
          </cell>
          <cell r="E1503" t="str">
            <v>VINILICA - POLIPRISA</v>
          </cell>
        </row>
        <row r="1504">
          <cell r="A1504">
            <v>30454</v>
          </cell>
          <cell r="E1504" t="str">
            <v>VINILICA - POLIPRISA</v>
          </cell>
        </row>
        <row r="1505">
          <cell r="A1505">
            <v>30571</v>
          </cell>
          <cell r="E1505" t="str">
            <v>VINILICA - POLIPRISA</v>
          </cell>
        </row>
        <row r="1506">
          <cell r="A1506">
            <v>30573</v>
          </cell>
          <cell r="E1506" t="str">
            <v>VINILICA - POLIPRISA</v>
          </cell>
        </row>
        <row r="1507">
          <cell r="A1507">
            <v>30574</v>
          </cell>
          <cell r="E1507" t="str">
            <v>VINILICA - POLIPRISA</v>
          </cell>
        </row>
        <row r="1508">
          <cell r="A1508">
            <v>30581</v>
          </cell>
          <cell r="E1508" t="str">
            <v>VINILICA - POLIPRISA</v>
          </cell>
        </row>
        <row r="1509">
          <cell r="A1509">
            <v>30584</v>
          </cell>
          <cell r="E1509" t="str">
            <v>VINILICA - POLIPRISA</v>
          </cell>
        </row>
        <row r="1510">
          <cell r="A1510">
            <v>30601</v>
          </cell>
          <cell r="E1510" t="str">
            <v>VINILICA - POLIPRISA</v>
          </cell>
        </row>
        <row r="1511">
          <cell r="A1511">
            <v>30603</v>
          </cell>
          <cell r="E1511" t="str">
            <v>VINILICA - POLIPRISA</v>
          </cell>
        </row>
        <row r="1512">
          <cell r="A1512">
            <v>30604</v>
          </cell>
          <cell r="E1512" t="str">
            <v>VINILICA - POLIPRISA</v>
          </cell>
        </row>
        <row r="1513">
          <cell r="A1513">
            <v>30651</v>
          </cell>
          <cell r="E1513" t="str">
            <v>VINILICA - POLIPRISA</v>
          </cell>
        </row>
        <row r="1514">
          <cell r="A1514">
            <v>30653</v>
          </cell>
          <cell r="E1514" t="str">
            <v>VINILICA - POLIPRISA</v>
          </cell>
        </row>
        <row r="1515">
          <cell r="A1515">
            <v>30654</v>
          </cell>
          <cell r="E1515" t="str">
            <v>VINILICA - POLIPRISA</v>
          </cell>
        </row>
        <row r="1516">
          <cell r="A1516">
            <v>30751</v>
          </cell>
          <cell r="E1516" t="str">
            <v>VINILICA - POLIPRISA</v>
          </cell>
        </row>
        <row r="1517">
          <cell r="A1517">
            <v>30753</v>
          </cell>
          <cell r="E1517" t="str">
            <v>VINILICA - POLIPRISA</v>
          </cell>
        </row>
        <row r="1518">
          <cell r="A1518">
            <v>30754</v>
          </cell>
          <cell r="E1518" t="str">
            <v>VINILICA - POLIPRISA</v>
          </cell>
        </row>
        <row r="1519">
          <cell r="A1519">
            <v>30791</v>
          </cell>
          <cell r="E1519" t="str">
            <v>VINILICA - POLIPRISA</v>
          </cell>
        </row>
        <row r="1520">
          <cell r="A1520">
            <v>30793</v>
          </cell>
          <cell r="E1520" t="str">
            <v>VINILICA - POLIPRISA</v>
          </cell>
        </row>
        <row r="1521">
          <cell r="A1521">
            <v>30794</v>
          </cell>
          <cell r="E1521" t="str">
            <v>VINILICA - POLIPRISA</v>
          </cell>
        </row>
        <row r="1522">
          <cell r="A1522">
            <v>30991</v>
          </cell>
          <cell r="E1522" t="str">
            <v>VINILICA - POLIPRISA</v>
          </cell>
        </row>
        <row r="1523">
          <cell r="A1523">
            <v>30993</v>
          </cell>
          <cell r="E1523" t="str">
            <v>VINILICA - POLIPRISA</v>
          </cell>
        </row>
        <row r="1524">
          <cell r="A1524">
            <v>30994</v>
          </cell>
          <cell r="E1524" t="str">
            <v>VINILICA - POLIPRISA</v>
          </cell>
        </row>
        <row r="1525">
          <cell r="A1525">
            <v>31041</v>
          </cell>
          <cell r="E1525" t="str">
            <v>VINILICA - MAXIPRISA</v>
          </cell>
        </row>
        <row r="1526">
          <cell r="A1526">
            <v>31043</v>
          </cell>
          <cell r="E1526" t="str">
            <v>VINILICA - MAXIPRISA</v>
          </cell>
        </row>
        <row r="1527">
          <cell r="A1527">
            <v>31100</v>
          </cell>
          <cell r="E1527" t="str">
            <v>VINILICA - MAXIPRISA</v>
          </cell>
        </row>
        <row r="1528">
          <cell r="A1528">
            <v>31101</v>
          </cell>
          <cell r="E1528" t="str">
            <v>VINILICA - MAXIPRISA</v>
          </cell>
        </row>
        <row r="1529">
          <cell r="A1529">
            <v>31103</v>
          </cell>
          <cell r="E1529" t="str">
            <v>VINILICA - MAXIPRISA</v>
          </cell>
        </row>
        <row r="1530">
          <cell r="A1530">
            <v>31110</v>
          </cell>
          <cell r="E1530" t="str">
            <v>OTROS INGRESOS</v>
          </cell>
        </row>
        <row r="1531">
          <cell r="A1531">
            <v>31121</v>
          </cell>
          <cell r="E1531" t="str">
            <v>VINILICA - MAXIPRISA</v>
          </cell>
        </row>
        <row r="1532">
          <cell r="A1532">
            <v>31123</v>
          </cell>
          <cell r="E1532" t="str">
            <v>VINILICA - MAXIPRISA</v>
          </cell>
        </row>
        <row r="1533">
          <cell r="A1533">
            <v>31131</v>
          </cell>
          <cell r="E1533" t="str">
            <v>VINILICA - MAXIPRISA</v>
          </cell>
        </row>
        <row r="1534">
          <cell r="A1534">
            <v>31133</v>
          </cell>
          <cell r="E1534" t="str">
            <v>VINILICA - MAXIPRISA</v>
          </cell>
        </row>
        <row r="1535">
          <cell r="A1535">
            <v>31801</v>
          </cell>
          <cell r="E1535" t="str">
            <v>VINILICA - MAXIPRISA</v>
          </cell>
        </row>
        <row r="1536">
          <cell r="A1536">
            <v>31803</v>
          </cell>
          <cell r="E1536" t="str">
            <v>VINILICA - MAXIPRISA</v>
          </cell>
        </row>
        <row r="1537">
          <cell r="A1537">
            <v>31811</v>
          </cell>
          <cell r="E1537" t="str">
            <v>VINILICA - MAXIPRISA</v>
          </cell>
        </row>
        <row r="1538">
          <cell r="A1538">
            <v>31813</v>
          </cell>
          <cell r="E1538" t="str">
            <v>VINILICA - MAXIPRISA</v>
          </cell>
        </row>
        <row r="1539">
          <cell r="A1539">
            <v>31821</v>
          </cell>
          <cell r="E1539" t="str">
            <v>VINILICA - MAXIPRISA</v>
          </cell>
        </row>
        <row r="1540">
          <cell r="A1540">
            <v>31823</v>
          </cell>
          <cell r="E1540" t="str">
            <v>VINILICA - MAXIPRISA</v>
          </cell>
        </row>
        <row r="1541">
          <cell r="A1541">
            <v>31831</v>
          </cell>
          <cell r="E1541" t="str">
            <v>VINILICA - MAXIPRISA</v>
          </cell>
        </row>
        <row r="1542">
          <cell r="A1542">
            <v>31833</v>
          </cell>
          <cell r="E1542" t="str">
            <v>VINILICA - MAXIPRISA</v>
          </cell>
        </row>
        <row r="1543">
          <cell r="A1543">
            <v>31841</v>
          </cell>
          <cell r="E1543" t="str">
            <v>VINILICA - MAXIPRISA</v>
          </cell>
        </row>
        <row r="1544">
          <cell r="A1544">
            <v>31843</v>
          </cell>
          <cell r="E1544" t="str">
            <v>VINILICA - MAXIPRISA</v>
          </cell>
        </row>
        <row r="1545">
          <cell r="A1545">
            <v>31851</v>
          </cell>
          <cell r="E1545" t="str">
            <v>VINILICA - MAXIPRISA</v>
          </cell>
        </row>
        <row r="1546">
          <cell r="A1546">
            <v>31853</v>
          </cell>
          <cell r="E1546" t="str">
            <v>VINILICA - MAXIPRISA</v>
          </cell>
        </row>
        <row r="1547">
          <cell r="A1547">
            <v>31861</v>
          </cell>
          <cell r="E1547" t="str">
            <v>VINILICA - MAXIPRISA</v>
          </cell>
        </row>
        <row r="1548">
          <cell r="A1548">
            <v>31863</v>
          </cell>
          <cell r="E1548" t="str">
            <v>VINILICA - MAXIPRISA</v>
          </cell>
        </row>
        <row r="1549">
          <cell r="A1549">
            <v>31866</v>
          </cell>
          <cell r="E1549" t="str">
            <v>VINILICA - MAXIPRISA</v>
          </cell>
        </row>
        <row r="1550">
          <cell r="A1550">
            <v>31871</v>
          </cell>
          <cell r="E1550" t="str">
            <v>VINILICA - MAXIPRISA</v>
          </cell>
        </row>
        <row r="1551">
          <cell r="A1551">
            <v>31873</v>
          </cell>
          <cell r="E1551" t="str">
            <v>VINILICA - MAXIPRISA</v>
          </cell>
        </row>
        <row r="1552">
          <cell r="A1552">
            <v>31881</v>
          </cell>
          <cell r="E1552" t="str">
            <v>VINILICA - MAXIPRISA</v>
          </cell>
        </row>
        <row r="1553">
          <cell r="A1553">
            <v>31883</v>
          </cell>
          <cell r="E1553" t="str">
            <v>VINILICA - MAXIPRISA</v>
          </cell>
        </row>
        <row r="1554">
          <cell r="A1554">
            <v>31891</v>
          </cell>
          <cell r="E1554" t="str">
            <v>VINILICA - MAXIPRISA</v>
          </cell>
        </row>
        <row r="1555">
          <cell r="A1555">
            <v>31893</v>
          </cell>
          <cell r="E1555" t="str">
            <v>VINILICA - MAXIPRISA</v>
          </cell>
        </row>
        <row r="1556">
          <cell r="A1556">
            <v>31901</v>
          </cell>
          <cell r="E1556" t="str">
            <v>VINILICA - MAXIPRISA</v>
          </cell>
        </row>
        <row r="1557">
          <cell r="A1557">
            <v>31903</v>
          </cell>
          <cell r="E1557" t="str">
            <v>VINILICA - MAXIPRISA</v>
          </cell>
        </row>
        <row r="1558">
          <cell r="A1558">
            <v>31911</v>
          </cell>
          <cell r="E1558" t="str">
            <v>VINILICA - MAXIPRISA</v>
          </cell>
        </row>
        <row r="1559">
          <cell r="A1559">
            <v>31913</v>
          </cell>
          <cell r="E1559" t="str">
            <v>VINILICA - MAXIPRISA</v>
          </cell>
        </row>
        <row r="1560">
          <cell r="A1560">
            <v>31921</v>
          </cell>
          <cell r="E1560" t="str">
            <v>VINILICA - MAXIPRISA</v>
          </cell>
        </row>
        <row r="1561">
          <cell r="A1561">
            <v>31923</v>
          </cell>
          <cell r="E1561" t="str">
            <v>VINILICA - MAXIPRISA</v>
          </cell>
        </row>
        <row r="1562">
          <cell r="A1562">
            <v>31951</v>
          </cell>
          <cell r="E1562" t="str">
            <v>VINILICA - MAXIPRISA</v>
          </cell>
        </row>
        <row r="1563">
          <cell r="A1563">
            <v>31953</v>
          </cell>
          <cell r="E1563" t="str">
            <v>VINILICA - MAXIPRISA</v>
          </cell>
        </row>
        <row r="1564">
          <cell r="A1564">
            <v>31971</v>
          </cell>
          <cell r="E1564" t="str">
            <v>VINILICA - MAXIPRISA</v>
          </cell>
        </row>
        <row r="1565">
          <cell r="A1565">
            <v>31973</v>
          </cell>
          <cell r="E1565" t="str">
            <v>VINILICA - MAXIPRISA</v>
          </cell>
        </row>
        <row r="1566">
          <cell r="A1566">
            <v>32000</v>
          </cell>
          <cell r="E1566" t="str">
            <v>VINILICA - RIVINOL</v>
          </cell>
        </row>
        <row r="1567">
          <cell r="A1567">
            <v>32001</v>
          </cell>
          <cell r="E1567" t="str">
            <v>VINILICA - RIVINOL</v>
          </cell>
        </row>
        <row r="1568">
          <cell r="A1568">
            <v>32002</v>
          </cell>
          <cell r="E1568" t="str">
            <v>VINILICA - RIVINOL</v>
          </cell>
        </row>
        <row r="1569">
          <cell r="A1569">
            <v>32003</v>
          </cell>
          <cell r="E1569" t="str">
            <v>VINILICA - RIVINOL</v>
          </cell>
        </row>
        <row r="1570">
          <cell r="A1570">
            <v>32004</v>
          </cell>
          <cell r="E1570" t="str">
            <v>VINILICA - RIVINOL</v>
          </cell>
        </row>
        <row r="1571">
          <cell r="A1571">
            <v>32021</v>
          </cell>
          <cell r="E1571" t="str">
            <v>VINILICA - RIVINOL</v>
          </cell>
        </row>
        <row r="1572">
          <cell r="A1572">
            <v>32023</v>
          </cell>
          <cell r="E1572" t="str">
            <v>VINILICA - RIVINOL</v>
          </cell>
        </row>
        <row r="1573">
          <cell r="A1573">
            <v>32024</v>
          </cell>
          <cell r="E1573" t="str">
            <v>VINILICA - RIVINOL</v>
          </cell>
        </row>
        <row r="1574">
          <cell r="A1574">
            <v>32041</v>
          </cell>
          <cell r="E1574" t="str">
            <v>VINILICA - RIVINOL</v>
          </cell>
        </row>
        <row r="1575">
          <cell r="A1575">
            <v>32042</v>
          </cell>
          <cell r="E1575" t="str">
            <v>VINILICA-RIVINOL 70 ANIVERSAR</v>
          </cell>
        </row>
        <row r="1576">
          <cell r="A1576">
            <v>32043</v>
          </cell>
          <cell r="E1576" t="str">
            <v>VINILICA - RIVINOL</v>
          </cell>
        </row>
        <row r="1577">
          <cell r="A1577">
            <v>32044</v>
          </cell>
          <cell r="E1577" t="str">
            <v>VINILICA - RIVINOL</v>
          </cell>
        </row>
        <row r="1578">
          <cell r="A1578">
            <v>32051</v>
          </cell>
          <cell r="E1578" t="str">
            <v>VINILICA - RIVINOL</v>
          </cell>
        </row>
        <row r="1579">
          <cell r="A1579">
            <v>32052</v>
          </cell>
          <cell r="E1579" t="str">
            <v>VINILICA-RIVINOL 70 ANIVERSAR</v>
          </cell>
        </row>
        <row r="1580">
          <cell r="A1580">
            <v>32053</v>
          </cell>
          <cell r="E1580" t="str">
            <v>VINILICA - RIVINOL</v>
          </cell>
        </row>
        <row r="1581">
          <cell r="A1581">
            <v>32054</v>
          </cell>
          <cell r="E1581" t="str">
            <v>VINILICA - RIVINOL</v>
          </cell>
        </row>
        <row r="1582">
          <cell r="A1582">
            <v>32060</v>
          </cell>
          <cell r="E1582" t="str">
            <v>VINILICA - RIVINOL</v>
          </cell>
        </row>
        <row r="1583">
          <cell r="A1583">
            <v>32061</v>
          </cell>
          <cell r="E1583" t="str">
            <v>VINILICA - RIVINOL</v>
          </cell>
        </row>
        <row r="1584">
          <cell r="A1584">
            <v>32063</v>
          </cell>
          <cell r="E1584" t="str">
            <v>VINILICA - RIVINOL</v>
          </cell>
        </row>
        <row r="1585">
          <cell r="A1585">
            <v>32064</v>
          </cell>
          <cell r="E1585" t="str">
            <v>VINILICA - RIVINOL</v>
          </cell>
        </row>
        <row r="1586">
          <cell r="A1586">
            <v>32071</v>
          </cell>
          <cell r="E1586" t="str">
            <v>VINILICA - RIVINOL</v>
          </cell>
        </row>
        <row r="1587">
          <cell r="A1587">
            <v>32073</v>
          </cell>
          <cell r="E1587" t="str">
            <v>VINILICA - RIVINOL</v>
          </cell>
        </row>
        <row r="1588">
          <cell r="A1588">
            <v>32074</v>
          </cell>
          <cell r="E1588" t="str">
            <v>VINILICA - RIVINOL</v>
          </cell>
        </row>
        <row r="1589">
          <cell r="A1589">
            <v>32081</v>
          </cell>
          <cell r="E1589" t="str">
            <v>VINILICA - RIVINOL</v>
          </cell>
        </row>
        <row r="1590">
          <cell r="A1590">
            <v>32083</v>
          </cell>
          <cell r="E1590" t="str">
            <v>VINILICA - RIVINOL</v>
          </cell>
        </row>
        <row r="1591">
          <cell r="A1591">
            <v>32084</v>
          </cell>
          <cell r="E1591" t="str">
            <v>VINILICA - RIVINOL</v>
          </cell>
        </row>
        <row r="1592">
          <cell r="A1592">
            <v>32141</v>
          </cell>
          <cell r="E1592" t="str">
            <v>VINILICA - RIVINOL</v>
          </cell>
        </row>
        <row r="1593">
          <cell r="A1593">
            <v>32143</v>
          </cell>
          <cell r="E1593" t="str">
            <v>VINILICA - RIVINOL</v>
          </cell>
        </row>
        <row r="1594">
          <cell r="A1594">
            <v>32144</v>
          </cell>
          <cell r="E1594" t="str">
            <v>VINILICA - RIVINOL</v>
          </cell>
        </row>
        <row r="1595">
          <cell r="A1595">
            <v>32151</v>
          </cell>
          <cell r="E1595" t="str">
            <v>VINILICA - RIVINOL</v>
          </cell>
        </row>
        <row r="1596">
          <cell r="A1596">
            <v>32153</v>
          </cell>
          <cell r="E1596" t="str">
            <v>VINILICA - RIVINOL</v>
          </cell>
        </row>
        <row r="1597">
          <cell r="A1597">
            <v>32154</v>
          </cell>
          <cell r="E1597" t="str">
            <v>VINILICA - RIVINOL</v>
          </cell>
        </row>
        <row r="1598">
          <cell r="A1598">
            <v>32161</v>
          </cell>
          <cell r="E1598" t="str">
            <v>VINILICA - RIVINOL</v>
          </cell>
        </row>
        <row r="1599">
          <cell r="A1599">
            <v>32163</v>
          </cell>
          <cell r="E1599" t="str">
            <v>VINILICA - RIVINOL</v>
          </cell>
        </row>
        <row r="1600">
          <cell r="A1600">
            <v>32164</v>
          </cell>
          <cell r="E1600" t="str">
            <v>VINILICA - RIVINOL</v>
          </cell>
        </row>
        <row r="1601">
          <cell r="A1601">
            <v>32211</v>
          </cell>
          <cell r="E1601" t="str">
            <v>VINILICA - RIVINOL</v>
          </cell>
        </row>
        <row r="1602">
          <cell r="A1602">
            <v>32213</v>
          </cell>
          <cell r="E1602" t="str">
            <v>VINILICA - RIVINOL</v>
          </cell>
        </row>
        <row r="1603">
          <cell r="A1603">
            <v>32214</v>
          </cell>
          <cell r="E1603" t="str">
            <v>VINILICA - RIVINOL</v>
          </cell>
        </row>
        <row r="1604">
          <cell r="A1604">
            <v>32241</v>
          </cell>
          <cell r="E1604" t="str">
            <v>VINILICA - RIVINOL</v>
          </cell>
        </row>
        <row r="1605">
          <cell r="A1605">
            <v>32243</v>
          </cell>
          <cell r="E1605" t="str">
            <v>VINILICA - RIVINOL</v>
          </cell>
        </row>
        <row r="1606">
          <cell r="A1606">
            <v>32244</v>
          </cell>
          <cell r="E1606" t="str">
            <v>VINILICA - RIVINOL</v>
          </cell>
        </row>
        <row r="1607">
          <cell r="A1607">
            <v>32261</v>
          </cell>
          <cell r="E1607" t="str">
            <v>VINILICA - RIVINOL</v>
          </cell>
        </row>
        <row r="1608">
          <cell r="A1608">
            <v>32263</v>
          </cell>
          <cell r="E1608" t="str">
            <v>VINILICA - RIVINOL</v>
          </cell>
        </row>
        <row r="1609">
          <cell r="A1609">
            <v>32264</v>
          </cell>
          <cell r="E1609" t="str">
            <v>VINILICA - RIVINOL</v>
          </cell>
        </row>
        <row r="1610">
          <cell r="A1610">
            <v>32331</v>
          </cell>
          <cell r="E1610" t="str">
            <v>VINILICA - RIVINOL</v>
          </cell>
        </row>
        <row r="1611">
          <cell r="A1611">
            <v>32333</v>
          </cell>
          <cell r="E1611" t="str">
            <v>VINILICA - RIVINOL</v>
          </cell>
        </row>
        <row r="1612">
          <cell r="A1612">
            <v>32334</v>
          </cell>
          <cell r="E1612" t="str">
            <v>VINILICA - RIVINOL</v>
          </cell>
        </row>
        <row r="1613">
          <cell r="A1613">
            <v>32351</v>
          </cell>
          <cell r="E1613" t="str">
            <v>VINILICA - RIVINOL</v>
          </cell>
        </row>
        <row r="1614">
          <cell r="A1614">
            <v>32353</v>
          </cell>
          <cell r="E1614" t="str">
            <v>VINILICA - RIVINOL</v>
          </cell>
        </row>
        <row r="1615">
          <cell r="A1615">
            <v>32354</v>
          </cell>
          <cell r="E1615" t="str">
            <v>VINILICA - RIVINOL</v>
          </cell>
        </row>
        <row r="1616">
          <cell r="A1616">
            <v>32461</v>
          </cell>
          <cell r="E1616" t="str">
            <v>VINILICA - RIVINOL</v>
          </cell>
        </row>
        <row r="1617">
          <cell r="A1617">
            <v>32463</v>
          </cell>
          <cell r="E1617" t="str">
            <v>VINILICA - RIVINOL</v>
          </cell>
        </row>
        <row r="1618">
          <cell r="A1618">
            <v>32464</v>
          </cell>
          <cell r="E1618" t="str">
            <v>VINILICA - RIVINOL</v>
          </cell>
        </row>
        <row r="1619">
          <cell r="A1619">
            <v>32471</v>
          </cell>
          <cell r="E1619" t="str">
            <v>VINILICA - RIVINOL</v>
          </cell>
        </row>
        <row r="1620">
          <cell r="A1620">
            <v>32473</v>
          </cell>
          <cell r="E1620" t="str">
            <v>VINILICA - RIVINOL</v>
          </cell>
        </row>
        <row r="1621">
          <cell r="A1621">
            <v>32474</v>
          </cell>
          <cell r="E1621" t="str">
            <v>VINILICA - RIVINOL</v>
          </cell>
        </row>
        <row r="1622">
          <cell r="A1622">
            <v>32491</v>
          </cell>
          <cell r="E1622" t="str">
            <v>VINILICA - RIVINOL</v>
          </cell>
        </row>
        <row r="1623">
          <cell r="A1623">
            <v>32493</v>
          </cell>
          <cell r="E1623" t="str">
            <v>VINILICA - RIVINOL</v>
          </cell>
        </row>
        <row r="1624">
          <cell r="A1624">
            <v>32494</v>
          </cell>
          <cell r="E1624" t="str">
            <v>VINILICA - RIVINOL</v>
          </cell>
        </row>
        <row r="1625">
          <cell r="A1625">
            <v>32521</v>
          </cell>
          <cell r="E1625" t="str">
            <v>VINILICA - RIVINOL</v>
          </cell>
        </row>
        <row r="1626">
          <cell r="A1626">
            <v>32523</v>
          </cell>
          <cell r="E1626" t="str">
            <v>VINILICA - RIVINOL</v>
          </cell>
        </row>
        <row r="1627">
          <cell r="A1627">
            <v>32524</v>
          </cell>
          <cell r="E1627" t="str">
            <v>VINILICA - RIVINOL</v>
          </cell>
        </row>
        <row r="1628">
          <cell r="A1628">
            <v>32531</v>
          </cell>
          <cell r="E1628" t="str">
            <v>VINILICA - RIVINOL</v>
          </cell>
        </row>
        <row r="1629">
          <cell r="A1629">
            <v>32533</v>
          </cell>
          <cell r="E1629" t="str">
            <v>VINILICA - RIVINOL</v>
          </cell>
        </row>
        <row r="1630">
          <cell r="A1630">
            <v>32534</v>
          </cell>
          <cell r="E1630" t="str">
            <v>VINILICA - RIVINOL</v>
          </cell>
        </row>
        <row r="1631">
          <cell r="A1631">
            <v>32561</v>
          </cell>
          <cell r="E1631" t="str">
            <v>VINILICA - RIVINOL</v>
          </cell>
        </row>
        <row r="1632">
          <cell r="A1632">
            <v>32563</v>
          </cell>
          <cell r="E1632" t="str">
            <v>VINILICA - RIVINOL</v>
          </cell>
        </row>
        <row r="1633">
          <cell r="A1633">
            <v>32564</v>
          </cell>
          <cell r="E1633" t="str">
            <v>VINILICA - RIVINOL</v>
          </cell>
        </row>
        <row r="1634">
          <cell r="A1634">
            <v>32581</v>
          </cell>
          <cell r="E1634" t="str">
            <v>VINILICA - RIVINOL</v>
          </cell>
        </row>
        <row r="1635">
          <cell r="A1635">
            <v>32583</v>
          </cell>
          <cell r="E1635" t="str">
            <v>VINILICA - RIVINOL</v>
          </cell>
        </row>
        <row r="1636">
          <cell r="A1636">
            <v>32584</v>
          </cell>
          <cell r="E1636" t="str">
            <v>VINILICA - RIVINOL</v>
          </cell>
        </row>
        <row r="1637">
          <cell r="A1637">
            <v>32641</v>
          </cell>
          <cell r="E1637" t="str">
            <v>VINILICA - RIVINOL</v>
          </cell>
        </row>
        <row r="1638">
          <cell r="A1638">
            <v>32643</v>
          </cell>
          <cell r="E1638" t="str">
            <v>VINILICA - RIVINOL</v>
          </cell>
        </row>
        <row r="1639">
          <cell r="A1639">
            <v>32644</v>
          </cell>
          <cell r="E1639" t="str">
            <v>VINILICA - RIVINOL</v>
          </cell>
        </row>
        <row r="1640">
          <cell r="A1640">
            <v>32671</v>
          </cell>
          <cell r="E1640" t="str">
            <v>VINILICA - RIVINOL</v>
          </cell>
        </row>
        <row r="1641">
          <cell r="A1641">
            <v>32673</v>
          </cell>
          <cell r="E1641" t="str">
            <v>VINILICA - RIVINOL</v>
          </cell>
        </row>
        <row r="1642">
          <cell r="A1642">
            <v>32674</v>
          </cell>
          <cell r="E1642" t="str">
            <v>VINILICA - RIVINOL</v>
          </cell>
        </row>
        <row r="1643">
          <cell r="A1643">
            <v>32681</v>
          </cell>
          <cell r="E1643" t="str">
            <v>VINILICA - RIVINOL</v>
          </cell>
        </row>
        <row r="1644">
          <cell r="A1644">
            <v>32683</v>
          </cell>
          <cell r="E1644" t="str">
            <v>VINILICA - RIVINOL</v>
          </cell>
        </row>
        <row r="1645">
          <cell r="A1645">
            <v>32684</v>
          </cell>
          <cell r="E1645" t="str">
            <v>VINILICA - RIVINOL</v>
          </cell>
        </row>
        <row r="1646">
          <cell r="A1646">
            <v>32731</v>
          </cell>
          <cell r="E1646" t="str">
            <v>VINILICA - RIVINOL</v>
          </cell>
        </row>
        <row r="1647">
          <cell r="A1647">
            <v>32733</v>
          </cell>
          <cell r="E1647" t="str">
            <v>VINILICA - RIVINOL</v>
          </cell>
        </row>
        <row r="1648">
          <cell r="A1648">
            <v>32734</v>
          </cell>
          <cell r="E1648" t="str">
            <v>VINILICA - RIVINOL</v>
          </cell>
        </row>
        <row r="1649">
          <cell r="A1649">
            <v>32740</v>
          </cell>
          <cell r="E1649" t="str">
            <v>VINILICA - RIVINOL</v>
          </cell>
        </row>
        <row r="1650">
          <cell r="A1650">
            <v>32741</v>
          </cell>
          <cell r="E1650" t="str">
            <v>VINILICA - RIVINOL</v>
          </cell>
        </row>
        <row r="1651">
          <cell r="A1651">
            <v>32743</v>
          </cell>
          <cell r="E1651" t="str">
            <v>VINILICA - RIVINOL</v>
          </cell>
        </row>
        <row r="1652">
          <cell r="A1652">
            <v>32744</v>
          </cell>
          <cell r="E1652" t="str">
            <v>VINILICA - RIVINOL</v>
          </cell>
        </row>
        <row r="1653">
          <cell r="A1653">
            <v>32751</v>
          </cell>
          <cell r="E1653" t="str">
            <v>VINILICA - RIVINOL</v>
          </cell>
        </row>
        <row r="1654">
          <cell r="A1654">
            <v>32753</v>
          </cell>
          <cell r="E1654" t="str">
            <v>VINILICA - RIVINOL</v>
          </cell>
        </row>
        <row r="1655">
          <cell r="A1655">
            <v>32754</v>
          </cell>
          <cell r="E1655" t="str">
            <v>VINILICA - RIVINOL</v>
          </cell>
        </row>
        <row r="1656">
          <cell r="A1656">
            <v>32771</v>
          </cell>
          <cell r="E1656" t="str">
            <v>VINILICA - RIVINOL</v>
          </cell>
        </row>
        <row r="1657">
          <cell r="A1657">
            <v>32773</v>
          </cell>
          <cell r="E1657" t="str">
            <v>VINILICA - RIVINOL</v>
          </cell>
        </row>
        <row r="1658">
          <cell r="A1658">
            <v>32774</v>
          </cell>
          <cell r="E1658" t="str">
            <v>VINILICA - RIVINOL</v>
          </cell>
        </row>
        <row r="1659">
          <cell r="A1659">
            <v>32851</v>
          </cell>
          <cell r="E1659" t="str">
            <v>OTROS ACABADOS PARA MADERA SIG</v>
          </cell>
        </row>
        <row r="1660">
          <cell r="A1660">
            <v>32951</v>
          </cell>
          <cell r="E1660" t="str">
            <v>OTROS ACABADOS PARA MADERA SIG</v>
          </cell>
        </row>
        <row r="1661">
          <cell r="A1661">
            <v>32990</v>
          </cell>
          <cell r="E1661" t="str">
            <v>VINILICA - RIVINOL</v>
          </cell>
        </row>
        <row r="1662">
          <cell r="A1662">
            <v>32991</v>
          </cell>
          <cell r="E1662" t="str">
            <v>VINILICA - RIVINOL</v>
          </cell>
        </row>
        <row r="1663">
          <cell r="A1663">
            <v>32993</v>
          </cell>
          <cell r="E1663" t="str">
            <v>VINILICA - RIVINOL</v>
          </cell>
        </row>
        <row r="1664">
          <cell r="A1664">
            <v>32994</v>
          </cell>
          <cell r="E1664" t="str">
            <v>VINILICA - RIVINOL</v>
          </cell>
        </row>
        <row r="1665">
          <cell r="A1665">
            <v>33000</v>
          </cell>
          <cell r="E1665" t="str">
            <v>VINILICA - PINTAVIN</v>
          </cell>
        </row>
        <row r="1666">
          <cell r="A1666">
            <v>33001</v>
          </cell>
          <cell r="E1666" t="str">
            <v>VINILICA - PINTAVIN</v>
          </cell>
        </row>
        <row r="1667">
          <cell r="A1667">
            <v>33002</v>
          </cell>
          <cell r="E1667" t="str">
            <v>VINILICA-PINTAVIN 70 ANIVERSAR</v>
          </cell>
        </row>
        <row r="1668">
          <cell r="A1668">
            <v>33003</v>
          </cell>
          <cell r="E1668" t="str">
            <v>VINILICA - PINTAVIN</v>
          </cell>
        </row>
        <row r="1669">
          <cell r="A1669">
            <v>33004</v>
          </cell>
          <cell r="E1669" t="str">
            <v>VINILICA - PINTAVIN</v>
          </cell>
        </row>
        <row r="1670">
          <cell r="A1670">
            <v>33011</v>
          </cell>
          <cell r="E1670" t="str">
            <v>VINILICA - PINTAVIN</v>
          </cell>
        </row>
        <row r="1671">
          <cell r="A1671">
            <v>33013</v>
          </cell>
          <cell r="E1671" t="str">
            <v>VINILICA - PINTAVIN</v>
          </cell>
        </row>
        <row r="1672">
          <cell r="A1672">
            <v>33014</v>
          </cell>
          <cell r="E1672" t="str">
            <v>VINILICA - PINTAVIN</v>
          </cell>
        </row>
        <row r="1673">
          <cell r="A1673">
            <v>33015</v>
          </cell>
          <cell r="E1673" t="str">
            <v>VINILICA - PINTAVIN</v>
          </cell>
        </row>
        <row r="1674">
          <cell r="A1674">
            <v>33041</v>
          </cell>
          <cell r="E1674" t="str">
            <v>VINILICA - PINTAVIN</v>
          </cell>
        </row>
        <row r="1675">
          <cell r="A1675">
            <v>33043</v>
          </cell>
          <cell r="E1675" t="str">
            <v>VINILICA - PINTAVIN</v>
          </cell>
        </row>
        <row r="1676">
          <cell r="A1676">
            <v>33044</v>
          </cell>
          <cell r="E1676" t="str">
            <v>VINILICA - PINTAVIN</v>
          </cell>
        </row>
        <row r="1677">
          <cell r="A1677">
            <v>33150</v>
          </cell>
          <cell r="E1677" t="str">
            <v>VINILICA - PINTAVIN</v>
          </cell>
        </row>
        <row r="1678">
          <cell r="A1678">
            <v>33151</v>
          </cell>
          <cell r="E1678" t="str">
            <v>VINILICA - PINTAVIN</v>
          </cell>
        </row>
        <row r="1679">
          <cell r="A1679">
            <v>33153</v>
          </cell>
          <cell r="E1679" t="str">
            <v>VINILICA - PINTAVIN</v>
          </cell>
        </row>
        <row r="1680">
          <cell r="A1680">
            <v>33154</v>
          </cell>
          <cell r="E1680" t="str">
            <v>VINILICA - PINTAVIN</v>
          </cell>
        </row>
        <row r="1681">
          <cell r="A1681">
            <v>33210</v>
          </cell>
          <cell r="E1681" t="str">
            <v>VINILICA - PINTAVIN</v>
          </cell>
        </row>
        <row r="1682">
          <cell r="A1682">
            <v>33211</v>
          </cell>
          <cell r="E1682" t="str">
            <v>VINILICA - PINTAVIN</v>
          </cell>
        </row>
        <row r="1683">
          <cell r="A1683">
            <v>33213</v>
          </cell>
          <cell r="E1683" t="str">
            <v>VINILICA - PINTAVIN</v>
          </cell>
        </row>
        <row r="1684">
          <cell r="A1684">
            <v>33214</v>
          </cell>
          <cell r="E1684" t="str">
            <v>VINILICA - PINTAVIN</v>
          </cell>
        </row>
        <row r="1685">
          <cell r="A1685">
            <v>33261</v>
          </cell>
          <cell r="E1685" t="str">
            <v>VINILICA - PINTAVIN</v>
          </cell>
        </row>
        <row r="1686">
          <cell r="A1686">
            <v>33263</v>
          </cell>
          <cell r="E1686" t="str">
            <v>VINILICA - PINTAVIN</v>
          </cell>
        </row>
        <row r="1687">
          <cell r="A1687">
            <v>33264</v>
          </cell>
          <cell r="E1687" t="str">
            <v>VINILICA - PINTAVIN</v>
          </cell>
        </row>
        <row r="1688">
          <cell r="A1688">
            <v>33271</v>
          </cell>
          <cell r="E1688" t="str">
            <v>VINILICA - PINTAVIN</v>
          </cell>
        </row>
        <row r="1689">
          <cell r="A1689">
            <v>33273</v>
          </cell>
          <cell r="E1689" t="str">
            <v>VINILICA - PINTAVIN</v>
          </cell>
        </row>
        <row r="1690">
          <cell r="A1690">
            <v>33274</v>
          </cell>
          <cell r="E1690" t="str">
            <v>VINILICA - PINTAVIN</v>
          </cell>
        </row>
        <row r="1691">
          <cell r="A1691">
            <v>33321</v>
          </cell>
          <cell r="E1691" t="str">
            <v>VINILICA - PINTAVIN</v>
          </cell>
        </row>
        <row r="1692">
          <cell r="A1692">
            <v>33323</v>
          </cell>
          <cell r="E1692" t="str">
            <v>VINILICA - PINTAVIN</v>
          </cell>
        </row>
        <row r="1693">
          <cell r="A1693">
            <v>33324</v>
          </cell>
          <cell r="E1693" t="str">
            <v>VINILICA - PINTAVIN</v>
          </cell>
        </row>
        <row r="1694">
          <cell r="A1694">
            <v>33351</v>
          </cell>
          <cell r="E1694" t="str">
            <v>VINILICA - PINTAVIN</v>
          </cell>
        </row>
        <row r="1695">
          <cell r="A1695">
            <v>33353</v>
          </cell>
          <cell r="E1695" t="str">
            <v>VINILICA - PINTAVIN</v>
          </cell>
        </row>
        <row r="1696">
          <cell r="A1696">
            <v>33354</v>
          </cell>
          <cell r="E1696" t="str">
            <v>VINILICA - PINTAVIN</v>
          </cell>
        </row>
        <row r="1697">
          <cell r="A1697">
            <v>33371</v>
          </cell>
          <cell r="E1697" t="str">
            <v>VINILICA - PINTAVIN</v>
          </cell>
        </row>
        <row r="1698">
          <cell r="A1698">
            <v>33373</v>
          </cell>
          <cell r="E1698" t="str">
            <v>VINILICA - PINTAVIN</v>
          </cell>
        </row>
        <row r="1699">
          <cell r="A1699">
            <v>33374</v>
          </cell>
          <cell r="E1699" t="str">
            <v>VINILICA - PINTAVIN</v>
          </cell>
        </row>
        <row r="1700">
          <cell r="A1700">
            <v>33421</v>
          </cell>
          <cell r="E1700" t="str">
            <v>VINILICA - PINTAVIN</v>
          </cell>
        </row>
        <row r="1701">
          <cell r="A1701">
            <v>33423</v>
          </cell>
          <cell r="E1701" t="str">
            <v>VINILICA - PINTAVIN</v>
          </cell>
        </row>
        <row r="1702">
          <cell r="A1702">
            <v>33424</v>
          </cell>
          <cell r="E1702" t="str">
            <v>VINILICA - PINTAVIN</v>
          </cell>
        </row>
        <row r="1703">
          <cell r="A1703">
            <v>33531</v>
          </cell>
          <cell r="E1703" t="str">
            <v>VINILICA - PINTAVIN</v>
          </cell>
        </row>
        <row r="1704">
          <cell r="A1704">
            <v>33533</v>
          </cell>
          <cell r="E1704" t="str">
            <v>VINILICA - PINTAVIN</v>
          </cell>
        </row>
        <row r="1705">
          <cell r="A1705">
            <v>33534</v>
          </cell>
          <cell r="E1705" t="str">
            <v>VINILICA - PINTAVIN</v>
          </cell>
        </row>
        <row r="1706">
          <cell r="A1706">
            <v>33560</v>
          </cell>
          <cell r="E1706" t="str">
            <v>VINILICA - PINTAVIN</v>
          </cell>
        </row>
        <row r="1707">
          <cell r="A1707">
            <v>33561</v>
          </cell>
          <cell r="E1707" t="str">
            <v>VINILICA - PINTAVIN</v>
          </cell>
        </row>
        <row r="1708">
          <cell r="A1708">
            <v>33563</v>
          </cell>
          <cell r="E1708" t="str">
            <v>VINILICA - PINTAVIN</v>
          </cell>
        </row>
        <row r="1709">
          <cell r="A1709">
            <v>33564</v>
          </cell>
          <cell r="E1709" t="str">
            <v>VINILICA - PINTAVIN</v>
          </cell>
        </row>
        <row r="1710">
          <cell r="A1710">
            <v>33571</v>
          </cell>
          <cell r="E1710" t="str">
            <v>VINILICA - PINTAVIN</v>
          </cell>
        </row>
        <row r="1711">
          <cell r="A1711">
            <v>33573</v>
          </cell>
          <cell r="E1711" t="str">
            <v>VINILICA - PINTAVIN</v>
          </cell>
        </row>
        <row r="1712">
          <cell r="A1712">
            <v>33574</v>
          </cell>
          <cell r="E1712" t="str">
            <v>VINILICA - PINTAVIN</v>
          </cell>
        </row>
        <row r="1713">
          <cell r="A1713">
            <v>33611</v>
          </cell>
          <cell r="E1713" t="str">
            <v>VINILICA - PINTAVIN</v>
          </cell>
        </row>
        <row r="1714">
          <cell r="A1714">
            <v>33613</v>
          </cell>
          <cell r="E1714" t="str">
            <v>VINILICA - PINTAVIN</v>
          </cell>
        </row>
        <row r="1715">
          <cell r="A1715">
            <v>33614</v>
          </cell>
          <cell r="E1715" t="str">
            <v>VINILICA - PINTAVIN</v>
          </cell>
        </row>
        <row r="1716">
          <cell r="A1716">
            <v>33651</v>
          </cell>
          <cell r="E1716" t="str">
            <v>VINILICA - PINTAVIN</v>
          </cell>
        </row>
        <row r="1717">
          <cell r="A1717">
            <v>33653</v>
          </cell>
          <cell r="E1717" t="str">
            <v>VINILICA - PINTAVIN</v>
          </cell>
        </row>
        <row r="1718">
          <cell r="A1718">
            <v>33654</v>
          </cell>
          <cell r="E1718" t="str">
            <v>VINILICA - PINTAVIN</v>
          </cell>
        </row>
        <row r="1719">
          <cell r="A1719">
            <v>33741</v>
          </cell>
          <cell r="E1719" t="str">
            <v>VINILICA - PINTAVIN</v>
          </cell>
        </row>
        <row r="1720">
          <cell r="A1720">
            <v>33743</v>
          </cell>
          <cell r="E1720" t="str">
            <v>VINILICA - PINTAVIN</v>
          </cell>
        </row>
        <row r="1721">
          <cell r="A1721">
            <v>33744</v>
          </cell>
          <cell r="E1721" t="str">
            <v>VINILICA - PINTAVIN</v>
          </cell>
        </row>
        <row r="1722">
          <cell r="A1722">
            <v>33751</v>
          </cell>
          <cell r="E1722" t="str">
            <v>VINILICA - PINTAVIN</v>
          </cell>
        </row>
        <row r="1723">
          <cell r="A1723">
            <v>33753</v>
          </cell>
          <cell r="E1723" t="str">
            <v>VINILICA - PINTAVIN</v>
          </cell>
        </row>
        <row r="1724">
          <cell r="A1724">
            <v>33754</v>
          </cell>
          <cell r="E1724" t="str">
            <v>VINILICA - PINTAVIN</v>
          </cell>
        </row>
        <row r="1725">
          <cell r="A1725">
            <v>33781</v>
          </cell>
          <cell r="E1725" t="str">
            <v>VINILICA - PINTAVIN</v>
          </cell>
        </row>
        <row r="1726">
          <cell r="A1726">
            <v>33783</v>
          </cell>
          <cell r="E1726" t="str">
            <v>VINILICA - PINTAVIN</v>
          </cell>
        </row>
        <row r="1727">
          <cell r="A1727">
            <v>33784</v>
          </cell>
          <cell r="E1727" t="str">
            <v>VINILICA - PINTAVIN</v>
          </cell>
        </row>
        <row r="1728">
          <cell r="A1728">
            <v>33791</v>
          </cell>
          <cell r="E1728" t="str">
            <v>VINILICA - PINTAVIN</v>
          </cell>
        </row>
        <row r="1729">
          <cell r="A1729">
            <v>33793</v>
          </cell>
          <cell r="E1729" t="str">
            <v>VINILICA - PINTAVIN</v>
          </cell>
        </row>
        <row r="1730">
          <cell r="A1730">
            <v>33794</v>
          </cell>
          <cell r="E1730" t="str">
            <v>VINILICA - PINTAVIN</v>
          </cell>
        </row>
        <row r="1731">
          <cell r="A1731">
            <v>33911</v>
          </cell>
          <cell r="E1731" t="str">
            <v>VINILICA - PINTAVIN</v>
          </cell>
        </row>
        <row r="1732">
          <cell r="A1732">
            <v>33913</v>
          </cell>
          <cell r="E1732" t="str">
            <v>VINILICA - PINTAVIN</v>
          </cell>
        </row>
        <row r="1733">
          <cell r="A1733">
            <v>33981</v>
          </cell>
          <cell r="E1733" t="str">
            <v>VINILICA - PINTAVIN</v>
          </cell>
        </row>
        <row r="1734">
          <cell r="A1734">
            <v>33983</v>
          </cell>
          <cell r="E1734" t="str">
            <v>VINILICA - PINTAVIN</v>
          </cell>
        </row>
        <row r="1735">
          <cell r="A1735">
            <v>33984</v>
          </cell>
          <cell r="E1735" t="str">
            <v>VINILICA - PINTAVIN</v>
          </cell>
        </row>
        <row r="1736">
          <cell r="A1736">
            <v>33990</v>
          </cell>
          <cell r="E1736" t="str">
            <v>VINILICA - PINTAVIN</v>
          </cell>
        </row>
        <row r="1737">
          <cell r="A1737">
            <v>33991</v>
          </cell>
          <cell r="E1737" t="str">
            <v>VINILICA - PINTAVIN</v>
          </cell>
        </row>
        <row r="1738">
          <cell r="A1738">
            <v>33993</v>
          </cell>
          <cell r="E1738" t="str">
            <v>VINILICA - PINTAVIN</v>
          </cell>
        </row>
        <row r="1739">
          <cell r="A1739">
            <v>33994</v>
          </cell>
          <cell r="E1739" t="str">
            <v>VINILICA - PINTAVIN</v>
          </cell>
        </row>
        <row r="1740">
          <cell r="A1740">
            <v>34000</v>
          </cell>
          <cell r="E1740" t="str">
            <v>VINILICA - VINIBAR</v>
          </cell>
        </row>
        <row r="1741">
          <cell r="A1741">
            <v>34001</v>
          </cell>
          <cell r="E1741" t="str">
            <v>VINILICA - VINIBAR</v>
          </cell>
        </row>
        <row r="1742">
          <cell r="A1742">
            <v>34002</v>
          </cell>
          <cell r="E1742" t="str">
            <v>VINILICA-VINIBAR 70 ANIVERSAR</v>
          </cell>
        </row>
        <row r="1743">
          <cell r="A1743">
            <v>34003</v>
          </cell>
          <cell r="E1743" t="str">
            <v>VINILICA - VINIBAR</v>
          </cell>
        </row>
        <row r="1744">
          <cell r="A1744">
            <v>34121</v>
          </cell>
          <cell r="E1744" t="str">
            <v>VINILICA - VINIBAR</v>
          </cell>
        </row>
        <row r="1745">
          <cell r="A1745">
            <v>34123</v>
          </cell>
          <cell r="E1745" t="str">
            <v>VINILICA - VINIBAR</v>
          </cell>
        </row>
        <row r="1746">
          <cell r="A1746">
            <v>34211</v>
          </cell>
          <cell r="E1746" t="str">
            <v>VINILICA - VINIBAR</v>
          </cell>
        </row>
        <row r="1747">
          <cell r="A1747">
            <v>34213</v>
          </cell>
          <cell r="E1747" t="str">
            <v>VINILICA - VINIBAR</v>
          </cell>
        </row>
        <row r="1748">
          <cell r="A1748">
            <v>34221</v>
          </cell>
          <cell r="E1748" t="str">
            <v>VINILICA - VINIBAR</v>
          </cell>
        </row>
        <row r="1749">
          <cell r="A1749">
            <v>34223</v>
          </cell>
          <cell r="E1749" t="str">
            <v>VINILICA - VINIBAR</v>
          </cell>
        </row>
        <row r="1750">
          <cell r="A1750">
            <v>34261</v>
          </cell>
          <cell r="E1750" t="str">
            <v>VINILICA - VINIBAR</v>
          </cell>
        </row>
        <row r="1751">
          <cell r="A1751">
            <v>34263</v>
          </cell>
          <cell r="E1751" t="str">
            <v>VINILICA - VINIBAR</v>
          </cell>
        </row>
        <row r="1752">
          <cell r="A1752">
            <v>34271</v>
          </cell>
          <cell r="E1752" t="str">
            <v>VINILICA - VINIBAR</v>
          </cell>
        </row>
        <row r="1753">
          <cell r="A1753">
            <v>34273</v>
          </cell>
          <cell r="E1753" t="str">
            <v>VINILICA - VINIBAR</v>
          </cell>
        </row>
        <row r="1754">
          <cell r="A1754">
            <v>34321</v>
          </cell>
          <cell r="E1754" t="str">
            <v>VINILICA - VINIBAR</v>
          </cell>
        </row>
        <row r="1755">
          <cell r="A1755">
            <v>34323</v>
          </cell>
          <cell r="E1755" t="str">
            <v>VINILICA - VINIBAR</v>
          </cell>
        </row>
        <row r="1756">
          <cell r="A1756">
            <v>34421</v>
          </cell>
          <cell r="E1756" t="str">
            <v>VINILICA - VINIBAR</v>
          </cell>
        </row>
        <row r="1757">
          <cell r="A1757">
            <v>34423</v>
          </cell>
          <cell r="E1757" t="str">
            <v>VINILICA - VINIBAR</v>
          </cell>
        </row>
        <row r="1758">
          <cell r="A1758">
            <v>34441</v>
          </cell>
          <cell r="E1758" t="str">
            <v>VINILICA - VINIBAR</v>
          </cell>
        </row>
        <row r="1759">
          <cell r="A1759">
            <v>34443</v>
          </cell>
          <cell r="E1759" t="str">
            <v>VINILICA - VINIBAR</v>
          </cell>
        </row>
        <row r="1760">
          <cell r="A1760">
            <v>34561</v>
          </cell>
          <cell r="E1760" t="str">
            <v>VINILICA - VINIBAR</v>
          </cell>
        </row>
        <row r="1761">
          <cell r="A1761">
            <v>34563</v>
          </cell>
          <cell r="E1761" t="str">
            <v>VINILICA - VINIBAR</v>
          </cell>
        </row>
        <row r="1762">
          <cell r="A1762">
            <v>34611</v>
          </cell>
          <cell r="E1762" t="str">
            <v>VINILICA - VINIBAR</v>
          </cell>
        </row>
        <row r="1763">
          <cell r="A1763">
            <v>34613</v>
          </cell>
          <cell r="E1763" t="str">
            <v>VINILICA - VINIBAR</v>
          </cell>
        </row>
        <row r="1764">
          <cell r="A1764">
            <v>34641</v>
          </cell>
          <cell r="E1764" t="str">
            <v>VINILICA - VINIBAR</v>
          </cell>
        </row>
        <row r="1765">
          <cell r="A1765">
            <v>34643</v>
          </cell>
          <cell r="E1765" t="str">
            <v>VINILICA - VINIBAR</v>
          </cell>
        </row>
        <row r="1766">
          <cell r="A1766">
            <v>34731</v>
          </cell>
          <cell r="E1766" t="str">
            <v>VINILICA - VINIBAR</v>
          </cell>
        </row>
        <row r="1767">
          <cell r="A1767">
            <v>34733</v>
          </cell>
          <cell r="E1767" t="str">
            <v>VINILICA - VINIBAR</v>
          </cell>
        </row>
        <row r="1768">
          <cell r="A1768">
            <v>34761</v>
          </cell>
          <cell r="E1768" t="str">
            <v>VINILICA - VINIBAR</v>
          </cell>
        </row>
        <row r="1769">
          <cell r="A1769">
            <v>34763</v>
          </cell>
          <cell r="E1769" t="str">
            <v>VINILICA - VINIBAR</v>
          </cell>
        </row>
        <row r="1770">
          <cell r="A1770">
            <v>34771</v>
          </cell>
          <cell r="E1770" t="str">
            <v>VINILICA - VINIBAR</v>
          </cell>
        </row>
        <row r="1771">
          <cell r="A1771">
            <v>34773</v>
          </cell>
          <cell r="E1771" t="str">
            <v>VINILICA - VINIBAR</v>
          </cell>
        </row>
        <row r="1772">
          <cell r="A1772">
            <v>34911</v>
          </cell>
          <cell r="E1772" t="str">
            <v>VINILICA - VINIBAR</v>
          </cell>
        </row>
        <row r="1773">
          <cell r="A1773">
            <v>34913</v>
          </cell>
          <cell r="E1773" t="str">
            <v>VINILICA - VINIBAR</v>
          </cell>
        </row>
        <row r="1774">
          <cell r="A1774">
            <v>35000</v>
          </cell>
          <cell r="E1774" t="str">
            <v>VINILICA - PRISASPORT</v>
          </cell>
        </row>
        <row r="1775">
          <cell r="A1775">
            <v>35001</v>
          </cell>
          <cell r="E1775" t="str">
            <v>VINILICA - PRISASPORT</v>
          </cell>
        </row>
        <row r="1776">
          <cell r="A1776">
            <v>35003</v>
          </cell>
          <cell r="E1776" t="str">
            <v>VINILICA - PRISASPORT</v>
          </cell>
        </row>
        <row r="1777">
          <cell r="A1777">
            <v>35081</v>
          </cell>
          <cell r="E1777" t="str">
            <v>VINILICA - PRISASPORT</v>
          </cell>
        </row>
        <row r="1778">
          <cell r="A1778">
            <v>35083</v>
          </cell>
          <cell r="E1778" t="str">
            <v>VINILICA - PRISASPORT</v>
          </cell>
        </row>
        <row r="1779">
          <cell r="A1779">
            <v>35551</v>
          </cell>
          <cell r="E1779" t="str">
            <v>VINILICA - PRISASPORT</v>
          </cell>
        </row>
        <row r="1780">
          <cell r="A1780">
            <v>35553</v>
          </cell>
          <cell r="E1780" t="str">
            <v>VINILICA - PRISASPORT</v>
          </cell>
        </row>
        <row r="1781">
          <cell r="A1781">
            <v>35561</v>
          </cell>
          <cell r="E1781" t="str">
            <v>VINILICA - PRISASPORT</v>
          </cell>
        </row>
        <row r="1782">
          <cell r="A1782">
            <v>35563</v>
          </cell>
          <cell r="E1782" t="str">
            <v>VINILICA - PRISASPORT</v>
          </cell>
        </row>
        <row r="1783">
          <cell r="A1783">
            <v>35761</v>
          </cell>
          <cell r="E1783" t="str">
            <v>VINILICA - PRISASPORT</v>
          </cell>
        </row>
        <row r="1784">
          <cell r="A1784">
            <v>35763</v>
          </cell>
          <cell r="E1784" t="str">
            <v>VINILICA - PRISASPORT</v>
          </cell>
        </row>
        <row r="1785">
          <cell r="A1785">
            <v>35801</v>
          </cell>
          <cell r="E1785" t="str">
            <v>VINILICA - PRISASPORT</v>
          </cell>
        </row>
        <row r="1786">
          <cell r="A1786">
            <v>35803</v>
          </cell>
          <cell r="E1786" t="str">
            <v>VINILICA - PRISASPORT</v>
          </cell>
        </row>
        <row r="1787">
          <cell r="A1787">
            <v>35804</v>
          </cell>
          <cell r="E1787" t="str">
            <v>VINILICA - PRISASPORT</v>
          </cell>
        </row>
        <row r="1788">
          <cell r="A1788">
            <v>36001</v>
          </cell>
          <cell r="E1788" t="str">
            <v>VINILICA - CASANOVA</v>
          </cell>
        </row>
        <row r="1789">
          <cell r="A1789">
            <v>36003</v>
          </cell>
          <cell r="E1789" t="str">
            <v>VINILICA - CASANOVA</v>
          </cell>
        </row>
        <row r="1790">
          <cell r="A1790">
            <v>36004</v>
          </cell>
          <cell r="E1790" t="str">
            <v>VINILICA - CASANOVA</v>
          </cell>
        </row>
        <row r="1791">
          <cell r="A1791">
            <v>36010</v>
          </cell>
          <cell r="E1791" t="str">
            <v>SELLADOR - VINILICO (RIVI)</v>
          </cell>
        </row>
        <row r="1792">
          <cell r="A1792">
            <v>36011</v>
          </cell>
          <cell r="E1792" t="str">
            <v>SELLADOR - VINILICO (RIVI)</v>
          </cell>
        </row>
        <row r="1793">
          <cell r="A1793">
            <v>36013</v>
          </cell>
          <cell r="E1793" t="str">
            <v>SELLADOR - VINILICO (RIVI)</v>
          </cell>
        </row>
        <row r="1794">
          <cell r="A1794">
            <v>36014</v>
          </cell>
          <cell r="E1794" t="str">
            <v>SELLADOR - VINILICO (RIVI)</v>
          </cell>
        </row>
        <row r="1795">
          <cell r="A1795">
            <v>36031</v>
          </cell>
          <cell r="E1795" t="str">
            <v>SELLADOR - VINILICO (RIVI)</v>
          </cell>
        </row>
        <row r="1796">
          <cell r="A1796">
            <v>36033</v>
          </cell>
          <cell r="E1796" t="str">
            <v>SELLADOR - VINILICO (RIVI)</v>
          </cell>
        </row>
        <row r="1797">
          <cell r="A1797">
            <v>36034</v>
          </cell>
          <cell r="E1797" t="str">
            <v>SELLADOR - VINILICO (RIVI)</v>
          </cell>
        </row>
        <row r="1798">
          <cell r="A1798">
            <v>36061</v>
          </cell>
          <cell r="E1798" t="str">
            <v>SELLADOR - VINILICO GLOSI</v>
          </cell>
        </row>
        <row r="1799">
          <cell r="A1799">
            <v>36063</v>
          </cell>
          <cell r="E1799" t="str">
            <v>SELLADOR - VINILICO GLOSI</v>
          </cell>
        </row>
        <row r="1800">
          <cell r="A1800">
            <v>36064</v>
          </cell>
          <cell r="E1800" t="str">
            <v>SELLADOR - VINILICO GLOSI</v>
          </cell>
        </row>
        <row r="1801">
          <cell r="A1801">
            <v>36070</v>
          </cell>
          <cell r="E1801" t="str">
            <v>SELLADOR - VINILICO (RIVI)</v>
          </cell>
        </row>
        <row r="1802">
          <cell r="A1802">
            <v>36071</v>
          </cell>
          <cell r="E1802" t="str">
            <v>SELLADOR - VINILICO (RIVI)</v>
          </cell>
        </row>
        <row r="1803">
          <cell r="A1803">
            <v>36073</v>
          </cell>
          <cell r="E1803" t="str">
            <v>SELLADOR - VINILICO (RIVI)</v>
          </cell>
        </row>
        <row r="1804">
          <cell r="A1804">
            <v>36081</v>
          </cell>
          <cell r="E1804" t="str">
            <v>SELLADOR - VINILICO GLOSI</v>
          </cell>
        </row>
        <row r="1805">
          <cell r="A1805">
            <v>36091</v>
          </cell>
          <cell r="E1805" t="str">
            <v>SELLADOR - VINILICO GLOSI</v>
          </cell>
        </row>
        <row r="1806">
          <cell r="A1806">
            <v>36093</v>
          </cell>
          <cell r="E1806" t="str">
            <v>SELLADOR - VINILICO GLOSI</v>
          </cell>
        </row>
        <row r="1807">
          <cell r="A1807">
            <v>36131</v>
          </cell>
          <cell r="E1807" t="str">
            <v>VINILICA - CASANOVA</v>
          </cell>
        </row>
        <row r="1808">
          <cell r="A1808">
            <v>36133</v>
          </cell>
          <cell r="E1808" t="str">
            <v>VINILICA - CASANOVA</v>
          </cell>
        </row>
        <row r="1809">
          <cell r="A1809">
            <v>36134</v>
          </cell>
          <cell r="E1809" t="str">
            <v>VINILICA - CASANOVA</v>
          </cell>
        </row>
        <row r="1810">
          <cell r="A1810">
            <v>36151</v>
          </cell>
          <cell r="E1810" t="str">
            <v>VINILICA - CASANOVA</v>
          </cell>
        </row>
        <row r="1811">
          <cell r="A1811">
            <v>36153</v>
          </cell>
          <cell r="E1811" t="str">
            <v>VINILICA - CASANOVA</v>
          </cell>
        </row>
        <row r="1812">
          <cell r="A1812">
            <v>36154</v>
          </cell>
          <cell r="E1812" t="str">
            <v>VINILICA - CASANOVA</v>
          </cell>
        </row>
        <row r="1813">
          <cell r="A1813">
            <v>36211</v>
          </cell>
          <cell r="E1813" t="str">
            <v>VINILICA - CASANOVA</v>
          </cell>
        </row>
        <row r="1814">
          <cell r="A1814">
            <v>36213</v>
          </cell>
          <cell r="E1814" t="str">
            <v>VINILICA - CASANOVA</v>
          </cell>
        </row>
        <row r="1815">
          <cell r="A1815">
            <v>36214</v>
          </cell>
          <cell r="E1815" t="str">
            <v>VINILICA - CASANOVA</v>
          </cell>
        </row>
        <row r="1816">
          <cell r="A1816">
            <v>36261</v>
          </cell>
          <cell r="E1816" t="str">
            <v>VINILICA - CASANOVA</v>
          </cell>
        </row>
        <row r="1817">
          <cell r="A1817">
            <v>36263</v>
          </cell>
          <cell r="E1817" t="str">
            <v>VINILICA - CASANOVA</v>
          </cell>
        </row>
        <row r="1818">
          <cell r="A1818">
            <v>36264</v>
          </cell>
          <cell r="E1818" t="str">
            <v>VINILICA - CASANOVA</v>
          </cell>
        </row>
        <row r="1819">
          <cell r="A1819">
            <v>36321</v>
          </cell>
          <cell r="E1819" t="str">
            <v>VINILICA - CASANOVA</v>
          </cell>
        </row>
        <row r="1820">
          <cell r="A1820">
            <v>36323</v>
          </cell>
          <cell r="E1820" t="str">
            <v>VINILICA - CASANOVA</v>
          </cell>
        </row>
        <row r="1821">
          <cell r="A1821">
            <v>36324</v>
          </cell>
          <cell r="E1821" t="str">
            <v>VINILICA - CASANOVA</v>
          </cell>
        </row>
        <row r="1822">
          <cell r="A1822">
            <v>36351</v>
          </cell>
          <cell r="E1822" t="str">
            <v>VINILICA - CASANOVA</v>
          </cell>
        </row>
        <row r="1823">
          <cell r="A1823">
            <v>36353</v>
          </cell>
          <cell r="E1823" t="str">
            <v>VINILICA - CASANOVA</v>
          </cell>
        </row>
        <row r="1824">
          <cell r="A1824">
            <v>36354</v>
          </cell>
          <cell r="E1824" t="str">
            <v>VINILICA - CASANOVA</v>
          </cell>
        </row>
        <row r="1825">
          <cell r="A1825">
            <v>36371</v>
          </cell>
          <cell r="E1825" t="str">
            <v>VINILICA - CASANOVA</v>
          </cell>
        </row>
        <row r="1826">
          <cell r="A1826">
            <v>36373</v>
          </cell>
          <cell r="E1826" t="str">
            <v>VINILICA - CASANOVA</v>
          </cell>
        </row>
        <row r="1827">
          <cell r="A1827">
            <v>36374</v>
          </cell>
          <cell r="E1827" t="str">
            <v>VINILICA - CASANOVA</v>
          </cell>
        </row>
        <row r="1828">
          <cell r="A1828">
            <v>36421</v>
          </cell>
          <cell r="E1828" t="str">
            <v>VINILICA - CASANOVA</v>
          </cell>
        </row>
        <row r="1829">
          <cell r="A1829">
            <v>36423</v>
          </cell>
          <cell r="E1829" t="str">
            <v>VINILICA - CASANOVA</v>
          </cell>
        </row>
        <row r="1830">
          <cell r="A1830">
            <v>36424</v>
          </cell>
          <cell r="E1830" t="str">
            <v>VINILICA - CASANOVA</v>
          </cell>
        </row>
        <row r="1831">
          <cell r="A1831">
            <v>36471</v>
          </cell>
          <cell r="E1831" t="str">
            <v>VINILICA - CASANOVA</v>
          </cell>
        </row>
        <row r="1832">
          <cell r="A1832">
            <v>36473</v>
          </cell>
          <cell r="E1832" t="str">
            <v>VINILICA - CASANOVA</v>
          </cell>
        </row>
        <row r="1833">
          <cell r="A1833">
            <v>36474</v>
          </cell>
          <cell r="E1833" t="str">
            <v>VINILICA - CASANOVA</v>
          </cell>
        </row>
        <row r="1834">
          <cell r="A1834">
            <v>36531</v>
          </cell>
          <cell r="E1834" t="str">
            <v>VINILICA - CASANOVA</v>
          </cell>
        </row>
        <row r="1835">
          <cell r="A1835">
            <v>36533</v>
          </cell>
          <cell r="E1835" t="str">
            <v>VINILICA - CASANOVA</v>
          </cell>
        </row>
        <row r="1836">
          <cell r="A1836">
            <v>36534</v>
          </cell>
          <cell r="E1836" t="str">
            <v>VINILICA - CASANOVA</v>
          </cell>
        </row>
        <row r="1837">
          <cell r="A1837">
            <v>36561</v>
          </cell>
          <cell r="E1837" t="str">
            <v>VINILICA - CASANOVA</v>
          </cell>
        </row>
        <row r="1838">
          <cell r="A1838">
            <v>36563</v>
          </cell>
          <cell r="E1838" t="str">
            <v>VINILICA - CASANOVA</v>
          </cell>
        </row>
        <row r="1839">
          <cell r="A1839">
            <v>36564</v>
          </cell>
          <cell r="E1839" t="str">
            <v>VINILICA - CASANOVA</v>
          </cell>
        </row>
        <row r="1840">
          <cell r="A1840">
            <v>36611</v>
          </cell>
          <cell r="E1840" t="str">
            <v>VINILICA - CASANOVA</v>
          </cell>
        </row>
        <row r="1841">
          <cell r="A1841">
            <v>36613</v>
          </cell>
          <cell r="E1841" t="str">
            <v>VINILICA - CASANOVA</v>
          </cell>
        </row>
        <row r="1842">
          <cell r="A1842">
            <v>36614</v>
          </cell>
          <cell r="E1842" t="str">
            <v>VINILICA - CASANOVA</v>
          </cell>
        </row>
        <row r="1843">
          <cell r="A1843">
            <v>36651</v>
          </cell>
          <cell r="E1843" t="str">
            <v>VINILICA - CASANOVA</v>
          </cell>
        </row>
        <row r="1844">
          <cell r="A1844">
            <v>36653</v>
          </cell>
          <cell r="E1844" t="str">
            <v>VINILICA - CASANOVA</v>
          </cell>
        </row>
        <row r="1845">
          <cell r="A1845">
            <v>36654</v>
          </cell>
          <cell r="E1845" t="str">
            <v>VINILICA - CASANOVA</v>
          </cell>
        </row>
        <row r="1846">
          <cell r="A1846">
            <v>36681</v>
          </cell>
          <cell r="E1846" t="str">
            <v>VINILICA - CASANOVA</v>
          </cell>
        </row>
        <row r="1847">
          <cell r="A1847">
            <v>36683</v>
          </cell>
          <cell r="E1847" t="str">
            <v>VINILICA - CASANOVA</v>
          </cell>
        </row>
        <row r="1848">
          <cell r="A1848">
            <v>36684</v>
          </cell>
          <cell r="E1848" t="str">
            <v>VINILICA - CASANOVA</v>
          </cell>
        </row>
        <row r="1849">
          <cell r="A1849">
            <v>36741</v>
          </cell>
          <cell r="E1849" t="str">
            <v>VINILICA - CASANOVA</v>
          </cell>
        </row>
        <row r="1850">
          <cell r="A1850">
            <v>36743</v>
          </cell>
          <cell r="E1850" t="str">
            <v>VINILICA - CASANOVA</v>
          </cell>
        </row>
        <row r="1851">
          <cell r="A1851">
            <v>36744</v>
          </cell>
          <cell r="E1851" t="str">
            <v>VINILICA - CASANOVA</v>
          </cell>
        </row>
        <row r="1852">
          <cell r="A1852">
            <v>36751</v>
          </cell>
          <cell r="E1852" t="str">
            <v>VINILICA - CASANOVA</v>
          </cell>
        </row>
        <row r="1853">
          <cell r="A1853">
            <v>36753</v>
          </cell>
          <cell r="E1853" t="str">
            <v>VINILICA - CASANOVA</v>
          </cell>
        </row>
        <row r="1854">
          <cell r="A1854">
            <v>36754</v>
          </cell>
          <cell r="E1854" t="str">
            <v>VINILICA - CASANOVA</v>
          </cell>
        </row>
        <row r="1855">
          <cell r="A1855">
            <v>36781</v>
          </cell>
          <cell r="E1855" t="str">
            <v>VINILICA - CASANOVA</v>
          </cell>
        </row>
        <row r="1856">
          <cell r="A1856">
            <v>36783</v>
          </cell>
          <cell r="E1856" t="str">
            <v>VINILICA - CASANOVA</v>
          </cell>
        </row>
        <row r="1857">
          <cell r="A1857">
            <v>36784</v>
          </cell>
          <cell r="E1857" t="str">
            <v>VINILICA - CASANOVA</v>
          </cell>
        </row>
        <row r="1858">
          <cell r="A1858">
            <v>36791</v>
          </cell>
          <cell r="E1858" t="str">
            <v>VINILICA - CASANOVA</v>
          </cell>
        </row>
        <row r="1859">
          <cell r="A1859">
            <v>36793</v>
          </cell>
          <cell r="E1859" t="str">
            <v>VINILICA - CASANOVA</v>
          </cell>
        </row>
        <row r="1860">
          <cell r="A1860">
            <v>36794</v>
          </cell>
          <cell r="E1860" t="str">
            <v>VINILICA - CASANOVA</v>
          </cell>
        </row>
        <row r="1861">
          <cell r="A1861">
            <v>36801</v>
          </cell>
          <cell r="E1861" t="str">
            <v>VINILICA - CASANOVA</v>
          </cell>
        </row>
        <row r="1862">
          <cell r="A1862">
            <v>36803</v>
          </cell>
          <cell r="E1862" t="str">
            <v>VINILICA - CASANOVA</v>
          </cell>
        </row>
        <row r="1863">
          <cell r="A1863">
            <v>36804</v>
          </cell>
          <cell r="E1863" t="str">
            <v>VINILICA - CASANOVA</v>
          </cell>
        </row>
        <row r="1864">
          <cell r="A1864">
            <v>36911</v>
          </cell>
          <cell r="E1864" t="str">
            <v>VINILICA - CASANOVA</v>
          </cell>
        </row>
        <row r="1865">
          <cell r="A1865">
            <v>36913</v>
          </cell>
          <cell r="E1865" t="str">
            <v>VINILICA - CASANOVA</v>
          </cell>
        </row>
        <row r="1866">
          <cell r="A1866">
            <v>36914</v>
          </cell>
          <cell r="E1866" t="str">
            <v>VINILICA - CASANOVA</v>
          </cell>
        </row>
        <row r="1867">
          <cell r="A1867">
            <v>36991</v>
          </cell>
          <cell r="E1867" t="str">
            <v>VINILICA - CASANOVA</v>
          </cell>
        </row>
        <row r="1868">
          <cell r="A1868">
            <v>36993</v>
          </cell>
          <cell r="E1868" t="str">
            <v>VINILICA - CASANOVA</v>
          </cell>
        </row>
        <row r="1869">
          <cell r="A1869">
            <v>36994</v>
          </cell>
          <cell r="E1869" t="str">
            <v>VINILICA - CASANOVA</v>
          </cell>
        </row>
        <row r="1870">
          <cell r="A1870">
            <v>37004</v>
          </cell>
          <cell r="E1870" t="str">
            <v>TINTAS MEGACOLOR</v>
          </cell>
        </row>
        <row r="1871">
          <cell r="A1871">
            <v>37009</v>
          </cell>
          <cell r="E1871" t="str">
            <v>TINTAS MEGACOLOR</v>
          </cell>
        </row>
        <row r="1872">
          <cell r="A1872">
            <v>37154</v>
          </cell>
          <cell r="E1872" t="str">
            <v>TINTAS MEGACOLOR</v>
          </cell>
        </row>
        <row r="1873">
          <cell r="A1873">
            <v>37159</v>
          </cell>
          <cell r="E1873" t="str">
            <v>TINTAS MEGACOLOR</v>
          </cell>
        </row>
        <row r="1874">
          <cell r="A1874">
            <v>37164</v>
          </cell>
          <cell r="E1874" t="str">
            <v>TINTAS MEGACOLOR</v>
          </cell>
        </row>
        <row r="1875">
          <cell r="A1875">
            <v>37169</v>
          </cell>
          <cell r="E1875" t="str">
            <v>TINTAS MEGACOLOR</v>
          </cell>
        </row>
        <row r="1876">
          <cell r="A1876">
            <v>37264</v>
          </cell>
          <cell r="E1876" t="str">
            <v>TINTAS MEGACOLOR</v>
          </cell>
        </row>
        <row r="1877">
          <cell r="A1877">
            <v>37269</v>
          </cell>
          <cell r="E1877" t="str">
            <v>TINTAS MEGACOLOR</v>
          </cell>
        </row>
        <row r="1878">
          <cell r="A1878">
            <v>37454</v>
          </cell>
          <cell r="E1878" t="str">
            <v>TINTAS MEGACOLOR</v>
          </cell>
        </row>
        <row r="1879">
          <cell r="A1879">
            <v>37459</v>
          </cell>
          <cell r="E1879" t="str">
            <v>TINTAS MEGACOLOR</v>
          </cell>
        </row>
        <row r="1880">
          <cell r="A1880">
            <v>37474</v>
          </cell>
          <cell r="E1880" t="str">
            <v>TINTAS MEGACOLOR</v>
          </cell>
        </row>
        <row r="1881">
          <cell r="A1881">
            <v>37479</v>
          </cell>
          <cell r="E1881" t="str">
            <v>TINTAS MEGACOLOR</v>
          </cell>
        </row>
        <row r="1882">
          <cell r="A1882">
            <v>37564</v>
          </cell>
          <cell r="E1882" t="str">
            <v>TINTAS MEGACOLOR</v>
          </cell>
        </row>
        <row r="1883">
          <cell r="A1883">
            <v>37569</v>
          </cell>
          <cell r="E1883" t="str">
            <v>TINTAS MEGACOLOR</v>
          </cell>
        </row>
        <row r="1884">
          <cell r="A1884">
            <v>37584</v>
          </cell>
          <cell r="E1884" t="str">
            <v>TINTAS MEGACOLOR</v>
          </cell>
        </row>
        <row r="1885">
          <cell r="A1885">
            <v>37589</v>
          </cell>
          <cell r="E1885" t="str">
            <v>TINTAS MEGACOLOR</v>
          </cell>
        </row>
        <row r="1886">
          <cell r="A1886">
            <v>37594</v>
          </cell>
          <cell r="E1886" t="str">
            <v>TINTAS MEGACOLOR</v>
          </cell>
        </row>
        <row r="1887">
          <cell r="A1887">
            <v>37599</v>
          </cell>
          <cell r="E1887" t="str">
            <v>TINTAS MEGACOLOR</v>
          </cell>
        </row>
        <row r="1888">
          <cell r="A1888">
            <v>37654</v>
          </cell>
          <cell r="E1888" t="str">
            <v>TINTAS MEGACOLOR</v>
          </cell>
        </row>
        <row r="1889">
          <cell r="A1889">
            <v>37659</v>
          </cell>
          <cell r="E1889" t="str">
            <v>TINTAS MEGACOLOR</v>
          </cell>
        </row>
        <row r="1890">
          <cell r="A1890">
            <v>37754</v>
          </cell>
          <cell r="E1890" t="str">
            <v>TINTAS MEGACOLOR</v>
          </cell>
        </row>
        <row r="1891">
          <cell r="A1891">
            <v>37759</v>
          </cell>
          <cell r="E1891" t="str">
            <v>TINTAS MEGACOLOR</v>
          </cell>
        </row>
        <row r="1892">
          <cell r="A1892">
            <v>37994</v>
          </cell>
          <cell r="E1892" t="str">
            <v>TINTAS MEGACOLOR</v>
          </cell>
        </row>
        <row r="1893">
          <cell r="A1893">
            <v>37999</v>
          </cell>
          <cell r="E1893" t="str">
            <v>TINTAS MEGACOLOR</v>
          </cell>
        </row>
        <row r="1894">
          <cell r="A1894">
            <v>38001</v>
          </cell>
          <cell r="E1894" t="str">
            <v>VINILICA - PEPE PINTOR</v>
          </cell>
        </row>
        <row r="1895">
          <cell r="A1895">
            <v>38020</v>
          </cell>
          <cell r="E1895" t="str">
            <v>IMPERM - PARAGUAS 5 AÑOS</v>
          </cell>
        </row>
        <row r="1896">
          <cell r="A1896">
            <v>38021</v>
          </cell>
          <cell r="E1896" t="str">
            <v>IMPERM - PARAGUAS 5 AÑOS</v>
          </cell>
        </row>
        <row r="1897">
          <cell r="A1897">
            <v>38023</v>
          </cell>
          <cell r="E1897" t="str">
            <v>IMPERM - PARAGUAS 5 AÑOS</v>
          </cell>
        </row>
        <row r="1898">
          <cell r="A1898">
            <v>38031</v>
          </cell>
          <cell r="E1898" t="str">
            <v>SELLADOR ACRILICO PARAGUAS</v>
          </cell>
        </row>
        <row r="1899">
          <cell r="A1899">
            <v>38033</v>
          </cell>
          <cell r="E1899" t="str">
            <v>SELLADOR ACRILICO PARAGUAS</v>
          </cell>
        </row>
        <row r="1900">
          <cell r="A1900">
            <v>38041</v>
          </cell>
          <cell r="E1900" t="str">
            <v>IMPERM- EXTRAFIBRA 6 AÑOS</v>
          </cell>
        </row>
        <row r="1901">
          <cell r="A1901">
            <v>38043</v>
          </cell>
          <cell r="E1901" t="str">
            <v>IMPERM- EXTRAFIBRA 6 AÑOS</v>
          </cell>
        </row>
        <row r="1902">
          <cell r="A1902">
            <v>38061</v>
          </cell>
          <cell r="E1902" t="str">
            <v>IMPERM - PARAGUAS 3 AÑOS</v>
          </cell>
        </row>
        <row r="1903">
          <cell r="A1903">
            <v>38063</v>
          </cell>
          <cell r="E1903" t="str">
            <v>IMPERM - PARAGUAS 3 AÑOS</v>
          </cell>
        </row>
        <row r="1904">
          <cell r="A1904">
            <v>38090</v>
          </cell>
          <cell r="E1904" t="str">
            <v>IMPERM - PARAGUAS 7 AÑOS</v>
          </cell>
        </row>
        <row r="1905">
          <cell r="A1905">
            <v>38091</v>
          </cell>
          <cell r="E1905" t="str">
            <v>IMPERM - PARAGUAS 7 AÑOS</v>
          </cell>
        </row>
        <row r="1906">
          <cell r="A1906">
            <v>38093</v>
          </cell>
          <cell r="E1906" t="str">
            <v>IMPERM - PARAGUAS 7 AÑOS</v>
          </cell>
        </row>
        <row r="1907">
          <cell r="A1907">
            <v>38101</v>
          </cell>
          <cell r="E1907" t="str">
            <v>IMPERM - PARAGUAS 10 AÑOS</v>
          </cell>
        </row>
        <row r="1908">
          <cell r="A1908">
            <v>38550</v>
          </cell>
          <cell r="E1908" t="str">
            <v>IMPERM - PARAGUAS 3 AÑOS</v>
          </cell>
        </row>
        <row r="1909">
          <cell r="A1909">
            <v>38551</v>
          </cell>
          <cell r="E1909" t="str">
            <v>IMPERM - PARAGUAS 3 AÑOS</v>
          </cell>
        </row>
        <row r="1910">
          <cell r="A1910">
            <v>38553</v>
          </cell>
          <cell r="E1910" t="str">
            <v>IMPERM - PARAGUAS 3 AÑOS</v>
          </cell>
        </row>
        <row r="1911">
          <cell r="A1911">
            <v>38561</v>
          </cell>
          <cell r="E1911" t="str">
            <v>IMPERM - PARAGUAS 7 AÑOS</v>
          </cell>
        </row>
        <row r="1912">
          <cell r="A1912">
            <v>38563</v>
          </cell>
          <cell r="E1912" t="str">
            <v>IMPERM - PARAGUAS 7 AÑOS</v>
          </cell>
        </row>
        <row r="1913">
          <cell r="A1913">
            <v>38580</v>
          </cell>
          <cell r="E1913" t="str">
            <v>IMPERM - PARAGUAS 5 AÑOS</v>
          </cell>
        </row>
        <row r="1914">
          <cell r="A1914">
            <v>38581</v>
          </cell>
          <cell r="E1914" t="str">
            <v>IMPERM - PARAGUAS 5 AÑOS</v>
          </cell>
        </row>
        <row r="1915">
          <cell r="A1915">
            <v>38583</v>
          </cell>
          <cell r="E1915" t="str">
            <v>IMPERM - PARAGUAS 5 AÑOS</v>
          </cell>
        </row>
        <row r="1916">
          <cell r="A1916">
            <v>38591</v>
          </cell>
          <cell r="E1916" t="str">
            <v>IMPERM - PARAGUAS 10 AÑOS</v>
          </cell>
        </row>
        <row r="1917">
          <cell r="A1917">
            <v>38601</v>
          </cell>
          <cell r="E1917" t="str">
            <v>IMPERM-EXTRAFIBRA 4 AÑOS</v>
          </cell>
        </row>
        <row r="1918">
          <cell r="A1918">
            <v>38603</v>
          </cell>
          <cell r="E1918" t="str">
            <v>IMPERM-EXTRAFIBRA 4 AÑOS</v>
          </cell>
        </row>
        <row r="1919">
          <cell r="A1919">
            <v>38611</v>
          </cell>
          <cell r="E1919" t="str">
            <v>IMPERM- EXTRAFIBRA 6 AÑOS</v>
          </cell>
        </row>
        <row r="1920">
          <cell r="A1920">
            <v>38613</v>
          </cell>
          <cell r="E1920" t="str">
            <v>IMPERM- EXTRAFIBRA 6 AÑOS</v>
          </cell>
        </row>
        <row r="1921">
          <cell r="A1921">
            <v>38621</v>
          </cell>
          <cell r="E1921" t="str">
            <v>IMPERM-EXTRAFIBRA 4 AÑOS</v>
          </cell>
        </row>
        <row r="1922">
          <cell r="A1922">
            <v>38623</v>
          </cell>
          <cell r="E1922" t="str">
            <v>IMPERM-EXTRAFIBRA 4 AÑOS</v>
          </cell>
        </row>
        <row r="1923">
          <cell r="A1923">
            <v>38651</v>
          </cell>
          <cell r="E1923" t="str">
            <v>IMPERM - PARAGUAS 3 AÑOS FIBRA</v>
          </cell>
        </row>
        <row r="1924">
          <cell r="A1924">
            <v>38653</v>
          </cell>
          <cell r="E1924" t="str">
            <v>IMPERM - PARAGUAS 3 AÑOS FIBRA</v>
          </cell>
        </row>
        <row r="1925">
          <cell r="A1925">
            <v>38661</v>
          </cell>
          <cell r="E1925" t="str">
            <v>IMPERM - PARAGUAS 3 AÑOS FIBRA</v>
          </cell>
        </row>
        <row r="1926">
          <cell r="A1926">
            <v>38663</v>
          </cell>
          <cell r="E1926" t="str">
            <v>IMPERM - PARAGUAS 3 AÑOS FIBRA</v>
          </cell>
        </row>
        <row r="1927">
          <cell r="A1927">
            <v>38671</v>
          </cell>
          <cell r="E1927" t="str">
            <v>IMPERM - PARAGUAS 5 AÑOS FIBRA</v>
          </cell>
        </row>
        <row r="1928">
          <cell r="A1928">
            <v>38673</v>
          </cell>
          <cell r="E1928" t="str">
            <v>IMPERM - PARAGUAS 5 AÑOS FIBRA</v>
          </cell>
        </row>
        <row r="1929">
          <cell r="A1929">
            <v>38681</v>
          </cell>
          <cell r="E1929" t="str">
            <v>IMPERM - PARAGUAS 5 AÑOS FIBRA</v>
          </cell>
        </row>
        <row r="1930">
          <cell r="A1930">
            <v>38683</v>
          </cell>
          <cell r="E1930" t="str">
            <v>IMPERM - PARAGUAS 5 AÑOS FIBRA</v>
          </cell>
        </row>
        <row r="1931">
          <cell r="A1931">
            <v>39001</v>
          </cell>
          <cell r="E1931" t="str">
            <v>VINILICA - DURASOL</v>
          </cell>
        </row>
        <row r="1932">
          <cell r="A1932">
            <v>39003</v>
          </cell>
          <cell r="E1932" t="str">
            <v>VINILICA - DURASOL</v>
          </cell>
        </row>
        <row r="1933">
          <cell r="A1933">
            <v>39121</v>
          </cell>
          <cell r="E1933" t="str">
            <v>VINILICA - DURASOL</v>
          </cell>
        </row>
        <row r="1934">
          <cell r="A1934">
            <v>39123</v>
          </cell>
          <cell r="E1934" t="str">
            <v>VINILICA - DURASOL</v>
          </cell>
        </row>
        <row r="1935">
          <cell r="A1935">
            <v>39211</v>
          </cell>
          <cell r="E1935" t="str">
            <v>VINILICA - DURASOL</v>
          </cell>
        </row>
        <row r="1936">
          <cell r="A1936">
            <v>39213</v>
          </cell>
          <cell r="E1936" t="str">
            <v>VINILICA - DURASOL</v>
          </cell>
        </row>
        <row r="1937">
          <cell r="A1937">
            <v>39221</v>
          </cell>
          <cell r="E1937" t="str">
            <v>VINILICA - DURASOL</v>
          </cell>
        </row>
        <row r="1938">
          <cell r="A1938">
            <v>39223</v>
          </cell>
          <cell r="E1938" t="str">
            <v>VINILICA - DURASOL</v>
          </cell>
        </row>
        <row r="1939">
          <cell r="A1939">
            <v>39261</v>
          </cell>
          <cell r="E1939" t="str">
            <v>VINILICA - DURASOL</v>
          </cell>
        </row>
        <row r="1940">
          <cell r="A1940">
            <v>39263</v>
          </cell>
          <cell r="E1940" t="str">
            <v>VINILICA - DURASOL</v>
          </cell>
        </row>
        <row r="1941">
          <cell r="A1941">
            <v>39271</v>
          </cell>
          <cell r="E1941" t="str">
            <v>VINILICA - DURASOL</v>
          </cell>
        </row>
        <row r="1942">
          <cell r="A1942">
            <v>39273</v>
          </cell>
          <cell r="E1942" t="str">
            <v>VINILICA - DURASOL</v>
          </cell>
        </row>
        <row r="1943">
          <cell r="A1943">
            <v>39281</v>
          </cell>
          <cell r="E1943" t="str">
            <v>VINILICA - DURASOL</v>
          </cell>
        </row>
        <row r="1944">
          <cell r="A1944">
            <v>39283</v>
          </cell>
          <cell r="E1944" t="str">
            <v>VINILICA - DURASOL</v>
          </cell>
        </row>
        <row r="1945">
          <cell r="A1945">
            <v>39321</v>
          </cell>
          <cell r="E1945" t="str">
            <v>VINILICA - DURASOL</v>
          </cell>
        </row>
        <row r="1946">
          <cell r="A1946">
            <v>39323</v>
          </cell>
          <cell r="E1946" t="str">
            <v>VINILICA - DURASOL</v>
          </cell>
        </row>
        <row r="1947">
          <cell r="A1947">
            <v>39421</v>
          </cell>
          <cell r="E1947" t="str">
            <v>VINILICA - DURASOL</v>
          </cell>
        </row>
        <row r="1948">
          <cell r="A1948">
            <v>39423</v>
          </cell>
          <cell r="E1948" t="str">
            <v>VINILICA - DURASOL</v>
          </cell>
        </row>
        <row r="1949">
          <cell r="A1949">
            <v>39561</v>
          </cell>
          <cell r="E1949" t="str">
            <v>VINILICA - DURASOL</v>
          </cell>
        </row>
        <row r="1950">
          <cell r="A1950">
            <v>39563</v>
          </cell>
          <cell r="E1950" t="str">
            <v>VINILICA - DURASOL</v>
          </cell>
        </row>
        <row r="1951">
          <cell r="A1951">
            <v>39611</v>
          </cell>
          <cell r="E1951" t="str">
            <v>VINILICA - DURASOL</v>
          </cell>
        </row>
        <row r="1952">
          <cell r="A1952">
            <v>39613</v>
          </cell>
          <cell r="E1952" t="str">
            <v>VINILICA - DURASOL</v>
          </cell>
        </row>
        <row r="1953">
          <cell r="A1953">
            <v>39631</v>
          </cell>
          <cell r="E1953" t="str">
            <v>VINILICA - DURASOL</v>
          </cell>
        </row>
        <row r="1954">
          <cell r="A1954">
            <v>39633</v>
          </cell>
          <cell r="E1954" t="str">
            <v>VINILICA - DURASOL</v>
          </cell>
        </row>
        <row r="1955">
          <cell r="A1955">
            <v>39731</v>
          </cell>
          <cell r="E1955" t="str">
            <v>VINILICA - DURASOL</v>
          </cell>
        </row>
        <row r="1956">
          <cell r="A1956">
            <v>39733</v>
          </cell>
          <cell r="E1956" t="str">
            <v>VINILICA - DURASOL</v>
          </cell>
        </row>
        <row r="1957">
          <cell r="A1957">
            <v>39761</v>
          </cell>
          <cell r="E1957" t="str">
            <v>VINILICA - DURASOL</v>
          </cell>
        </row>
        <row r="1958">
          <cell r="A1958">
            <v>39763</v>
          </cell>
          <cell r="E1958" t="str">
            <v>VINILICA - DURASOL</v>
          </cell>
        </row>
        <row r="1959">
          <cell r="A1959">
            <v>39771</v>
          </cell>
          <cell r="E1959" t="str">
            <v>VINILICA - DURASOL</v>
          </cell>
        </row>
        <row r="1960">
          <cell r="A1960">
            <v>39773</v>
          </cell>
          <cell r="E1960" t="str">
            <v>VINILICA - DURASOL</v>
          </cell>
        </row>
        <row r="1961">
          <cell r="A1961">
            <v>40001</v>
          </cell>
          <cell r="E1961" t="str">
            <v>LINEA PARA PISOS</v>
          </cell>
        </row>
        <row r="1962">
          <cell r="A1962">
            <v>40003</v>
          </cell>
          <cell r="E1962" t="str">
            <v>LINEA PARA PISOS</v>
          </cell>
        </row>
        <row r="1963">
          <cell r="A1963">
            <v>40053</v>
          </cell>
          <cell r="E1963" t="str">
            <v>LINEA PARA PISOS</v>
          </cell>
        </row>
        <row r="1964">
          <cell r="A1964">
            <v>40054</v>
          </cell>
          <cell r="E1964" t="str">
            <v>LINEA PARA PISOS</v>
          </cell>
        </row>
        <row r="1965">
          <cell r="A1965">
            <v>40101</v>
          </cell>
          <cell r="E1965" t="str">
            <v>LINEA PARA PISOS</v>
          </cell>
        </row>
        <row r="1966">
          <cell r="A1966">
            <v>40103</v>
          </cell>
          <cell r="E1966" t="str">
            <v>LINEA PARA PISOS</v>
          </cell>
        </row>
        <row r="1967">
          <cell r="A1967">
            <v>40104</v>
          </cell>
          <cell r="E1967" t="str">
            <v>LINEA PARA PISOS</v>
          </cell>
        </row>
        <row r="1968">
          <cell r="A1968">
            <v>40111</v>
          </cell>
          <cell r="E1968" t="str">
            <v>LINEA PARA PISOS</v>
          </cell>
        </row>
        <row r="1969">
          <cell r="A1969">
            <v>40114</v>
          </cell>
          <cell r="E1969" t="str">
            <v>LINEA PARA PISOS</v>
          </cell>
        </row>
        <row r="1970">
          <cell r="A1970">
            <v>40121</v>
          </cell>
          <cell r="E1970" t="str">
            <v>LINEA PARA PISOS</v>
          </cell>
        </row>
        <row r="1971">
          <cell r="A1971">
            <v>40123</v>
          </cell>
          <cell r="E1971" t="str">
            <v>LINEA PARA PISOS</v>
          </cell>
        </row>
        <row r="1972">
          <cell r="A1972">
            <v>40124</v>
          </cell>
          <cell r="E1972" t="str">
            <v>LINEA PARA PISOS</v>
          </cell>
        </row>
        <row r="1973">
          <cell r="A1973">
            <v>40203</v>
          </cell>
          <cell r="E1973" t="str">
            <v>LINEA PARA PISOS</v>
          </cell>
        </row>
        <row r="1974">
          <cell r="A1974">
            <v>40204</v>
          </cell>
          <cell r="E1974" t="str">
            <v>LINEA PARA PISOS</v>
          </cell>
        </row>
        <row r="1975">
          <cell r="A1975">
            <v>40214</v>
          </cell>
          <cell r="E1975" t="str">
            <v>LINEA PARA PISOS</v>
          </cell>
        </row>
        <row r="1976">
          <cell r="A1976">
            <v>40303</v>
          </cell>
          <cell r="E1976" t="str">
            <v>LINEA PARA PISOS</v>
          </cell>
        </row>
        <row r="1977">
          <cell r="A1977">
            <v>40304</v>
          </cell>
          <cell r="E1977" t="str">
            <v>LINEA PARA PISOS</v>
          </cell>
        </row>
        <row r="1978">
          <cell r="A1978">
            <v>40305</v>
          </cell>
          <cell r="E1978" t="str">
            <v>LINEA PARA PISOS</v>
          </cell>
        </row>
        <row r="1979">
          <cell r="A1979">
            <v>40313</v>
          </cell>
          <cell r="E1979" t="str">
            <v>LINEA PARA PISOS</v>
          </cell>
        </row>
        <row r="1980">
          <cell r="A1980">
            <v>40314</v>
          </cell>
          <cell r="E1980" t="str">
            <v>LINEA PARA PISOS</v>
          </cell>
        </row>
        <row r="1981">
          <cell r="A1981">
            <v>40315</v>
          </cell>
          <cell r="E1981" t="str">
            <v>LINEA PARA PISOS</v>
          </cell>
        </row>
        <row r="1982">
          <cell r="A1982">
            <v>40501</v>
          </cell>
          <cell r="E1982" t="str">
            <v>LINEA PARA PISOS</v>
          </cell>
        </row>
        <row r="1983">
          <cell r="A1983">
            <v>40503</v>
          </cell>
          <cell r="E1983" t="str">
            <v>LINEA PARA PISOS</v>
          </cell>
        </row>
        <row r="1984">
          <cell r="A1984">
            <v>40504</v>
          </cell>
          <cell r="E1984" t="str">
            <v>LINEA PARA PISOS</v>
          </cell>
        </row>
        <row r="1985">
          <cell r="A1985">
            <v>40901</v>
          </cell>
          <cell r="E1985" t="str">
            <v>LINEA PARA PISOS</v>
          </cell>
        </row>
        <row r="1986">
          <cell r="A1986">
            <v>40903</v>
          </cell>
          <cell r="E1986" t="str">
            <v>LINEA PARA PISOS</v>
          </cell>
        </row>
        <row r="1987">
          <cell r="A1987">
            <v>40904</v>
          </cell>
          <cell r="E1987" t="str">
            <v>LINEA PARA PISOS</v>
          </cell>
        </row>
        <row r="1988">
          <cell r="A1988">
            <v>40921</v>
          </cell>
          <cell r="E1988" t="str">
            <v>LINEA PARA PISOS</v>
          </cell>
        </row>
        <row r="1989">
          <cell r="A1989">
            <v>40923</v>
          </cell>
          <cell r="E1989" t="str">
            <v>LINEA PARA PISOS</v>
          </cell>
        </row>
        <row r="1990">
          <cell r="A1990">
            <v>40924</v>
          </cell>
          <cell r="E1990" t="str">
            <v>LINEA PARA PISOS</v>
          </cell>
        </row>
        <row r="1991">
          <cell r="A1991">
            <v>40941</v>
          </cell>
          <cell r="E1991" t="str">
            <v>LINEA PARA PISOS</v>
          </cell>
        </row>
        <row r="1992">
          <cell r="A1992">
            <v>40943</v>
          </cell>
          <cell r="E1992" t="str">
            <v>LINEA PARA PISOS</v>
          </cell>
        </row>
        <row r="1993">
          <cell r="A1993">
            <v>40944</v>
          </cell>
          <cell r="E1993" t="str">
            <v>LINEA PARA PISOS</v>
          </cell>
        </row>
        <row r="1994">
          <cell r="A1994">
            <v>41003</v>
          </cell>
          <cell r="E1994" t="str">
            <v>LINEA PARA PISOS</v>
          </cell>
        </row>
        <row r="1995">
          <cell r="A1995">
            <v>41004</v>
          </cell>
          <cell r="E1995" t="str">
            <v>LINEA PARA PISOS</v>
          </cell>
        </row>
        <row r="1996">
          <cell r="A1996">
            <v>41054</v>
          </cell>
          <cell r="E1996" t="str">
            <v>LINEA PARA PISOS</v>
          </cell>
        </row>
        <row r="1997">
          <cell r="A1997">
            <v>41103</v>
          </cell>
          <cell r="E1997" t="str">
            <v>LINEA PARA PISOS</v>
          </cell>
        </row>
        <row r="1998">
          <cell r="A1998">
            <v>41202</v>
          </cell>
          <cell r="E1998" t="str">
            <v>LINEA PARA PISOS</v>
          </cell>
        </row>
        <row r="1999">
          <cell r="A1999">
            <v>41302</v>
          </cell>
          <cell r="E1999" t="str">
            <v>LINEA PARA PISOS</v>
          </cell>
        </row>
        <row r="2000">
          <cell r="A2000">
            <v>41561</v>
          </cell>
          <cell r="E2000" t="str">
            <v>PRIMARIOS ALQUIDALICOS</v>
          </cell>
        </row>
        <row r="2001">
          <cell r="A2001">
            <v>41601</v>
          </cell>
          <cell r="E2001" t="str">
            <v>PRIMARIOS ALQUIDALICOS</v>
          </cell>
        </row>
        <row r="2002">
          <cell r="A2002">
            <v>41941</v>
          </cell>
          <cell r="E2002" t="str">
            <v>PRIMARIOS ALQUIDALICOS</v>
          </cell>
        </row>
        <row r="2003">
          <cell r="A2003">
            <v>41943</v>
          </cell>
          <cell r="E2003" t="str">
            <v>PRIMARIOS ALQUIDALICOS</v>
          </cell>
        </row>
        <row r="2004">
          <cell r="A2004">
            <v>42561</v>
          </cell>
          <cell r="E2004" t="str">
            <v>PRIMARIOS VINILICOS</v>
          </cell>
        </row>
        <row r="2005">
          <cell r="A2005">
            <v>42571</v>
          </cell>
          <cell r="E2005" t="str">
            <v>PRIMARIOS EPOXICOS</v>
          </cell>
        </row>
        <row r="2006">
          <cell r="A2006">
            <v>42601</v>
          </cell>
          <cell r="E2006" t="str">
            <v>PRIMARIOS EPOXICOS</v>
          </cell>
        </row>
        <row r="2007">
          <cell r="A2007">
            <v>42751</v>
          </cell>
          <cell r="E2007" t="str">
            <v>PRETRATAMIENTO METALICO INDUST</v>
          </cell>
        </row>
        <row r="2008">
          <cell r="A2008">
            <v>42753</v>
          </cell>
          <cell r="E2008" t="str">
            <v>PRETRATAMIENTO METALICO INDUST</v>
          </cell>
        </row>
        <row r="2009">
          <cell r="A2009">
            <v>42801</v>
          </cell>
          <cell r="E2009" t="str">
            <v>PRETRATAMIENTO METALICO INDUST</v>
          </cell>
        </row>
        <row r="2010">
          <cell r="A2010">
            <v>42803</v>
          </cell>
          <cell r="E2010" t="str">
            <v>PRETRATAMIENTO METALICO INDUST</v>
          </cell>
        </row>
        <row r="2011">
          <cell r="A2011">
            <v>42814</v>
          </cell>
          <cell r="E2011" t="str">
            <v>PRETRATAMIENTO METALICO INDUST</v>
          </cell>
        </row>
        <row r="2012">
          <cell r="A2012">
            <v>43000</v>
          </cell>
          <cell r="E2012" t="str">
            <v>PRIMARIOS EPOXICOS</v>
          </cell>
        </row>
        <row r="2013">
          <cell r="A2013">
            <v>43001</v>
          </cell>
          <cell r="E2013" t="str">
            <v>PRIMARIOS EPOXICOS</v>
          </cell>
        </row>
        <row r="2014">
          <cell r="A2014">
            <v>43003</v>
          </cell>
          <cell r="E2014" t="str">
            <v>PRIMARIOS EPOXICOS</v>
          </cell>
        </row>
        <row r="2015">
          <cell r="A2015">
            <v>43011</v>
          </cell>
          <cell r="E2015" t="str">
            <v>PRIMARIOS EPOXICOS</v>
          </cell>
        </row>
        <row r="2016">
          <cell r="A2016">
            <v>43013</v>
          </cell>
          <cell r="E2016" t="str">
            <v>PRIMARIOS EPOXICOS</v>
          </cell>
        </row>
        <row r="2017">
          <cell r="A2017">
            <v>43023</v>
          </cell>
          <cell r="E2017" t="str">
            <v>PRIMARIOS EPOXICOS</v>
          </cell>
        </row>
        <row r="2018">
          <cell r="A2018">
            <v>43024</v>
          </cell>
          <cell r="E2018" t="str">
            <v>PRIMARIOS EPOXICOS</v>
          </cell>
        </row>
        <row r="2019">
          <cell r="A2019">
            <v>43561</v>
          </cell>
          <cell r="E2019" t="str">
            <v>PRIMARIOS EPOXICOS</v>
          </cell>
        </row>
        <row r="2020">
          <cell r="A2020">
            <v>43563</v>
          </cell>
          <cell r="E2020" t="str">
            <v>PRIMARIOS EPOXICOS</v>
          </cell>
        </row>
        <row r="2021">
          <cell r="A2021">
            <v>43573</v>
          </cell>
          <cell r="E2021" t="str">
            <v>PRIMARIOS EPOXICOS</v>
          </cell>
        </row>
        <row r="2022">
          <cell r="A2022">
            <v>43574</v>
          </cell>
          <cell r="E2022" t="str">
            <v>PRIMARIOS EPOXICOS</v>
          </cell>
        </row>
        <row r="2023">
          <cell r="A2023">
            <v>43581</v>
          </cell>
          <cell r="E2023" t="str">
            <v>PRIMARIOS EPOXICOS</v>
          </cell>
        </row>
        <row r="2024">
          <cell r="A2024">
            <v>43593</v>
          </cell>
          <cell r="E2024" t="str">
            <v>PRIMARIOS EPOXICOS</v>
          </cell>
        </row>
        <row r="2025">
          <cell r="A2025">
            <v>43903</v>
          </cell>
          <cell r="E2025" t="str">
            <v>PRIMARIOS EPOXICOS</v>
          </cell>
        </row>
        <row r="2026">
          <cell r="A2026">
            <v>43914</v>
          </cell>
          <cell r="E2026" t="str">
            <v>PRIMARIOS EPOXICOS</v>
          </cell>
        </row>
        <row r="2027">
          <cell r="A2027">
            <v>43933</v>
          </cell>
          <cell r="E2027" t="str">
            <v>PRIMARIOS EPOXICOS</v>
          </cell>
        </row>
        <row r="2028">
          <cell r="A2028">
            <v>43961</v>
          </cell>
          <cell r="E2028" t="str">
            <v>PRIMARIOS EPOXICOS</v>
          </cell>
        </row>
        <row r="2029">
          <cell r="A2029">
            <v>43963</v>
          </cell>
          <cell r="E2029" t="str">
            <v>PRIMARIOS EPOXICOS</v>
          </cell>
        </row>
        <row r="2030">
          <cell r="A2030">
            <v>43973</v>
          </cell>
          <cell r="E2030" t="str">
            <v>PRIMARIOS EPOXICOS</v>
          </cell>
        </row>
        <row r="2031">
          <cell r="A2031">
            <v>43974</v>
          </cell>
          <cell r="E2031" t="str">
            <v>PRIMARIOS EPOXICOS</v>
          </cell>
        </row>
        <row r="2032">
          <cell r="A2032">
            <v>43981</v>
          </cell>
          <cell r="E2032" t="str">
            <v>PRIMARIOS EPOXICOS</v>
          </cell>
        </row>
        <row r="2033">
          <cell r="A2033">
            <v>43983</v>
          </cell>
          <cell r="E2033" t="str">
            <v>PRIMARIOS EPOXICOS</v>
          </cell>
        </row>
        <row r="2034">
          <cell r="A2034">
            <v>43991</v>
          </cell>
          <cell r="E2034" t="str">
            <v>PRIMARIOS EPOXICOS</v>
          </cell>
        </row>
        <row r="2035">
          <cell r="A2035">
            <v>43993</v>
          </cell>
          <cell r="E2035" t="str">
            <v>PRIMARIOS EPOXICOS</v>
          </cell>
        </row>
        <row r="2036">
          <cell r="A2036">
            <v>48821</v>
          </cell>
          <cell r="E2036" t="str">
            <v>SOLVENTES INDUSTRIALES</v>
          </cell>
        </row>
        <row r="2037">
          <cell r="A2037">
            <v>48823</v>
          </cell>
          <cell r="E2037" t="str">
            <v>SOLVENTES INDUSTRIALES</v>
          </cell>
        </row>
        <row r="2038">
          <cell r="A2038">
            <v>48831</v>
          </cell>
          <cell r="E2038" t="str">
            <v>SOLVENTES INDUSTRIALES</v>
          </cell>
        </row>
        <row r="2039">
          <cell r="A2039">
            <v>48833</v>
          </cell>
          <cell r="E2039" t="str">
            <v>SOLVENTES INDUSTRIALES</v>
          </cell>
        </row>
        <row r="2040">
          <cell r="A2040">
            <v>48834</v>
          </cell>
          <cell r="E2040" t="str">
            <v>SOLVENTES INDUSTRIALES</v>
          </cell>
        </row>
        <row r="2041">
          <cell r="A2041">
            <v>48841</v>
          </cell>
          <cell r="E2041" t="str">
            <v>SOLVENTES INDUSTRIALES</v>
          </cell>
        </row>
        <row r="2042">
          <cell r="A2042">
            <v>48843</v>
          </cell>
          <cell r="E2042" t="str">
            <v>SOLVENTES INDUSTRIALES</v>
          </cell>
        </row>
        <row r="2043">
          <cell r="A2043">
            <v>49751</v>
          </cell>
          <cell r="E2043" t="str">
            <v>PRETRATAMIENTO METALICO INDUST</v>
          </cell>
        </row>
        <row r="2044">
          <cell r="A2044">
            <v>49753</v>
          </cell>
          <cell r="E2044" t="str">
            <v>PRETRATAMIENTO METALICO INDUST</v>
          </cell>
        </row>
        <row r="2045">
          <cell r="A2045">
            <v>49953</v>
          </cell>
          <cell r="E2045" t="str">
            <v>PRIMARIOS INORGANICOS</v>
          </cell>
        </row>
        <row r="2046">
          <cell r="A2046">
            <v>49963</v>
          </cell>
          <cell r="E2046" t="str">
            <v>PRIMARIOS INORGANICOS</v>
          </cell>
        </row>
        <row r="2047">
          <cell r="A2047">
            <v>49983</v>
          </cell>
          <cell r="E2047" t="str">
            <v>PRIMARIOS INORGANICOS</v>
          </cell>
        </row>
        <row r="2048">
          <cell r="A2048">
            <v>50001</v>
          </cell>
          <cell r="E2048" t="str">
            <v>LINEA PARA PISOS</v>
          </cell>
        </row>
        <row r="2049">
          <cell r="A2049">
            <v>50003</v>
          </cell>
          <cell r="E2049" t="str">
            <v>LINEA PARA PISOS</v>
          </cell>
        </row>
        <row r="2050">
          <cell r="A2050">
            <v>50013</v>
          </cell>
          <cell r="E2050" t="str">
            <v>LINEA PARA PISOS</v>
          </cell>
        </row>
        <row r="2051">
          <cell r="A2051">
            <v>50014</v>
          </cell>
          <cell r="E2051" t="str">
            <v>LINEA PARA PISOS</v>
          </cell>
        </row>
        <row r="2052">
          <cell r="A2052">
            <v>50061</v>
          </cell>
          <cell r="E2052" t="str">
            <v>LINEA PARA PISOS</v>
          </cell>
        </row>
        <row r="2053">
          <cell r="A2053">
            <v>50063</v>
          </cell>
          <cell r="E2053" t="str">
            <v>LINEA PARA PISOS</v>
          </cell>
        </row>
        <row r="2054">
          <cell r="A2054">
            <v>50071</v>
          </cell>
          <cell r="E2054" t="str">
            <v>LINEA PARA PISOS</v>
          </cell>
        </row>
        <row r="2055">
          <cell r="A2055">
            <v>50073</v>
          </cell>
          <cell r="E2055" t="str">
            <v>LINEA PARA PISOS</v>
          </cell>
        </row>
        <row r="2056">
          <cell r="A2056">
            <v>50141</v>
          </cell>
          <cell r="E2056" t="str">
            <v>LINEA PARA PISOS</v>
          </cell>
        </row>
        <row r="2057">
          <cell r="A2057">
            <v>50143</v>
          </cell>
          <cell r="E2057" t="str">
            <v>LINEA PARA PISOS</v>
          </cell>
        </row>
        <row r="2058">
          <cell r="A2058">
            <v>50481</v>
          </cell>
          <cell r="E2058" t="str">
            <v>LINEA PARA PISOS</v>
          </cell>
        </row>
        <row r="2059">
          <cell r="A2059">
            <v>50483</v>
          </cell>
          <cell r="E2059" t="str">
            <v>LINEA PARA PISOS</v>
          </cell>
        </row>
        <row r="2060">
          <cell r="A2060">
            <v>50651</v>
          </cell>
          <cell r="E2060" t="str">
            <v>LINEA PARA PISOS</v>
          </cell>
        </row>
        <row r="2061">
          <cell r="A2061">
            <v>50653</v>
          </cell>
          <cell r="E2061" t="str">
            <v>LINEA PARA PISOS</v>
          </cell>
        </row>
        <row r="2062">
          <cell r="A2062">
            <v>50751</v>
          </cell>
          <cell r="E2062" t="str">
            <v>LINEA PARA PISOS</v>
          </cell>
        </row>
        <row r="2063">
          <cell r="A2063">
            <v>50753</v>
          </cell>
          <cell r="E2063" t="str">
            <v>LINEA PARA PISOS</v>
          </cell>
        </row>
        <row r="2064">
          <cell r="A2064">
            <v>50901</v>
          </cell>
          <cell r="E2064" t="str">
            <v>LINEA PARA PISOS</v>
          </cell>
        </row>
        <row r="2065">
          <cell r="A2065">
            <v>50903</v>
          </cell>
          <cell r="E2065" t="str">
            <v>LINEA PARA PISOS</v>
          </cell>
        </row>
        <row r="2066">
          <cell r="A2066">
            <v>50921</v>
          </cell>
          <cell r="E2066" t="str">
            <v>LINEA PARA PISOS</v>
          </cell>
        </row>
        <row r="2067">
          <cell r="A2067">
            <v>50923</v>
          </cell>
          <cell r="E2067" t="str">
            <v>LINEA PARA PISOS</v>
          </cell>
        </row>
        <row r="2068">
          <cell r="A2068">
            <v>50941</v>
          </cell>
          <cell r="E2068" t="str">
            <v>LINEA PARA PISOS</v>
          </cell>
        </row>
        <row r="2069">
          <cell r="A2069">
            <v>50943</v>
          </cell>
          <cell r="E2069" t="str">
            <v>LINEA PARA PISOS</v>
          </cell>
        </row>
        <row r="2070">
          <cell r="A2070">
            <v>51001</v>
          </cell>
          <cell r="E2070" t="str">
            <v>ACABADOS ALQUIDALICOS</v>
          </cell>
        </row>
        <row r="2071">
          <cell r="A2071">
            <v>51261</v>
          </cell>
          <cell r="E2071" t="str">
            <v>ACABADOS ALQUIDALICOS</v>
          </cell>
        </row>
        <row r="2072">
          <cell r="A2072">
            <v>51471</v>
          </cell>
          <cell r="E2072" t="str">
            <v>ACABADOS ALQUIDALICOS</v>
          </cell>
        </row>
        <row r="2073">
          <cell r="A2073">
            <v>51811</v>
          </cell>
          <cell r="E2073" t="str">
            <v>ACABADOS ALQUIDALICOS</v>
          </cell>
        </row>
        <row r="2074">
          <cell r="A2074">
            <v>51991</v>
          </cell>
          <cell r="E2074" t="str">
            <v>ACABADOS ALQUIDALICOS</v>
          </cell>
        </row>
        <row r="2075">
          <cell r="A2075">
            <v>51993</v>
          </cell>
          <cell r="E2075" t="str">
            <v>ACABADOS ALQUIDALICOS</v>
          </cell>
        </row>
        <row r="2076">
          <cell r="A2076">
            <v>52151</v>
          </cell>
          <cell r="E2076" t="str">
            <v>ACABADOS VINILICOS Y VINIL-ACR</v>
          </cell>
        </row>
        <row r="2077">
          <cell r="A2077">
            <v>52213</v>
          </cell>
          <cell r="E2077" t="str">
            <v>ACABADOS VINILICOS Y VINIL-ACR</v>
          </cell>
        </row>
        <row r="2078">
          <cell r="A2078">
            <v>52991</v>
          </cell>
          <cell r="E2078" t="str">
            <v>ACABADOS VINILICOS Y VINIL-ACR</v>
          </cell>
        </row>
        <row r="2079">
          <cell r="A2079">
            <v>53001</v>
          </cell>
          <cell r="E2079" t="str">
            <v>ACABADOS EPOXICOS</v>
          </cell>
        </row>
        <row r="2080">
          <cell r="A2080">
            <v>53003</v>
          </cell>
          <cell r="E2080" t="str">
            <v>ACABADOS EPOXICOS</v>
          </cell>
        </row>
        <row r="2081">
          <cell r="A2081">
            <v>53011</v>
          </cell>
          <cell r="E2081" t="str">
            <v>ACABADOS EPOXICOS</v>
          </cell>
        </row>
        <row r="2082">
          <cell r="A2082">
            <v>53013</v>
          </cell>
          <cell r="E2082" t="str">
            <v>ACABADOS EPOXICOS</v>
          </cell>
        </row>
        <row r="2083">
          <cell r="A2083">
            <v>53014</v>
          </cell>
          <cell r="E2083" t="str">
            <v>ACABADOS EPOXICOS</v>
          </cell>
        </row>
        <row r="2084">
          <cell r="A2084">
            <v>53141</v>
          </cell>
          <cell r="E2084" t="str">
            <v>ACABADOS EPOXICOS</v>
          </cell>
        </row>
        <row r="2085">
          <cell r="A2085">
            <v>53151</v>
          </cell>
          <cell r="E2085" t="str">
            <v>ACABADOS EPOXICOS</v>
          </cell>
        </row>
        <row r="2086">
          <cell r="A2086">
            <v>53471</v>
          </cell>
          <cell r="E2086" t="str">
            <v>ACABADOS EPOXICOS</v>
          </cell>
        </row>
        <row r="2087">
          <cell r="A2087">
            <v>53524</v>
          </cell>
          <cell r="E2087" t="str">
            <v>ACABADOS EPOXICOS</v>
          </cell>
        </row>
        <row r="2088">
          <cell r="A2088">
            <v>53532</v>
          </cell>
          <cell r="E2088" t="str">
            <v>ACABADOS EPOXICOS</v>
          </cell>
        </row>
        <row r="2089">
          <cell r="A2089">
            <v>53561</v>
          </cell>
          <cell r="E2089" t="str">
            <v>ACABADOS EPOXICOS</v>
          </cell>
        </row>
        <row r="2090">
          <cell r="A2090">
            <v>53563</v>
          </cell>
          <cell r="E2090" t="str">
            <v>ACABADOS EPOXICOS</v>
          </cell>
        </row>
        <row r="2091">
          <cell r="A2091">
            <v>53593</v>
          </cell>
          <cell r="E2091" t="str">
            <v>ACABADOS EPOXICOS</v>
          </cell>
        </row>
        <row r="2092">
          <cell r="A2092">
            <v>53621</v>
          </cell>
          <cell r="E2092" t="str">
            <v>ACABADOS EPOXICOS</v>
          </cell>
        </row>
        <row r="2093">
          <cell r="A2093">
            <v>53741</v>
          </cell>
          <cell r="E2093" t="str">
            <v>ACABADOS EPOXICOS</v>
          </cell>
        </row>
        <row r="2094">
          <cell r="A2094">
            <v>53860</v>
          </cell>
          <cell r="E2094" t="str">
            <v>OTROS ACABADOS INDUSTRIALES</v>
          </cell>
        </row>
        <row r="2095">
          <cell r="A2095">
            <v>53861</v>
          </cell>
          <cell r="E2095" t="str">
            <v>OTROS ACABADOS INDUSTRIALES</v>
          </cell>
        </row>
        <row r="2096">
          <cell r="A2096">
            <v>53901</v>
          </cell>
          <cell r="E2096" t="str">
            <v>ACABADOS EPOXICOS</v>
          </cell>
        </row>
        <row r="2097">
          <cell r="A2097">
            <v>53931</v>
          </cell>
          <cell r="E2097" t="str">
            <v>ACABADOS EPOXICOS</v>
          </cell>
        </row>
        <row r="2098">
          <cell r="A2098">
            <v>53933</v>
          </cell>
          <cell r="E2098" t="str">
            <v>ACABADOS EPOXICOS</v>
          </cell>
        </row>
        <row r="2099">
          <cell r="A2099">
            <v>53941</v>
          </cell>
          <cell r="E2099" t="str">
            <v>ACABADOS EPOXICOS</v>
          </cell>
        </row>
        <row r="2100">
          <cell r="A2100">
            <v>53943</v>
          </cell>
          <cell r="E2100" t="str">
            <v>ACABADOS EPOXICOS</v>
          </cell>
        </row>
        <row r="2101">
          <cell r="A2101">
            <v>53991</v>
          </cell>
          <cell r="E2101" t="str">
            <v>ACABADOS EPOXICOS</v>
          </cell>
        </row>
        <row r="2102">
          <cell r="A2102">
            <v>53993</v>
          </cell>
          <cell r="E2102" t="str">
            <v>ACABADOS EPOXICOS</v>
          </cell>
        </row>
        <row r="2103">
          <cell r="A2103">
            <v>55001</v>
          </cell>
          <cell r="E2103" t="str">
            <v>ACABADOS DE PU</v>
          </cell>
        </row>
        <row r="2104">
          <cell r="A2104">
            <v>55003</v>
          </cell>
          <cell r="E2104" t="str">
            <v>ACABADOS DE PU</v>
          </cell>
        </row>
        <row r="2105">
          <cell r="A2105">
            <v>55004</v>
          </cell>
          <cell r="E2105" t="str">
            <v>ACABADOS DE PU</v>
          </cell>
        </row>
        <row r="2106">
          <cell r="A2106">
            <v>55011</v>
          </cell>
          <cell r="E2106" t="str">
            <v>ACABADOS DE PU</v>
          </cell>
        </row>
        <row r="2107">
          <cell r="A2107">
            <v>55013</v>
          </cell>
          <cell r="E2107" t="str">
            <v>ACABADOS DE PU</v>
          </cell>
        </row>
        <row r="2108">
          <cell r="A2108">
            <v>55014</v>
          </cell>
          <cell r="E2108" t="str">
            <v>ACABADOS DE PU</v>
          </cell>
        </row>
        <row r="2109">
          <cell r="A2109">
            <v>55021</v>
          </cell>
          <cell r="E2109" t="str">
            <v>ACABADOS DE PU</v>
          </cell>
        </row>
        <row r="2110">
          <cell r="A2110">
            <v>55141</v>
          </cell>
          <cell r="E2110" t="str">
            <v>ACABADOS DE PU</v>
          </cell>
        </row>
        <row r="2111">
          <cell r="A2111">
            <v>55143</v>
          </cell>
          <cell r="E2111" t="str">
            <v>ACABADOS DE PU</v>
          </cell>
        </row>
        <row r="2112">
          <cell r="A2112">
            <v>55144</v>
          </cell>
          <cell r="E2112" t="str">
            <v>ACABADOS DE PU</v>
          </cell>
        </row>
        <row r="2113">
          <cell r="A2113">
            <v>55151</v>
          </cell>
          <cell r="E2113" t="str">
            <v>ACABADOS DE PU</v>
          </cell>
        </row>
        <row r="2114">
          <cell r="A2114">
            <v>55153</v>
          </cell>
          <cell r="E2114" t="str">
            <v>ACABADOS DE PU</v>
          </cell>
        </row>
        <row r="2115">
          <cell r="A2115">
            <v>55361</v>
          </cell>
          <cell r="E2115" t="str">
            <v>ACABADOS DE PU</v>
          </cell>
        </row>
        <row r="2116">
          <cell r="A2116">
            <v>55363</v>
          </cell>
          <cell r="E2116" t="str">
            <v>ACABADOS DE PU</v>
          </cell>
        </row>
        <row r="2117">
          <cell r="A2117">
            <v>55481</v>
          </cell>
          <cell r="E2117" t="str">
            <v>ACABADOS DE PU</v>
          </cell>
        </row>
        <row r="2118">
          <cell r="A2118">
            <v>55483</v>
          </cell>
          <cell r="E2118" t="str">
            <v>ACABADOS DE PU</v>
          </cell>
        </row>
        <row r="2119">
          <cell r="A2119">
            <v>55484</v>
          </cell>
          <cell r="E2119" t="str">
            <v>ACABADOS DE PU</v>
          </cell>
        </row>
        <row r="2120">
          <cell r="A2120">
            <v>55561</v>
          </cell>
          <cell r="E2120" t="str">
            <v>ACABADOS DE PU</v>
          </cell>
        </row>
        <row r="2121">
          <cell r="A2121">
            <v>55563</v>
          </cell>
          <cell r="E2121" t="str">
            <v>ACABADOS DE PU</v>
          </cell>
        </row>
        <row r="2122">
          <cell r="A2122">
            <v>55651</v>
          </cell>
          <cell r="E2122" t="str">
            <v>ACABADOS DE PU</v>
          </cell>
        </row>
        <row r="2123">
          <cell r="A2123">
            <v>55653</v>
          </cell>
          <cell r="E2123" t="str">
            <v>ACABADOS DE PU</v>
          </cell>
        </row>
        <row r="2124">
          <cell r="A2124">
            <v>55681</v>
          </cell>
          <cell r="E2124" t="str">
            <v>ACABADOS DE PU</v>
          </cell>
        </row>
        <row r="2125">
          <cell r="A2125">
            <v>55683</v>
          </cell>
          <cell r="E2125" t="str">
            <v>ACABADOS DE PU</v>
          </cell>
        </row>
        <row r="2126">
          <cell r="A2126">
            <v>55684</v>
          </cell>
          <cell r="E2126" t="str">
            <v>ACABADOS DE PU</v>
          </cell>
        </row>
        <row r="2127">
          <cell r="A2127">
            <v>55751</v>
          </cell>
          <cell r="E2127" t="str">
            <v>ACABADOS DE PU</v>
          </cell>
        </row>
        <row r="2128">
          <cell r="A2128">
            <v>55753</v>
          </cell>
          <cell r="E2128" t="str">
            <v>ACABADOS DE PU</v>
          </cell>
        </row>
        <row r="2129">
          <cell r="A2129">
            <v>55754</v>
          </cell>
          <cell r="E2129" t="str">
            <v>ACABADOS DE PU</v>
          </cell>
        </row>
        <row r="2130">
          <cell r="A2130">
            <v>55781</v>
          </cell>
          <cell r="E2130" t="str">
            <v>ACABADOS DE PU</v>
          </cell>
        </row>
        <row r="2131">
          <cell r="A2131">
            <v>55783</v>
          </cell>
          <cell r="E2131" t="str">
            <v>ACABADOS DE PU</v>
          </cell>
        </row>
        <row r="2132">
          <cell r="A2132">
            <v>55801</v>
          </cell>
          <cell r="E2132" t="str">
            <v>ACABADOS DE PU</v>
          </cell>
        </row>
        <row r="2133">
          <cell r="A2133">
            <v>55803</v>
          </cell>
          <cell r="E2133" t="str">
            <v>ACABADOS DE PU</v>
          </cell>
        </row>
        <row r="2134">
          <cell r="A2134">
            <v>55811</v>
          </cell>
          <cell r="E2134" t="str">
            <v>ACABADOS DE PU</v>
          </cell>
        </row>
        <row r="2135">
          <cell r="A2135">
            <v>55843</v>
          </cell>
          <cell r="E2135" t="str">
            <v>ACABADOS DE PU</v>
          </cell>
        </row>
        <row r="2136">
          <cell r="A2136">
            <v>55844</v>
          </cell>
          <cell r="E2136" t="str">
            <v>ACABADOS DE PU</v>
          </cell>
        </row>
        <row r="2137">
          <cell r="A2137">
            <v>55931</v>
          </cell>
          <cell r="E2137" t="str">
            <v>ACABADOS DE PU</v>
          </cell>
        </row>
        <row r="2138">
          <cell r="A2138">
            <v>55933</v>
          </cell>
          <cell r="E2138" t="str">
            <v>ACABADOS DE PU</v>
          </cell>
        </row>
        <row r="2139">
          <cell r="A2139">
            <v>55941</v>
          </cell>
          <cell r="E2139" t="str">
            <v>ACABADOS DE PU</v>
          </cell>
        </row>
        <row r="2140">
          <cell r="A2140">
            <v>55991</v>
          </cell>
          <cell r="E2140" t="str">
            <v>ACABADOS DE PU</v>
          </cell>
        </row>
        <row r="2141">
          <cell r="A2141">
            <v>55993</v>
          </cell>
          <cell r="E2141" t="str">
            <v>ACABADOS DE PU</v>
          </cell>
        </row>
        <row r="2142">
          <cell r="A2142">
            <v>56001</v>
          </cell>
          <cell r="E2142" t="str">
            <v>LINEA PARA PISOS</v>
          </cell>
        </row>
        <row r="2143">
          <cell r="A2143">
            <v>56003</v>
          </cell>
          <cell r="E2143" t="str">
            <v>LINEA PARA PISOS</v>
          </cell>
        </row>
        <row r="2144">
          <cell r="A2144">
            <v>56013</v>
          </cell>
          <cell r="E2144" t="str">
            <v>LINEA PARA PISOS</v>
          </cell>
        </row>
        <row r="2145">
          <cell r="A2145">
            <v>56014</v>
          </cell>
          <cell r="E2145" t="str">
            <v>LINEA PARA PISOS</v>
          </cell>
        </row>
        <row r="2146">
          <cell r="A2146">
            <v>56061</v>
          </cell>
          <cell r="E2146" t="str">
            <v>LINEA PARA PISOS</v>
          </cell>
        </row>
        <row r="2147">
          <cell r="A2147">
            <v>56063</v>
          </cell>
          <cell r="E2147" t="str">
            <v>LINEA PARA PISOS</v>
          </cell>
        </row>
        <row r="2148">
          <cell r="A2148">
            <v>56073</v>
          </cell>
          <cell r="E2148" t="str">
            <v>LINEA PARA PISOS</v>
          </cell>
        </row>
        <row r="2149">
          <cell r="A2149">
            <v>56561</v>
          </cell>
          <cell r="E2149" t="str">
            <v>LINEA PARA PISOS</v>
          </cell>
        </row>
        <row r="2150">
          <cell r="A2150">
            <v>56801</v>
          </cell>
          <cell r="E2150" t="str">
            <v>LINEA PARA PISOS</v>
          </cell>
        </row>
        <row r="2151">
          <cell r="A2151">
            <v>56803</v>
          </cell>
          <cell r="E2151" t="str">
            <v>LINEA PARA PISOS</v>
          </cell>
        </row>
        <row r="2152">
          <cell r="A2152">
            <v>56811</v>
          </cell>
          <cell r="E2152" t="str">
            <v>LINEA PARA PISOS</v>
          </cell>
        </row>
        <row r="2153">
          <cell r="A2153">
            <v>56821</v>
          </cell>
          <cell r="E2153" t="str">
            <v>LINEA PARA PISOS</v>
          </cell>
        </row>
        <row r="2154">
          <cell r="A2154">
            <v>56823</v>
          </cell>
          <cell r="E2154" t="str">
            <v>LINEA PARA PISOS</v>
          </cell>
        </row>
        <row r="2155">
          <cell r="A2155">
            <v>56831</v>
          </cell>
          <cell r="E2155" t="str">
            <v>LINEA PARA PISOS</v>
          </cell>
        </row>
        <row r="2156">
          <cell r="A2156">
            <v>56841</v>
          </cell>
          <cell r="E2156" t="str">
            <v>LINEA PARA PISOS</v>
          </cell>
        </row>
        <row r="2157">
          <cell r="A2157">
            <v>56901</v>
          </cell>
          <cell r="E2157" t="str">
            <v>ACABADOS DE ALTA TEMPERATURA</v>
          </cell>
        </row>
        <row r="2158">
          <cell r="A2158">
            <v>56903</v>
          </cell>
          <cell r="E2158" t="str">
            <v>ACABADOS DE ALTA TEMPERATURA</v>
          </cell>
        </row>
        <row r="2159">
          <cell r="A2159">
            <v>56911</v>
          </cell>
          <cell r="E2159" t="str">
            <v>ACABADOS DE ALTA TEMPERATURA</v>
          </cell>
        </row>
        <row r="2160">
          <cell r="A2160">
            <v>56913</v>
          </cell>
          <cell r="E2160" t="str">
            <v>ACABADOS DE ALTA TEMPERATURA</v>
          </cell>
        </row>
        <row r="2161">
          <cell r="A2161">
            <v>56921</v>
          </cell>
          <cell r="E2161" t="str">
            <v>ACABADOS DE ALTA TEMPERATURA</v>
          </cell>
        </row>
        <row r="2162">
          <cell r="A2162">
            <v>56923</v>
          </cell>
          <cell r="E2162" t="str">
            <v>ACABADOS DE ALTA TEMPERATURA</v>
          </cell>
        </row>
        <row r="2163">
          <cell r="A2163">
            <v>56931</v>
          </cell>
          <cell r="E2163" t="str">
            <v>LINEA PARA PISOS</v>
          </cell>
        </row>
        <row r="2164">
          <cell r="A2164">
            <v>57003</v>
          </cell>
          <cell r="E2164" t="str">
            <v>LINEA PARA PISOS</v>
          </cell>
        </row>
        <row r="2165">
          <cell r="A2165">
            <v>57014</v>
          </cell>
          <cell r="E2165" t="str">
            <v>LINEA PARA PISOS</v>
          </cell>
        </row>
        <row r="2166">
          <cell r="A2166">
            <v>57052</v>
          </cell>
          <cell r="E2166" t="str">
            <v>LINEA PARA PISOS</v>
          </cell>
        </row>
        <row r="2167">
          <cell r="A2167">
            <v>57073</v>
          </cell>
          <cell r="E2167" t="str">
            <v>LINEA PARA PISOS</v>
          </cell>
        </row>
        <row r="2168">
          <cell r="A2168">
            <v>57503</v>
          </cell>
          <cell r="E2168" t="str">
            <v>ACABADOS EPOXICOS</v>
          </cell>
        </row>
        <row r="2169">
          <cell r="A2169">
            <v>57514</v>
          </cell>
          <cell r="E2169" t="str">
            <v>ACABADOS EPOXICOS</v>
          </cell>
        </row>
        <row r="2170">
          <cell r="A2170">
            <v>57923</v>
          </cell>
          <cell r="E2170" t="str">
            <v>LINEA PARA PISOS</v>
          </cell>
        </row>
        <row r="2171">
          <cell r="A2171">
            <v>58001</v>
          </cell>
          <cell r="E2171" t="str">
            <v>ACABADOS EPOXICOS</v>
          </cell>
        </row>
        <row r="2172">
          <cell r="A2172">
            <v>58003</v>
          </cell>
          <cell r="E2172" t="str">
            <v>ACABADOS EPOXICOS</v>
          </cell>
        </row>
        <row r="2173">
          <cell r="A2173">
            <v>58221</v>
          </cell>
          <cell r="E2173" t="str">
            <v>ACABADOS EPOXICOS</v>
          </cell>
        </row>
        <row r="2174">
          <cell r="A2174">
            <v>58231</v>
          </cell>
          <cell r="E2174" t="str">
            <v>ACABADOS EPOXICOS</v>
          </cell>
        </row>
        <row r="2175">
          <cell r="A2175">
            <v>58683</v>
          </cell>
          <cell r="E2175" t="str">
            <v>ACABADOS EPOXICOS</v>
          </cell>
        </row>
        <row r="2176">
          <cell r="A2176">
            <v>58833</v>
          </cell>
          <cell r="E2176" t="str">
            <v>ACABADOS EPOXICOS</v>
          </cell>
        </row>
        <row r="2177">
          <cell r="A2177">
            <v>58851</v>
          </cell>
          <cell r="E2177" t="str">
            <v>ACABADOS EPOXICOS</v>
          </cell>
        </row>
        <row r="2178">
          <cell r="A2178">
            <v>58853</v>
          </cell>
          <cell r="E2178" t="str">
            <v>ACABADOS EPOXICOS</v>
          </cell>
        </row>
        <row r="2179">
          <cell r="A2179">
            <v>58921</v>
          </cell>
          <cell r="E2179" t="str">
            <v>ACABADOS EPOXICOS</v>
          </cell>
        </row>
        <row r="2180">
          <cell r="A2180">
            <v>58923</v>
          </cell>
          <cell r="E2180" t="str">
            <v>ACABADOS EPOXICOS</v>
          </cell>
        </row>
        <row r="2181">
          <cell r="A2181">
            <v>58931</v>
          </cell>
          <cell r="E2181" t="str">
            <v>ACABADOS EPOXICOS</v>
          </cell>
        </row>
        <row r="2182">
          <cell r="A2182">
            <v>58933</v>
          </cell>
          <cell r="E2182" t="str">
            <v>ACABADOS EPOXICOS</v>
          </cell>
        </row>
        <row r="2183">
          <cell r="A2183">
            <v>58971</v>
          </cell>
          <cell r="E2183" t="str">
            <v>ACABADOS EPOXICOS</v>
          </cell>
        </row>
        <row r="2184">
          <cell r="A2184">
            <v>58981</v>
          </cell>
          <cell r="E2184" t="str">
            <v>ACABADOS EPOXICOS</v>
          </cell>
        </row>
        <row r="2185">
          <cell r="A2185">
            <v>58993</v>
          </cell>
          <cell r="E2185" t="str">
            <v>ACABADOS EPOXICOS</v>
          </cell>
        </row>
        <row r="2186">
          <cell r="A2186">
            <v>59000</v>
          </cell>
          <cell r="E2186" t="str">
            <v>ACABADOS EPOXICOS</v>
          </cell>
        </row>
        <row r="2187">
          <cell r="A2187">
            <v>59001</v>
          </cell>
          <cell r="E2187" t="str">
            <v>ACABADOS EPOXICOS</v>
          </cell>
        </row>
        <row r="2188">
          <cell r="A2188">
            <v>59003</v>
          </cell>
          <cell r="E2188" t="str">
            <v>ACABADOS EPOXICOS</v>
          </cell>
        </row>
        <row r="2189">
          <cell r="A2189">
            <v>59011</v>
          </cell>
          <cell r="E2189" t="str">
            <v>ACABADOS EPOXICOS</v>
          </cell>
        </row>
        <row r="2190">
          <cell r="A2190">
            <v>59013</v>
          </cell>
          <cell r="E2190" t="str">
            <v>ACABADOS EPOXICOS</v>
          </cell>
        </row>
        <row r="2191">
          <cell r="A2191">
            <v>59014</v>
          </cell>
          <cell r="E2191" t="str">
            <v>ACABADOS EPOXICOS</v>
          </cell>
        </row>
        <row r="2192">
          <cell r="A2192">
            <v>59023</v>
          </cell>
          <cell r="E2192" t="str">
            <v>ACABADOS EPOXICOS</v>
          </cell>
        </row>
        <row r="2193">
          <cell r="A2193">
            <v>59031</v>
          </cell>
          <cell r="E2193" t="str">
            <v>ACABADOS EPOXICOS</v>
          </cell>
        </row>
        <row r="2194">
          <cell r="A2194">
            <v>59033</v>
          </cell>
          <cell r="E2194" t="str">
            <v>ACABADOS EPOXICOS</v>
          </cell>
        </row>
        <row r="2195">
          <cell r="A2195">
            <v>59141</v>
          </cell>
          <cell r="E2195" t="str">
            <v>ACABADOS EPOXICOS</v>
          </cell>
        </row>
        <row r="2196">
          <cell r="A2196">
            <v>59143</v>
          </cell>
          <cell r="E2196" t="str">
            <v>ACABADOS EPOXICOS</v>
          </cell>
        </row>
        <row r="2197">
          <cell r="A2197">
            <v>59151</v>
          </cell>
          <cell r="E2197" t="str">
            <v>ACABADOS EPOXICOS</v>
          </cell>
        </row>
        <row r="2198">
          <cell r="A2198">
            <v>59153</v>
          </cell>
          <cell r="E2198" t="str">
            <v>ACABADOS EPOXICOS</v>
          </cell>
        </row>
        <row r="2199">
          <cell r="A2199">
            <v>59331</v>
          </cell>
          <cell r="E2199" t="str">
            <v>ACABADOS EPOXICOS</v>
          </cell>
        </row>
        <row r="2200">
          <cell r="A2200">
            <v>59333</v>
          </cell>
          <cell r="E2200" t="str">
            <v>ACABADOS EPOXICOS</v>
          </cell>
        </row>
        <row r="2201">
          <cell r="A2201">
            <v>59471</v>
          </cell>
          <cell r="E2201" t="str">
            <v>ACABADOS EPOXICOS</v>
          </cell>
        </row>
        <row r="2202">
          <cell r="A2202">
            <v>59473</v>
          </cell>
          <cell r="E2202" t="str">
            <v>ACABADOS EPOXICOS</v>
          </cell>
        </row>
        <row r="2203">
          <cell r="A2203">
            <v>59561</v>
          </cell>
          <cell r="E2203" t="str">
            <v>ACABADOS EPOXICOS</v>
          </cell>
        </row>
        <row r="2204">
          <cell r="A2204">
            <v>59563</v>
          </cell>
          <cell r="E2204" t="str">
            <v>ACABADOS EPOXICOS</v>
          </cell>
        </row>
        <row r="2205">
          <cell r="A2205">
            <v>59651</v>
          </cell>
          <cell r="E2205" t="str">
            <v>ACABADOS EPOXICOS</v>
          </cell>
        </row>
        <row r="2206">
          <cell r="A2206">
            <v>59653</v>
          </cell>
          <cell r="E2206" t="str">
            <v>ACABADOS EPOXICOS</v>
          </cell>
        </row>
        <row r="2207">
          <cell r="A2207">
            <v>59681</v>
          </cell>
          <cell r="E2207" t="str">
            <v>ACABADOS EPOXICOS</v>
          </cell>
        </row>
        <row r="2208">
          <cell r="A2208">
            <v>59683</v>
          </cell>
          <cell r="E2208" t="str">
            <v>ACABADOS EPOXICOS</v>
          </cell>
        </row>
        <row r="2209">
          <cell r="A2209">
            <v>59751</v>
          </cell>
          <cell r="E2209" t="str">
            <v>ACABADOS EPOXICOS</v>
          </cell>
        </row>
        <row r="2210">
          <cell r="A2210">
            <v>59753</v>
          </cell>
          <cell r="E2210" t="str">
            <v>ACABADOS EPOXICOS</v>
          </cell>
        </row>
        <row r="2211">
          <cell r="A2211">
            <v>59791</v>
          </cell>
          <cell r="E2211" t="str">
            <v>ACABADOS EPOXICOS</v>
          </cell>
        </row>
        <row r="2212">
          <cell r="A2212">
            <v>59793</v>
          </cell>
          <cell r="E2212" t="str">
            <v>ACABADOS EPOXICOS</v>
          </cell>
        </row>
        <row r="2213">
          <cell r="A2213">
            <v>59901</v>
          </cell>
          <cell r="E2213" t="str">
            <v>ACABADOS EPOXICOS</v>
          </cell>
        </row>
        <row r="2214">
          <cell r="A2214">
            <v>59903</v>
          </cell>
          <cell r="E2214" t="str">
            <v>ACABADOS EPOXICOS</v>
          </cell>
        </row>
        <row r="2215">
          <cell r="A2215">
            <v>59931</v>
          </cell>
          <cell r="E2215" t="str">
            <v>ACABADOS EPOXICOS</v>
          </cell>
        </row>
        <row r="2216">
          <cell r="A2216">
            <v>59933</v>
          </cell>
          <cell r="E2216" t="str">
            <v>ACABADOS EPOXICOS</v>
          </cell>
        </row>
        <row r="2217">
          <cell r="A2217">
            <v>59991</v>
          </cell>
          <cell r="E2217" t="str">
            <v>ACABADOS EPOXICOS</v>
          </cell>
        </row>
        <row r="2218">
          <cell r="A2218">
            <v>59993</v>
          </cell>
          <cell r="E2218" t="str">
            <v>ACABADOS EPOXICOS</v>
          </cell>
        </row>
        <row r="2219">
          <cell r="A2219">
            <v>60010</v>
          </cell>
          <cell r="E2219" t="str">
            <v>SOLVENTES INDUSTRIALES</v>
          </cell>
        </row>
        <row r="2220">
          <cell r="A2220">
            <v>60011</v>
          </cell>
          <cell r="E2220" t="str">
            <v>SOLVENTES INDUSTRIALES</v>
          </cell>
        </row>
        <row r="2221">
          <cell r="A2221">
            <v>60013</v>
          </cell>
          <cell r="E2221" t="str">
            <v>SOLVENTES INDUSTRIALES</v>
          </cell>
        </row>
        <row r="2222">
          <cell r="A2222">
            <v>60040</v>
          </cell>
          <cell r="E2222" t="str">
            <v>SOLVENTES INDUSTRIALES</v>
          </cell>
        </row>
        <row r="2223">
          <cell r="A2223">
            <v>60041</v>
          </cell>
          <cell r="E2223" t="str">
            <v>SOLVENTES INDUSTRIALES</v>
          </cell>
        </row>
        <row r="2224">
          <cell r="A2224">
            <v>60044</v>
          </cell>
          <cell r="E2224" t="str">
            <v>SOLVENTES INDUSTRIALES</v>
          </cell>
        </row>
        <row r="2225">
          <cell r="A2225">
            <v>60050</v>
          </cell>
          <cell r="E2225" t="str">
            <v>SOLVENTES INDUSTRIALES</v>
          </cell>
        </row>
        <row r="2226">
          <cell r="A2226">
            <v>60051</v>
          </cell>
          <cell r="E2226" t="str">
            <v>SOLVENTES INDUSTRIALES</v>
          </cell>
        </row>
        <row r="2227">
          <cell r="A2227">
            <v>60052</v>
          </cell>
          <cell r="E2227" t="str">
            <v>SOLVENTES INDUSTRIALES</v>
          </cell>
        </row>
        <row r="2228">
          <cell r="A2228">
            <v>60053</v>
          </cell>
          <cell r="E2228" t="str">
            <v>SOLVENTES INDUSTRIALES</v>
          </cell>
        </row>
        <row r="2229">
          <cell r="A2229">
            <v>60054</v>
          </cell>
          <cell r="E2229" t="str">
            <v>SOLVENTES INDUSTRIALES</v>
          </cell>
        </row>
        <row r="2230">
          <cell r="A2230">
            <v>60111</v>
          </cell>
          <cell r="E2230" t="str">
            <v>SOLVENTES INDUSTRIALES</v>
          </cell>
        </row>
        <row r="2231">
          <cell r="A2231">
            <v>60113</v>
          </cell>
          <cell r="E2231" t="str">
            <v>SOLVENTES INDUSTRIALES</v>
          </cell>
        </row>
        <row r="2232">
          <cell r="A2232">
            <v>60170</v>
          </cell>
          <cell r="E2232" t="str">
            <v>SOLVENTES INDUSTRIALES</v>
          </cell>
        </row>
        <row r="2233">
          <cell r="A2233">
            <v>60171</v>
          </cell>
          <cell r="E2233" t="str">
            <v>SOLVENTES INDUSTRIALES</v>
          </cell>
        </row>
        <row r="2234">
          <cell r="A2234">
            <v>60173</v>
          </cell>
          <cell r="E2234" t="str">
            <v>SOLVENTES INDUSTRIALES</v>
          </cell>
        </row>
        <row r="2235">
          <cell r="A2235">
            <v>60190</v>
          </cell>
          <cell r="E2235" t="str">
            <v>SOLVENTES INDUSTRIALES</v>
          </cell>
        </row>
        <row r="2236">
          <cell r="A2236">
            <v>60191</v>
          </cell>
          <cell r="E2236" t="str">
            <v>SOLVENTES INDUSTRIALES</v>
          </cell>
        </row>
        <row r="2237">
          <cell r="A2237">
            <v>60193</v>
          </cell>
          <cell r="E2237" t="str">
            <v>SOLVENTES INDUSTRIALES</v>
          </cell>
        </row>
        <row r="2238">
          <cell r="A2238">
            <v>60200</v>
          </cell>
          <cell r="E2238" t="str">
            <v>SOLVENTES INDUSTRIALES</v>
          </cell>
        </row>
        <row r="2239">
          <cell r="A2239">
            <v>60201</v>
          </cell>
          <cell r="E2239" t="str">
            <v>SOLVENTES INDUSTRIALES</v>
          </cell>
        </row>
        <row r="2240">
          <cell r="A2240">
            <v>60203</v>
          </cell>
          <cell r="E2240" t="str">
            <v>SOLVENTES INDUSTRIALES</v>
          </cell>
        </row>
        <row r="2241">
          <cell r="A2241">
            <v>60210</v>
          </cell>
          <cell r="E2241" t="str">
            <v>SOLVENTES INDUSTRIALES</v>
          </cell>
        </row>
        <row r="2242">
          <cell r="A2242">
            <v>60211</v>
          </cell>
          <cell r="E2242" t="str">
            <v>SOLVENTES INDUSTRIALES</v>
          </cell>
        </row>
        <row r="2243">
          <cell r="A2243">
            <v>60213</v>
          </cell>
          <cell r="E2243" t="str">
            <v>SOLVENTES INDUSTRIALES</v>
          </cell>
        </row>
        <row r="2244">
          <cell r="A2244">
            <v>60290</v>
          </cell>
          <cell r="E2244" t="str">
            <v>SOLVENTES INDUSTRIALES</v>
          </cell>
        </row>
        <row r="2245">
          <cell r="A2245">
            <v>60300</v>
          </cell>
          <cell r="E2245" t="str">
            <v>SOLVENTES INDUSTRIALES</v>
          </cell>
        </row>
        <row r="2246">
          <cell r="A2246">
            <v>60301</v>
          </cell>
          <cell r="E2246" t="str">
            <v>SOLVENTES INDUSTRIALES</v>
          </cell>
        </row>
        <row r="2247">
          <cell r="A2247">
            <v>60303</v>
          </cell>
          <cell r="E2247" t="str">
            <v>SOLVENTES INDUSTRIALES</v>
          </cell>
        </row>
        <row r="2248">
          <cell r="A2248">
            <v>60304</v>
          </cell>
          <cell r="E2248" t="str">
            <v>SOLVENTES INDUSTRIALES</v>
          </cell>
        </row>
        <row r="2249">
          <cell r="A2249">
            <v>60320</v>
          </cell>
          <cell r="E2249" t="str">
            <v>SOLVENTES INDUSTRIALES</v>
          </cell>
        </row>
        <row r="2250">
          <cell r="A2250">
            <v>60321</v>
          </cell>
          <cell r="E2250" t="str">
            <v>SOLVENTES INDUSTRIALES</v>
          </cell>
        </row>
        <row r="2251">
          <cell r="A2251">
            <v>60350</v>
          </cell>
          <cell r="E2251" t="str">
            <v>SOLVENTES INDUSTRIALES</v>
          </cell>
        </row>
        <row r="2252">
          <cell r="A2252">
            <v>60351</v>
          </cell>
          <cell r="E2252" t="str">
            <v>SOLVENTES INDUSTRIALES</v>
          </cell>
        </row>
        <row r="2253">
          <cell r="A2253">
            <v>60353</v>
          </cell>
          <cell r="E2253" t="str">
            <v>SOLVENTES INDUSTRIALES</v>
          </cell>
        </row>
        <row r="2254">
          <cell r="A2254">
            <v>60354</v>
          </cell>
          <cell r="E2254" t="str">
            <v>SOLVENTES INDUSTRIALES</v>
          </cell>
        </row>
        <row r="2255">
          <cell r="A2255">
            <v>60360</v>
          </cell>
          <cell r="E2255" t="str">
            <v>SOLVENTES INDUSTRIALES</v>
          </cell>
        </row>
        <row r="2256">
          <cell r="A2256">
            <v>60361</v>
          </cell>
          <cell r="E2256" t="str">
            <v>SOLVENTES INDUSTRIALES</v>
          </cell>
        </row>
        <row r="2257">
          <cell r="A2257">
            <v>60363</v>
          </cell>
          <cell r="E2257" t="str">
            <v>SOLVENTES INDUSTRIALES</v>
          </cell>
        </row>
        <row r="2258">
          <cell r="A2258">
            <v>60364</v>
          </cell>
          <cell r="E2258" t="str">
            <v>SOLVENTES INDUSTRIALES</v>
          </cell>
        </row>
        <row r="2259">
          <cell r="A2259">
            <v>60370</v>
          </cell>
          <cell r="E2259" t="str">
            <v>SOLVENTES INDUSTRIALES</v>
          </cell>
        </row>
        <row r="2260">
          <cell r="A2260">
            <v>60371</v>
          </cell>
          <cell r="E2260" t="str">
            <v>SOLVENTES INDUSTRIALES</v>
          </cell>
        </row>
        <row r="2261">
          <cell r="A2261">
            <v>60373</v>
          </cell>
          <cell r="E2261" t="str">
            <v>SOLVENTES INDUSTRIALES</v>
          </cell>
        </row>
        <row r="2262">
          <cell r="A2262">
            <v>60374</v>
          </cell>
          <cell r="E2262" t="str">
            <v>SOLVENTES INDUSTRIALES</v>
          </cell>
        </row>
        <row r="2263">
          <cell r="A2263">
            <v>60380</v>
          </cell>
          <cell r="E2263" t="str">
            <v>SOLVENTES INDUSTRIALES</v>
          </cell>
        </row>
        <row r="2264">
          <cell r="A2264">
            <v>60381</v>
          </cell>
          <cell r="E2264" t="str">
            <v>SOLVENTES INDUSTRIALES</v>
          </cell>
        </row>
        <row r="2265">
          <cell r="A2265">
            <v>60384</v>
          </cell>
          <cell r="E2265" t="str">
            <v>SOLVENTES INDUSTRIALES</v>
          </cell>
        </row>
        <row r="2266">
          <cell r="A2266">
            <v>60400</v>
          </cell>
          <cell r="E2266" t="str">
            <v>SOLVENTES INDUSTRIALES</v>
          </cell>
        </row>
        <row r="2267">
          <cell r="A2267">
            <v>60401</v>
          </cell>
          <cell r="E2267" t="str">
            <v>SOLVENTES INDUSTRIALES</v>
          </cell>
        </row>
        <row r="2268">
          <cell r="A2268">
            <v>60403</v>
          </cell>
          <cell r="E2268" t="str">
            <v>SOLVENTES INDUSTRIALES</v>
          </cell>
        </row>
        <row r="2269">
          <cell r="A2269">
            <v>60420</v>
          </cell>
          <cell r="E2269" t="str">
            <v>SOLVENTES INDUSTRIALES</v>
          </cell>
        </row>
        <row r="2270">
          <cell r="A2270">
            <v>60421</v>
          </cell>
          <cell r="E2270" t="str">
            <v>SOLVENTES INDUSTRIALES</v>
          </cell>
        </row>
        <row r="2271">
          <cell r="A2271">
            <v>60424</v>
          </cell>
          <cell r="E2271" t="str">
            <v>SOLVENTES INDUSTRIALES</v>
          </cell>
        </row>
        <row r="2272">
          <cell r="A2272">
            <v>60444</v>
          </cell>
          <cell r="E2272" t="str">
            <v>SOLVENTES INDUSTRIALES</v>
          </cell>
        </row>
        <row r="2273">
          <cell r="A2273">
            <v>60451</v>
          </cell>
          <cell r="E2273" t="str">
            <v>SOLVENTES INDUSTRIALES</v>
          </cell>
        </row>
        <row r="2274">
          <cell r="A2274">
            <v>60454</v>
          </cell>
          <cell r="E2274" t="str">
            <v>SOLVENTES INDUSTRIALES</v>
          </cell>
        </row>
        <row r="2275">
          <cell r="A2275">
            <v>60600</v>
          </cell>
          <cell r="E2275" t="str">
            <v>SOLVENTES INDUSTRIALES</v>
          </cell>
        </row>
        <row r="2276">
          <cell r="A2276">
            <v>60601</v>
          </cell>
          <cell r="E2276" t="str">
            <v>SOLVENTES INDUSTRIALES</v>
          </cell>
        </row>
        <row r="2277">
          <cell r="A2277">
            <v>60603</v>
          </cell>
          <cell r="E2277" t="str">
            <v>SOLVENTES INDUSTRIALES</v>
          </cell>
        </row>
        <row r="2278">
          <cell r="A2278">
            <v>60613</v>
          </cell>
          <cell r="E2278" t="str">
            <v>SOLVENTES INDUSTRIALES</v>
          </cell>
        </row>
        <row r="2279">
          <cell r="A2279">
            <v>61000</v>
          </cell>
          <cell r="E2279" t="str">
            <v>IMPERM - PARAGUAS 3 AÑOS EMULS</v>
          </cell>
        </row>
        <row r="2280">
          <cell r="A2280">
            <v>61001</v>
          </cell>
          <cell r="E2280" t="str">
            <v>IMPERM - PARAGUAS 3 AÑOS EMULS</v>
          </cell>
        </row>
        <row r="2281">
          <cell r="A2281">
            <v>61003</v>
          </cell>
          <cell r="E2281" t="str">
            <v>IMPERM - PARAGUAS 3 AÑOS EMULS</v>
          </cell>
        </row>
        <row r="2282">
          <cell r="A2282">
            <v>61050</v>
          </cell>
          <cell r="E2282" t="str">
            <v>IMPERM - PARAGUAS 3 AÑOS EMULS</v>
          </cell>
        </row>
        <row r="2283">
          <cell r="A2283">
            <v>61100</v>
          </cell>
          <cell r="E2283" t="str">
            <v>IMPERM - PARAGUAS 5 AÑOS ASFAL</v>
          </cell>
        </row>
        <row r="2284">
          <cell r="A2284">
            <v>61101</v>
          </cell>
          <cell r="E2284" t="str">
            <v>IMPERM - PARAGUAS 5 AÑOS ASFAL</v>
          </cell>
        </row>
        <row r="2285">
          <cell r="A2285">
            <v>61103</v>
          </cell>
          <cell r="E2285" t="str">
            <v>IMPERM - PARAGUAS 5 AÑOS ASFAL</v>
          </cell>
        </row>
        <row r="2286">
          <cell r="A2286">
            <v>61104</v>
          </cell>
          <cell r="E2286" t="str">
            <v>IMPERM - PARAGUAS 5 AÑOS ASFAL</v>
          </cell>
        </row>
        <row r="2287">
          <cell r="A2287">
            <v>61200</v>
          </cell>
          <cell r="E2287" t="str">
            <v>HERRAMIENTAS EN GENERAL</v>
          </cell>
        </row>
        <row r="2288">
          <cell r="A2288">
            <v>61202</v>
          </cell>
          <cell r="E2288" t="str">
            <v>HERRAMIENTAS EN GENERAL</v>
          </cell>
        </row>
        <row r="2289">
          <cell r="A2289">
            <v>61300</v>
          </cell>
          <cell r="E2289" t="str">
            <v>IMPERM - PARAGUAS PRISAGUA</v>
          </cell>
        </row>
        <row r="2290">
          <cell r="A2290">
            <v>61301</v>
          </cell>
          <cell r="E2290" t="str">
            <v>IMPERM - PARAGUAS PRISAGUA</v>
          </cell>
        </row>
        <row r="2291">
          <cell r="A2291">
            <v>61303</v>
          </cell>
          <cell r="E2291" t="str">
            <v>IMPERM - PARAGUAS PRISAGUA</v>
          </cell>
        </row>
        <row r="2292">
          <cell r="A2292">
            <v>61391</v>
          </cell>
          <cell r="E2292" t="str">
            <v>OTROS ACCESORIOS Y COMPLEMENTO</v>
          </cell>
        </row>
        <row r="2293">
          <cell r="A2293">
            <v>61401</v>
          </cell>
          <cell r="E2293" t="str">
            <v>OTROS ACCESORIOS Y COMPLEMENTO</v>
          </cell>
        </row>
        <row r="2294">
          <cell r="A2294">
            <v>61403</v>
          </cell>
          <cell r="E2294" t="str">
            <v>OTROS ACCESORIOS Y COMPLEMENTO</v>
          </cell>
        </row>
        <row r="2295">
          <cell r="A2295">
            <v>61404</v>
          </cell>
          <cell r="E2295" t="str">
            <v>OTROS ACCESORIOS Y COMPLEMENTO</v>
          </cell>
        </row>
        <row r="2296">
          <cell r="A2296">
            <v>61411</v>
          </cell>
          <cell r="E2296" t="str">
            <v>RESINAS</v>
          </cell>
        </row>
        <row r="2297">
          <cell r="A2297">
            <v>61421</v>
          </cell>
          <cell r="E2297" t="str">
            <v>RESINAS</v>
          </cell>
        </row>
        <row r="2298">
          <cell r="A2298">
            <v>61430</v>
          </cell>
          <cell r="E2298" t="str">
            <v>RESINAS</v>
          </cell>
        </row>
        <row r="2299">
          <cell r="A2299">
            <v>61431</v>
          </cell>
          <cell r="E2299" t="str">
            <v>RESINAS</v>
          </cell>
        </row>
        <row r="2300">
          <cell r="A2300">
            <v>61441</v>
          </cell>
          <cell r="E2300" t="str">
            <v>RESINAS</v>
          </cell>
        </row>
        <row r="2301">
          <cell r="A2301">
            <v>61451</v>
          </cell>
          <cell r="E2301" t="str">
            <v>RESINAS</v>
          </cell>
        </row>
        <row r="2302">
          <cell r="A2302">
            <v>61461</v>
          </cell>
          <cell r="E2302" t="str">
            <v>RESINAS</v>
          </cell>
        </row>
        <row r="2303">
          <cell r="A2303">
            <v>61471</v>
          </cell>
          <cell r="E2303" t="str">
            <v>RESINAS</v>
          </cell>
        </row>
        <row r="2304">
          <cell r="A2304">
            <v>61481</v>
          </cell>
          <cell r="E2304" t="str">
            <v>RESINAS</v>
          </cell>
        </row>
        <row r="2305">
          <cell r="A2305">
            <v>61491</v>
          </cell>
          <cell r="E2305" t="str">
            <v>RESINAS</v>
          </cell>
        </row>
        <row r="2306">
          <cell r="A2306">
            <v>61501</v>
          </cell>
          <cell r="E2306" t="str">
            <v>RESINAS</v>
          </cell>
        </row>
        <row r="2307">
          <cell r="A2307">
            <v>61511</v>
          </cell>
          <cell r="E2307" t="str">
            <v>RESINAS</v>
          </cell>
        </row>
        <row r="2308">
          <cell r="A2308">
            <v>61521</v>
          </cell>
          <cell r="E2308" t="str">
            <v>RESINAS</v>
          </cell>
        </row>
        <row r="2309">
          <cell r="A2309">
            <v>61531</v>
          </cell>
          <cell r="E2309" t="str">
            <v>RESINAS</v>
          </cell>
        </row>
        <row r="2310">
          <cell r="A2310">
            <v>61701</v>
          </cell>
          <cell r="E2310" t="str">
            <v>BACTERIOFF</v>
          </cell>
        </row>
        <row r="2311">
          <cell r="A2311">
            <v>61751</v>
          </cell>
          <cell r="E2311" t="str">
            <v>BACTERIOFF</v>
          </cell>
        </row>
        <row r="2312">
          <cell r="A2312">
            <v>61753</v>
          </cell>
          <cell r="E2312" t="str">
            <v>BACTERIOFF</v>
          </cell>
        </row>
        <row r="2313">
          <cell r="A2313">
            <v>62152</v>
          </cell>
          <cell r="E2313" t="str">
            <v>COLORES AL CEMENTO</v>
          </cell>
        </row>
        <row r="2314">
          <cell r="A2314">
            <v>62155</v>
          </cell>
          <cell r="E2314" t="str">
            <v>COLORES AL CEMENTO</v>
          </cell>
        </row>
        <row r="2315">
          <cell r="A2315">
            <v>62262</v>
          </cell>
          <cell r="E2315" t="str">
            <v>COLORES AL CEMENTO</v>
          </cell>
        </row>
        <row r="2316">
          <cell r="A2316">
            <v>62266</v>
          </cell>
          <cell r="E2316" t="str">
            <v>COLORES AL CEMENTO</v>
          </cell>
        </row>
        <row r="2317">
          <cell r="A2317">
            <v>62355</v>
          </cell>
          <cell r="E2317" t="str">
            <v>COLORES AL CEMENTO</v>
          </cell>
        </row>
        <row r="2318">
          <cell r="A2318">
            <v>62435</v>
          </cell>
          <cell r="E2318" t="str">
            <v>COLORES AL CEMENTO</v>
          </cell>
        </row>
        <row r="2319">
          <cell r="A2319">
            <v>62562</v>
          </cell>
          <cell r="E2319" t="str">
            <v>COLORES AL CEMENTO</v>
          </cell>
        </row>
        <row r="2320">
          <cell r="A2320">
            <v>62565</v>
          </cell>
          <cell r="E2320" t="str">
            <v>COLORES AL CEMENTO</v>
          </cell>
        </row>
        <row r="2321">
          <cell r="A2321">
            <v>62572</v>
          </cell>
          <cell r="E2321" t="str">
            <v>COLORES AL CEMENTO</v>
          </cell>
        </row>
        <row r="2322">
          <cell r="A2322">
            <v>62582</v>
          </cell>
          <cell r="E2322" t="str">
            <v>COLORES AL CEMENTO</v>
          </cell>
        </row>
        <row r="2323">
          <cell r="A2323">
            <v>62585</v>
          </cell>
          <cell r="E2323" t="str">
            <v>COLORES AL CEMENTO</v>
          </cell>
        </row>
        <row r="2324">
          <cell r="A2324">
            <v>62662</v>
          </cell>
          <cell r="E2324" t="str">
            <v>COLORES AL CEMENTO</v>
          </cell>
        </row>
        <row r="2325">
          <cell r="A2325">
            <v>62665</v>
          </cell>
          <cell r="E2325" t="str">
            <v>COLORES AL CEMENTO</v>
          </cell>
        </row>
        <row r="2326">
          <cell r="A2326">
            <v>62735</v>
          </cell>
          <cell r="E2326" t="str">
            <v>COLORES AL CEMENTO</v>
          </cell>
        </row>
        <row r="2327">
          <cell r="A2327">
            <v>62742</v>
          </cell>
          <cell r="E2327" t="str">
            <v>COLORES AL CEMENTO</v>
          </cell>
        </row>
        <row r="2328">
          <cell r="A2328">
            <v>62745</v>
          </cell>
          <cell r="E2328" t="str">
            <v>COLORES AL CEMENTO</v>
          </cell>
        </row>
        <row r="2329">
          <cell r="A2329">
            <v>62755</v>
          </cell>
          <cell r="E2329" t="str">
            <v>COLORES AL CEMENTO</v>
          </cell>
        </row>
        <row r="2330">
          <cell r="A2330">
            <v>62762</v>
          </cell>
          <cell r="E2330" t="str">
            <v>COLORES AL CEMENTO</v>
          </cell>
        </row>
        <row r="2331">
          <cell r="A2331">
            <v>62765</v>
          </cell>
          <cell r="E2331" t="str">
            <v>COLORES AL CEMENTO</v>
          </cell>
        </row>
        <row r="2332">
          <cell r="A2332">
            <v>62993</v>
          </cell>
          <cell r="E2332" t="str">
            <v>COLORES AL CEMENTO</v>
          </cell>
        </row>
        <row r="2333">
          <cell r="A2333">
            <v>62996</v>
          </cell>
          <cell r="E2333" t="str">
            <v>COLORES AL CEMENTO</v>
          </cell>
        </row>
        <row r="2334">
          <cell r="A2334">
            <v>64142</v>
          </cell>
          <cell r="E2334" t="str">
            <v>COLORES A LA CAL</v>
          </cell>
        </row>
        <row r="2335">
          <cell r="A2335">
            <v>64432</v>
          </cell>
          <cell r="E2335" t="str">
            <v>COLORES A LA CAL</v>
          </cell>
        </row>
        <row r="2336">
          <cell r="A2336">
            <v>64442</v>
          </cell>
          <cell r="E2336" t="str">
            <v>COLORES A LA CAL</v>
          </cell>
        </row>
        <row r="2337">
          <cell r="A2337">
            <v>64662</v>
          </cell>
          <cell r="E2337" t="str">
            <v>COLORES A LA CAL</v>
          </cell>
        </row>
        <row r="2338">
          <cell r="A2338">
            <v>64665</v>
          </cell>
          <cell r="E2338" t="str">
            <v>COLORES A LA CAL</v>
          </cell>
        </row>
        <row r="2339">
          <cell r="A2339">
            <v>64752</v>
          </cell>
          <cell r="E2339" t="str">
            <v>COLORES A LA CAL</v>
          </cell>
        </row>
        <row r="2340">
          <cell r="A2340">
            <v>64762</v>
          </cell>
          <cell r="E2340" t="str">
            <v>COLORES A LA CAL</v>
          </cell>
        </row>
        <row r="2341">
          <cell r="A2341">
            <v>68004</v>
          </cell>
          <cell r="E2341" t="str">
            <v>TINTAS MEGACOLOR</v>
          </cell>
        </row>
        <row r="2342">
          <cell r="A2342">
            <v>68009</v>
          </cell>
          <cell r="E2342" t="str">
            <v>TINTAS MEGACOLOR</v>
          </cell>
        </row>
        <row r="2343">
          <cell r="A2343">
            <v>68154</v>
          </cell>
          <cell r="E2343" t="str">
            <v>TINTAS MEGACOLOR</v>
          </cell>
        </row>
        <row r="2344">
          <cell r="A2344">
            <v>68159</v>
          </cell>
          <cell r="E2344" t="str">
            <v>TINTAS MEGACOLOR</v>
          </cell>
        </row>
        <row r="2345">
          <cell r="A2345">
            <v>68164</v>
          </cell>
          <cell r="E2345" t="str">
            <v>TINTAS MEGACOLOR</v>
          </cell>
        </row>
        <row r="2346">
          <cell r="A2346">
            <v>68169</v>
          </cell>
          <cell r="E2346" t="str">
            <v>TINTAS MEGACOLOR</v>
          </cell>
        </row>
        <row r="2347">
          <cell r="A2347">
            <v>68264</v>
          </cell>
          <cell r="E2347" t="str">
            <v>TINTAS MEGACOLOR</v>
          </cell>
        </row>
        <row r="2348">
          <cell r="A2348">
            <v>68269</v>
          </cell>
          <cell r="E2348" t="str">
            <v>TINTAS MEGACOLOR</v>
          </cell>
        </row>
        <row r="2349">
          <cell r="A2349">
            <v>68454</v>
          </cell>
          <cell r="E2349" t="str">
            <v>TINTAS MEGACOLOR</v>
          </cell>
        </row>
        <row r="2350">
          <cell r="A2350">
            <v>68459</v>
          </cell>
          <cell r="E2350" t="str">
            <v>TINTAS MEGACOLOR</v>
          </cell>
        </row>
        <row r="2351">
          <cell r="A2351">
            <v>68474</v>
          </cell>
          <cell r="E2351" t="str">
            <v>TINTAS MEGACOLOR</v>
          </cell>
        </row>
        <row r="2352">
          <cell r="A2352">
            <v>68479</v>
          </cell>
          <cell r="E2352" t="str">
            <v>TINTAS MEGACOLOR</v>
          </cell>
        </row>
        <row r="2353">
          <cell r="A2353">
            <v>68564</v>
          </cell>
          <cell r="E2353" t="str">
            <v>TINTAS MEGACOLOR</v>
          </cell>
        </row>
        <row r="2354">
          <cell r="A2354">
            <v>68569</v>
          </cell>
          <cell r="E2354" t="str">
            <v>TINTAS MEGACOLOR</v>
          </cell>
        </row>
        <row r="2355">
          <cell r="A2355">
            <v>68584</v>
          </cell>
          <cell r="E2355" t="str">
            <v>TINTAS MEGACOLOR</v>
          </cell>
        </row>
        <row r="2356">
          <cell r="A2356">
            <v>68589</v>
          </cell>
          <cell r="E2356" t="str">
            <v>TINTAS MEGACOLOR</v>
          </cell>
        </row>
        <row r="2357">
          <cell r="A2357">
            <v>68594</v>
          </cell>
          <cell r="E2357" t="str">
            <v>TINTAS MEGACOLOR</v>
          </cell>
        </row>
        <row r="2358">
          <cell r="A2358">
            <v>68599</v>
          </cell>
          <cell r="E2358" t="str">
            <v>TINTAS MEGACOLOR</v>
          </cell>
        </row>
        <row r="2359">
          <cell r="A2359">
            <v>68654</v>
          </cell>
          <cell r="E2359" t="str">
            <v>TINTAS MEGACOLOR</v>
          </cell>
        </row>
        <row r="2360">
          <cell r="A2360">
            <v>68659</v>
          </cell>
          <cell r="E2360" t="str">
            <v>TINTAS MEGACOLOR</v>
          </cell>
        </row>
        <row r="2361">
          <cell r="A2361">
            <v>68754</v>
          </cell>
          <cell r="E2361" t="str">
            <v>TINTAS MEGACOLOR</v>
          </cell>
        </row>
        <row r="2362">
          <cell r="A2362">
            <v>68759</v>
          </cell>
          <cell r="E2362" t="str">
            <v>TINTAS MEGACOLOR</v>
          </cell>
        </row>
        <row r="2363">
          <cell r="A2363">
            <v>68994</v>
          </cell>
          <cell r="E2363" t="str">
            <v>TINTAS MEGACOLOR</v>
          </cell>
        </row>
        <row r="2364">
          <cell r="A2364">
            <v>68999</v>
          </cell>
          <cell r="E2364" t="str">
            <v>TINTAS MEGACOLOR</v>
          </cell>
        </row>
        <row r="2365">
          <cell r="A2365">
            <v>69001</v>
          </cell>
          <cell r="E2365" t="str">
            <v>TINTAS MEGACOLOR</v>
          </cell>
        </row>
        <row r="2366">
          <cell r="A2366">
            <v>69003</v>
          </cell>
          <cell r="E2366" t="str">
            <v>CONCENTRADOS UNIVERSALES</v>
          </cell>
        </row>
        <row r="2367">
          <cell r="A2367">
            <v>69004</v>
          </cell>
          <cell r="E2367" t="str">
            <v>CONCENTRADOS UNIVERSALES</v>
          </cell>
        </row>
        <row r="2368">
          <cell r="A2368">
            <v>69134</v>
          </cell>
          <cell r="E2368" t="str">
            <v>CONCENTRADOS UNIVERSALES</v>
          </cell>
        </row>
        <row r="2369">
          <cell r="A2369">
            <v>69153</v>
          </cell>
          <cell r="E2369" t="str">
            <v>CONCENTRADOS UNIVERSALES</v>
          </cell>
        </row>
        <row r="2370">
          <cell r="A2370">
            <v>69154</v>
          </cell>
          <cell r="E2370" t="str">
            <v>CONCENTRADOS UNIVERSALES</v>
          </cell>
        </row>
        <row r="2371">
          <cell r="A2371">
            <v>69164</v>
          </cell>
          <cell r="E2371" t="str">
            <v>CONCENTRADOS UNIVERSALES</v>
          </cell>
        </row>
        <row r="2372">
          <cell r="A2372">
            <v>69173</v>
          </cell>
          <cell r="E2372" t="str">
            <v>CONCENTRADOS UNIVERSALES</v>
          </cell>
        </row>
        <row r="2373">
          <cell r="A2373">
            <v>69264</v>
          </cell>
          <cell r="E2373" t="str">
            <v>CONCENTRADOS UNIVERSALES</v>
          </cell>
        </row>
        <row r="2374">
          <cell r="A2374">
            <v>69353</v>
          </cell>
          <cell r="E2374" t="str">
            <v>CONCENTRADOS UNIVERSALES</v>
          </cell>
        </row>
        <row r="2375">
          <cell r="A2375">
            <v>69354</v>
          </cell>
          <cell r="E2375" t="str">
            <v>CONCENTRADOS UNIVERSALES</v>
          </cell>
        </row>
        <row r="2376">
          <cell r="A2376">
            <v>69453</v>
          </cell>
          <cell r="E2376" t="str">
            <v>CONCENTRADOS UNIVERSALES</v>
          </cell>
        </row>
        <row r="2377">
          <cell r="A2377">
            <v>69454</v>
          </cell>
          <cell r="E2377" t="str">
            <v>CONCENTRADOS UNIVERSALES</v>
          </cell>
        </row>
        <row r="2378">
          <cell r="A2378">
            <v>69463</v>
          </cell>
          <cell r="E2378" t="str">
            <v>CONCENTRADOS UNIVERSALES</v>
          </cell>
        </row>
        <row r="2379">
          <cell r="A2379">
            <v>69464</v>
          </cell>
          <cell r="E2379" t="str">
            <v>CONCENTRADOS UNIVERSALES</v>
          </cell>
        </row>
        <row r="2380">
          <cell r="A2380">
            <v>69563</v>
          </cell>
          <cell r="E2380" t="str">
            <v>CONCENTRADOS UNIVERSALES</v>
          </cell>
        </row>
        <row r="2381">
          <cell r="A2381">
            <v>69564</v>
          </cell>
          <cell r="E2381" t="str">
            <v>CONCENTRADOS UNIVERSALES</v>
          </cell>
        </row>
        <row r="2382">
          <cell r="A2382">
            <v>69611</v>
          </cell>
          <cell r="E2382" t="str">
            <v>TINTAS MEGACOLOR</v>
          </cell>
        </row>
        <row r="2383">
          <cell r="A2383">
            <v>69613</v>
          </cell>
          <cell r="E2383" t="str">
            <v>CONCENTRADOS UNIVERSALES</v>
          </cell>
        </row>
        <row r="2384">
          <cell r="A2384">
            <v>69614</v>
          </cell>
          <cell r="E2384" t="str">
            <v>CONCENTRADOS UNIVERSALES</v>
          </cell>
        </row>
        <row r="2385">
          <cell r="A2385">
            <v>69651</v>
          </cell>
          <cell r="E2385" t="str">
            <v>TINTAS MEGACOLOR</v>
          </cell>
        </row>
        <row r="2386">
          <cell r="A2386">
            <v>69653</v>
          </cell>
          <cell r="E2386" t="str">
            <v>CONCENTRADOS UNIVERSALES</v>
          </cell>
        </row>
        <row r="2387">
          <cell r="A2387">
            <v>69654</v>
          </cell>
          <cell r="E2387" t="str">
            <v>CONCENTRADOS UNIVERSALES</v>
          </cell>
        </row>
        <row r="2388">
          <cell r="A2388">
            <v>69673</v>
          </cell>
          <cell r="E2388" t="str">
            <v>CONCENTRADOS UNIVERSALES</v>
          </cell>
        </row>
        <row r="2389">
          <cell r="A2389">
            <v>69674</v>
          </cell>
          <cell r="E2389" t="str">
            <v>CONCENTRADOS UNIVERSALES</v>
          </cell>
        </row>
        <row r="2390">
          <cell r="A2390">
            <v>69684</v>
          </cell>
          <cell r="E2390" t="str">
            <v>CONCENTRADOS UNIVERSALES</v>
          </cell>
        </row>
        <row r="2391">
          <cell r="A2391">
            <v>69753</v>
          </cell>
          <cell r="E2391" t="str">
            <v>CONCENTRADOS UNIVERSALES</v>
          </cell>
        </row>
        <row r="2392">
          <cell r="A2392">
            <v>69754</v>
          </cell>
          <cell r="E2392" t="str">
            <v>CONCENTRADOS UNIVERSALES</v>
          </cell>
        </row>
        <row r="2393">
          <cell r="A2393">
            <v>69991</v>
          </cell>
          <cell r="E2393" t="str">
            <v>CONCENTRADOS UNIVERSALES</v>
          </cell>
        </row>
        <row r="2394">
          <cell r="A2394">
            <v>69993</v>
          </cell>
          <cell r="E2394" t="str">
            <v>CONCENTRADOS UNIVERSALES</v>
          </cell>
        </row>
        <row r="2395">
          <cell r="A2395">
            <v>69994</v>
          </cell>
          <cell r="E2395" t="str">
            <v>CONCENTRADOS UNIVERSALES</v>
          </cell>
        </row>
        <row r="2396">
          <cell r="A2396">
            <v>70001</v>
          </cell>
          <cell r="E2396" t="str">
            <v>BASE COLOR</v>
          </cell>
        </row>
        <row r="2397">
          <cell r="A2397">
            <v>70003</v>
          </cell>
          <cell r="E2397" t="str">
            <v>BASE COLOR</v>
          </cell>
        </row>
        <row r="2398">
          <cell r="A2398">
            <v>70014</v>
          </cell>
          <cell r="E2398" t="str">
            <v>BASE COLOR</v>
          </cell>
        </row>
        <row r="2399">
          <cell r="A2399">
            <v>70024</v>
          </cell>
          <cell r="E2399" t="str">
            <v>BASE COLOR</v>
          </cell>
        </row>
        <row r="2400">
          <cell r="A2400">
            <v>70124</v>
          </cell>
          <cell r="E2400" t="str">
            <v>BASE COLOR</v>
          </cell>
        </row>
        <row r="2401">
          <cell r="A2401">
            <v>70133</v>
          </cell>
          <cell r="E2401" t="str">
            <v>BASE COLOR</v>
          </cell>
        </row>
        <row r="2402">
          <cell r="A2402">
            <v>70143</v>
          </cell>
          <cell r="E2402" t="str">
            <v>BASE COLOR</v>
          </cell>
        </row>
        <row r="2403">
          <cell r="A2403">
            <v>70153</v>
          </cell>
          <cell r="E2403" t="str">
            <v>BASE COLOR</v>
          </cell>
        </row>
        <row r="2404">
          <cell r="A2404">
            <v>70183</v>
          </cell>
          <cell r="E2404" t="str">
            <v>BASE COLOR</v>
          </cell>
        </row>
        <row r="2405">
          <cell r="A2405">
            <v>70193</v>
          </cell>
          <cell r="E2405" t="str">
            <v>BASE COLOR</v>
          </cell>
        </row>
        <row r="2406">
          <cell r="A2406">
            <v>70204</v>
          </cell>
          <cell r="E2406" t="str">
            <v>BASE COLOR</v>
          </cell>
        </row>
        <row r="2407">
          <cell r="A2407">
            <v>70263</v>
          </cell>
          <cell r="E2407" t="str">
            <v>BASE COLOR</v>
          </cell>
        </row>
        <row r="2408">
          <cell r="A2408">
            <v>70353</v>
          </cell>
          <cell r="E2408" t="str">
            <v>BASE COLOR</v>
          </cell>
        </row>
        <row r="2409">
          <cell r="A2409">
            <v>70364</v>
          </cell>
          <cell r="E2409" t="str">
            <v>BASE COLOR</v>
          </cell>
        </row>
        <row r="2410">
          <cell r="A2410">
            <v>70414</v>
          </cell>
          <cell r="E2410" t="str">
            <v>BASE COLOR</v>
          </cell>
        </row>
        <row r="2411">
          <cell r="A2411">
            <v>70423</v>
          </cell>
          <cell r="E2411" t="str">
            <v>BASE COLOR</v>
          </cell>
        </row>
        <row r="2412">
          <cell r="A2412">
            <v>70424</v>
          </cell>
          <cell r="E2412" t="str">
            <v>BASE COLOR</v>
          </cell>
        </row>
        <row r="2413">
          <cell r="A2413">
            <v>70433</v>
          </cell>
          <cell r="E2413" t="str">
            <v>BASE COLOR</v>
          </cell>
        </row>
        <row r="2414">
          <cell r="A2414">
            <v>70443</v>
          </cell>
          <cell r="E2414" t="str">
            <v>BASE COLOR</v>
          </cell>
        </row>
        <row r="2415">
          <cell r="A2415">
            <v>70453</v>
          </cell>
          <cell r="E2415" t="str">
            <v>BASE COLOR</v>
          </cell>
        </row>
        <row r="2416">
          <cell r="A2416">
            <v>70473</v>
          </cell>
          <cell r="E2416" t="str">
            <v>BASE COLOR</v>
          </cell>
        </row>
        <row r="2417">
          <cell r="A2417">
            <v>70483</v>
          </cell>
          <cell r="E2417" t="str">
            <v>BASE COLOR</v>
          </cell>
        </row>
        <row r="2418">
          <cell r="A2418">
            <v>70494</v>
          </cell>
          <cell r="E2418" t="str">
            <v>BASE COLOR</v>
          </cell>
        </row>
        <row r="2419">
          <cell r="A2419">
            <v>70504</v>
          </cell>
          <cell r="E2419" t="str">
            <v>BASE COLOR</v>
          </cell>
        </row>
        <row r="2420">
          <cell r="A2420">
            <v>70514</v>
          </cell>
          <cell r="E2420" t="str">
            <v>BASE COLOR</v>
          </cell>
        </row>
        <row r="2421">
          <cell r="A2421">
            <v>70534</v>
          </cell>
          <cell r="E2421" t="str">
            <v>BASE COLOR</v>
          </cell>
        </row>
        <row r="2422">
          <cell r="A2422">
            <v>70563</v>
          </cell>
          <cell r="E2422" t="str">
            <v>BASE COLOR</v>
          </cell>
        </row>
        <row r="2423">
          <cell r="A2423">
            <v>70634</v>
          </cell>
          <cell r="E2423" t="str">
            <v>BASE COLOR</v>
          </cell>
        </row>
        <row r="2424">
          <cell r="A2424">
            <v>70643</v>
          </cell>
          <cell r="E2424" t="str">
            <v>BASE COLOR</v>
          </cell>
        </row>
        <row r="2425">
          <cell r="A2425">
            <v>70653</v>
          </cell>
          <cell r="E2425" t="str">
            <v>BASE COLOR</v>
          </cell>
        </row>
        <row r="2426">
          <cell r="A2426">
            <v>70664</v>
          </cell>
          <cell r="E2426" t="str">
            <v>BASE COLOR</v>
          </cell>
        </row>
        <row r="2427">
          <cell r="A2427">
            <v>70673</v>
          </cell>
          <cell r="E2427" t="str">
            <v>BASE COLOR</v>
          </cell>
        </row>
        <row r="2428">
          <cell r="A2428">
            <v>70683</v>
          </cell>
          <cell r="E2428" t="str">
            <v>BASE COLOR</v>
          </cell>
        </row>
        <row r="2429">
          <cell r="A2429">
            <v>70693</v>
          </cell>
          <cell r="E2429" t="str">
            <v>BASE COLOR</v>
          </cell>
        </row>
        <row r="2430">
          <cell r="A2430">
            <v>70704</v>
          </cell>
          <cell r="E2430" t="str">
            <v>BASE COLOR</v>
          </cell>
        </row>
        <row r="2431">
          <cell r="A2431">
            <v>70734</v>
          </cell>
          <cell r="E2431" t="str">
            <v>BASE COLOR</v>
          </cell>
        </row>
        <row r="2432">
          <cell r="A2432">
            <v>70753</v>
          </cell>
          <cell r="E2432" t="str">
            <v>BASE COLOR</v>
          </cell>
        </row>
        <row r="2433">
          <cell r="A2433">
            <v>70764</v>
          </cell>
          <cell r="E2433" t="str">
            <v>BASE COLOR</v>
          </cell>
        </row>
        <row r="2434">
          <cell r="A2434">
            <v>70803</v>
          </cell>
          <cell r="E2434" t="str">
            <v>BASE COLOR</v>
          </cell>
        </row>
        <row r="2435">
          <cell r="A2435">
            <v>70884</v>
          </cell>
          <cell r="E2435" t="str">
            <v>BASE COLOR</v>
          </cell>
        </row>
        <row r="2436">
          <cell r="A2436">
            <v>70913</v>
          </cell>
          <cell r="E2436" t="str">
            <v>BASE COLOR</v>
          </cell>
        </row>
        <row r="2437">
          <cell r="A2437">
            <v>70923</v>
          </cell>
          <cell r="E2437" t="str">
            <v>BASE COLOR</v>
          </cell>
        </row>
        <row r="2438">
          <cell r="A2438">
            <v>70933</v>
          </cell>
          <cell r="E2438" t="str">
            <v>BASE COLOR</v>
          </cell>
        </row>
        <row r="2439">
          <cell r="A2439">
            <v>70943</v>
          </cell>
          <cell r="E2439" t="str">
            <v>BASE COLOR</v>
          </cell>
        </row>
        <row r="2440">
          <cell r="A2440">
            <v>70944</v>
          </cell>
          <cell r="E2440" t="str">
            <v>BASE COLOR</v>
          </cell>
        </row>
        <row r="2441">
          <cell r="A2441">
            <v>70953</v>
          </cell>
          <cell r="E2441" t="str">
            <v>BASE COLOR</v>
          </cell>
        </row>
        <row r="2442">
          <cell r="A2442">
            <v>70963</v>
          </cell>
          <cell r="E2442" t="str">
            <v>BASE COLOR</v>
          </cell>
        </row>
        <row r="2443">
          <cell r="A2443">
            <v>70973</v>
          </cell>
          <cell r="E2443" t="str">
            <v>BASE COLOR</v>
          </cell>
        </row>
        <row r="2444">
          <cell r="A2444">
            <v>70983</v>
          </cell>
          <cell r="E2444" t="str">
            <v>BASE COLOR</v>
          </cell>
        </row>
        <row r="2445">
          <cell r="A2445">
            <v>70991</v>
          </cell>
          <cell r="E2445" t="str">
            <v>BASE COLOR</v>
          </cell>
        </row>
        <row r="2446">
          <cell r="A2446">
            <v>70993</v>
          </cell>
          <cell r="E2446" t="str">
            <v>BASE COLOR</v>
          </cell>
        </row>
        <row r="2447">
          <cell r="A2447">
            <v>71030</v>
          </cell>
          <cell r="E2447" t="str">
            <v>TINTAS MEGACOLOR</v>
          </cell>
        </row>
        <row r="2448">
          <cell r="A2448">
            <v>71031</v>
          </cell>
          <cell r="E2448" t="str">
            <v>TINTAS MEGACOLOR</v>
          </cell>
        </row>
        <row r="2449">
          <cell r="A2449">
            <v>71033</v>
          </cell>
          <cell r="E2449" t="str">
            <v>TINTAS MEGACOLOR</v>
          </cell>
        </row>
        <row r="2450">
          <cell r="A2450">
            <v>71035</v>
          </cell>
          <cell r="E2450" t="str">
            <v>TINTAS MEGACOLOR</v>
          </cell>
        </row>
        <row r="2451">
          <cell r="A2451">
            <v>71036</v>
          </cell>
          <cell r="E2451" t="str">
            <v>TINTAS MEGACOLOR</v>
          </cell>
        </row>
        <row r="2452">
          <cell r="A2452">
            <v>71038</v>
          </cell>
          <cell r="E2452" t="str">
            <v>TINTAS MEGACOLOR</v>
          </cell>
        </row>
        <row r="2453">
          <cell r="A2453">
            <v>71039</v>
          </cell>
          <cell r="E2453" t="str">
            <v>TINTAS MEGACOLOR</v>
          </cell>
        </row>
        <row r="2454">
          <cell r="A2454">
            <v>71040</v>
          </cell>
          <cell r="E2454" t="str">
            <v>TINTAS MEGACOLOR</v>
          </cell>
        </row>
        <row r="2455">
          <cell r="A2455">
            <v>71930</v>
          </cell>
          <cell r="E2455" t="str">
            <v>TINTAS MEGACOLOR</v>
          </cell>
        </row>
        <row r="2456">
          <cell r="A2456">
            <v>72801</v>
          </cell>
          <cell r="E2456" t="str">
            <v>COLORES AL CEMENTO</v>
          </cell>
        </row>
        <row r="2457">
          <cell r="A2457">
            <v>74001</v>
          </cell>
          <cell r="E2457" t="str">
            <v>ESMALTE PU AUTOMOTIVO</v>
          </cell>
        </row>
        <row r="2458">
          <cell r="A2458">
            <v>74003</v>
          </cell>
          <cell r="E2458" t="str">
            <v>ESMALTE PU AUTOMOTIVO</v>
          </cell>
        </row>
        <row r="2459">
          <cell r="A2459">
            <v>74004</v>
          </cell>
          <cell r="E2459" t="str">
            <v>ESMALTE PU AUTOMOTIVO</v>
          </cell>
        </row>
        <row r="2460">
          <cell r="A2460">
            <v>74133</v>
          </cell>
          <cell r="E2460" t="str">
            <v>ESMALTE PU AUTOMOTIVO</v>
          </cell>
        </row>
        <row r="2461">
          <cell r="A2461">
            <v>74134</v>
          </cell>
          <cell r="E2461" t="str">
            <v>ESMALTE PU AUTOMOTIVO</v>
          </cell>
        </row>
        <row r="2462">
          <cell r="A2462">
            <v>74481</v>
          </cell>
          <cell r="E2462" t="str">
            <v>ESMALTE PU AUTOMOTIVO</v>
          </cell>
        </row>
        <row r="2463">
          <cell r="A2463">
            <v>74483</v>
          </cell>
          <cell r="E2463" t="str">
            <v>ESMALTE PU AUTOMOTIVO</v>
          </cell>
        </row>
        <row r="2464">
          <cell r="A2464">
            <v>74484</v>
          </cell>
          <cell r="E2464" t="str">
            <v>ESMALTE PU AUTOMOTIVO</v>
          </cell>
        </row>
        <row r="2465">
          <cell r="A2465">
            <v>74653</v>
          </cell>
          <cell r="E2465" t="str">
            <v>ESMALTE PU AUTOMOTIVO</v>
          </cell>
        </row>
        <row r="2466">
          <cell r="A2466">
            <v>74654</v>
          </cell>
          <cell r="E2466" t="str">
            <v>ESMALTE PU AUTOMOTIVO</v>
          </cell>
        </row>
        <row r="2467">
          <cell r="A2467">
            <v>74753</v>
          </cell>
          <cell r="E2467" t="str">
            <v>ESMALTE PU AUTOMOTIVO</v>
          </cell>
        </row>
        <row r="2468">
          <cell r="A2468">
            <v>74754</v>
          </cell>
          <cell r="E2468" t="str">
            <v>ESMALTE PU AUTOMOTIVO</v>
          </cell>
        </row>
        <row r="2469">
          <cell r="A2469">
            <v>74961</v>
          </cell>
          <cell r="E2469" t="str">
            <v>ESMALTE PU AUTOMOTIVO</v>
          </cell>
        </row>
        <row r="2470">
          <cell r="A2470">
            <v>74963</v>
          </cell>
          <cell r="E2470" t="str">
            <v>ESMALTE PU AUTOMOTIVO</v>
          </cell>
        </row>
        <row r="2471">
          <cell r="A2471">
            <v>74964</v>
          </cell>
          <cell r="E2471" t="str">
            <v>ESMALTE PU AUTOMOTIVO</v>
          </cell>
        </row>
        <row r="2472">
          <cell r="A2472">
            <v>74991</v>
          </cell>
          <cell r="E2472" t="str">
            <v>ESMALTE PU AUTOMOTIVO</v>
          </cell>
        </row>
        <row r="2473">
          <cell r="A2473">
            <v>74993</v>
          </cell>
          <cell r="E2473" t="str">
            <v>ESMALTE PU AUTOMOTIVO</v>
          </cell>
        </row>
        <row r="2474">
          <cell r="A2474">
            <v>74994</v>
          </cell>
          <cell r="E2474" t="str">
            <v>ESMALTE PU AUTOMOTIVO</v>
          </cell>
        </row>
        <row r="2475">
          <cell r="A2475">
            <v>76000</v>
          </cell>
          <cell r="E2475" t="str">
            <v>ACEITE DE LINAZA</v>
          </cell>
        </row>
        <row r="2476">
          <cell r="A2476">
            <v>76001</v>
          </cell>
          <cell r="E2476" t="str">
            <v>ACEITE DE LINAZA</v>
          </cell>
        </row>
        <row r="2477">
          <cell r="A2477">
            <v>76003</v>
          </cell>
          <cell r="E2477" t="str">
            <v>ACEITE DE LINAZA</v>
          </cell>
        </row>
        <row r="2478">
          <cell r="A2478">
            <v>76004</v>
          </cell>
          <cell r="E2478" t="str">
            <v>ACEITE DE LINAZA</v>
          </cell>
        </row>
        <row r="2479">
          <cell r="A2479">
            <v>76020</v>
          </cell>
          <cell r="E2479" t="str">
            <v>ACEITE DE LINAZA</v>
          </cell>
        </row>
        <row r="2480">
          <cell r="A2480">
            <v>76021</v>
          </cell>
          <cell r="E2480" t="str">
            <v>ACEITE DE LINAZA</v>
          </cell>
        </row>
        <row r="2481">
          <cell r="A2481">
            <v>78044</v>
          </cell>
          <cell r="E2481" t="str">
            <v>LIMPIADORES</v>
          </cell>
        </row>
        <row r="2482">
          <cell r="A2482">
            <v>78301</v>
          </cell>
          <cell r="E2482" t="str">
            <v>CREOLINAS</v>
          </cell>
        </row>
        <row r="2483">
          <cell r="A2483">
            <v>79025</v>
          </cell>
          <cell r="E2483" t="str">
            <v>POLVOS METALICOS</v>
          </cell>
        </row>
        <row r="2484">
          <cell r="A2484">
            <v>79029</v>
          </cell>
          <cell r="E2484" t="str">
            <v>POLVOS METALICOS</v>
          </cell>
        </row>
        <row r="2485">
          <cell r="A2485">
            <v>79234</v>
          </cell>
          <cell r="E2485" t="str">
            <v>SIAMIL</v>
          </cell>
        </row>
        <row r="2486">
          <cell r="A2486">
            <v>79235</v>
          </cell>
          <cell r="E2486" t="str">
            <v>SIAMIL</v>
          </cell>
        </row>
        <row r="2487">
          <cell r="A2487">
            <v>79383</v>
          </cell>
          <cell r="E2487" t="str">
            <v>POLVOS METALICOS</v>
          </cell>
        </row>
        <row r="2488">
          <cell r="A2488">
            <v>79393</v>
          </cell>
          <cell r="E2488" t="str">
            <v>SIAMIL</v>
          </cell>
        </row>
        <row r="2489">
          <cell r="A2489">
            <v>79401</v>
          </cell>
          <cell r="E2489" t="str">
            <v>PEGAPRISA</v>
          </cell>
        </row>
        <row r="2490">
          <cell r="A2490">
            <v>79405</v>
          </cell>
          <cell r="E2490" t="str">
            <v>PEGAPRISA</v>
          </cell>
        </row>
        <row r="2491">
          <cell r="A2491">
            <v>79406</v>
          </cell>
          <cell r="E2491" t="str">
            <v>PEGAPRISA</v>
          </cell>
        </row>
        <row r="2492">
          <cell r="A2492">
            <v>79450</v>
          </cell>
          <cell r="E2492" t="str">
            <v>PEGAPRISA</v>
          </cell>
        </row>
        <row r="2493">
          <cell r="A2493">
            <v>79451</v>
          </cell>
          <cell r="E2493" t="str">
            <v>PEGAPRISA</v>
          </cell>
        </row>
        <row r="2494">
          <cell r="A2494">
            <v>80049</v>
          </cell>
          <cell r="E2494" t="str">
            <v>ADITIVOS</v>
          </cell>
        </row>
        <row r="2495">
          <cell r="A2495">
            <v>80374</v>
          </cell>
          <cell r="E2495" t="str">
            <v>ADITIVOS</v>
          </cell>
        </row>
        <row r="2496">
          <cell r="A2496">
            <v>81462</v>
          </cell>
          <cell r="E2496" t="str">
            <v>RESINAS</v>
          </cell>
        </row>
        <row r="2497">
          <cell r="A2497">
            <v>82201</v>
          </cell>
          <cell r="E2497" t="str">
            <v>CARGAS</v>
          </cell>
        </row>
        <row r="2498">
          <cell r="A2498">
            <v>83104</v>
          </cell>
          <cell r="E2498" t="str">
            <v>SOLVENTES</v>
          </cell>
        </row>
        <row r="2499">
          <cell r="A2499">
            <v>83322</v>
          </cell>
          <cell r="E2499" t="str">
            <v>SOLVENTES</v>
          </cell>
        </row>
        <row r="2500">
          <cell r="A2500">
            <v>83324</v>
          </cell>
          <cell r="E2500" t="str">
            <v>SOLVENTES</v>
          </cell>
        </row>
        <row r="2501">
          <cell r="A2501">
            <v>83544</v>
          </cell>
          <cell r="E2501" t="str">
            <v>SOLVENTES</v>
          </cell>
        </row>
        <row r="2502">
          <cell r="A2502">
            <v>83548</v>
          </cell>
          <cell r="E2502" t="str">
            <v>SOLVENTES</v>
          </cell>
        </row>
        <row r="2503">
          <cell r="A2503">
            <v>84673</v>
          </cell>
          <cell r="E2503" t="str">
            <v>ADITIVOS</v>
          </cell>
        </row>
        <row r="2504">
          <cell r="A2504">
            <v>87016</v>
          </cell>
          <cell r="E2504" t="str">
            <v>TIO2</v>
          </cell>
        </row>
        <row r="2505">
          <cell r="A2505">
            <v>88000</v>
          </cell>
          <cell r="E2505" t="str">
            <v>ENTINTADORES</v>
          </cell>
        </row>
        <row r="2506">
          <cell r="A2506">
            <v>88015</v>
          </cell>
          <cell r="E2506" t="str">
            <v>ENTINTADORES</v>
          </cell>
        </row>
        <row r="2507">
          <cell r="A2507">
            <v>88016</v>
          </cell>
          <cell r="E2507" t="str">
            <v>ENTINTADORES</v>
          </cell>
        </row>
        <row r="2508">
          <cell r="A2508">
            <v>88017</v>
          </cell>
          <cell r="E2508" t="str">
            <v>ENTINTADORES</v>
          </cell>
        </row>
        <row r="2509">
          <cell r="A2509">
            <v>88026</v>
          </cell>
          <cell r="E2509" t="str">
            <v>ENTINTADORES</v>
          </cell>
        </row>
        <row r="2510">
          <cell r="A2510">
            <v>88035</v>
          </cell>
          <cell r="E2510" t="str">
            <v>ENTINTADORES</v>
          </cell>
        </row>
        <row r="2511">
          <cell r="A2511">
            <v>88045</v>
          </cell>
          <cell r="E2511" t="str">
            <v>ENTINTADORES</v>
          </cell>
        </row>
        <row r="2512">
          <cell r="A2512">
            <v>88056</v>
          </cell>
          <cell r="E2512" t="str">
            <v>ENTINTADORES</v>
          </cell>
        </row>
        <row r="2513">
          <cell r="A2513">
            <v>88061</v>
          </cell>
          <cell r="E2513" t="str">
            <v>ENTINTADORES</v>
          </cell>
        </row>
        <row r="2514">
          <cell r="A2514">
            <v>88065</v>
          </cell>
          <cell r="E2514" t="str">
            <v>ENTINTADORES</v>
          </cell>
        </row>
        <row r="2515">
          <cell r="A2515">
            <v>88067</v>
          </cell>
          <cell r="E2515" t="str">
            <v>ENTINTADORES</v>
          </cell>
        </row>
        <row r="2516">
          <cell r="A2516">
            <v>88068</v>
          </cell>
          <cell r="E2516" t="str">
            <v>ENTINTADORES</v>
          </cell>
        </row>
        <row r="2517">
          <cell r="A2517">
            <v>88075</v>
          </cell>
          <cell r="E2517" t="str">
            <v>ENTINTADORES</v>
          </cell>
        </row>
        <row r="2518">
          <cell r="A2518">
            <v>88099</v>
          </cell>
          <cell r="E2518" t="str">
            <v>ENTINTADORES</v>
          </cell>
        </row>
        <row r="2519">
          <cell r="A2519">
            <v>89002</v>
          </cell>
          <cell r="E2519" t="str">
            <v>ENVASES</v>
          </cell>
        </row>
        <row r="2520">
          <cell r="A2520">
            <v>89020</v>
          </cell>
          <cell r="E2520" t="str">
            <v>ENVASES VACIOS</v>
          </cell>
        </row>
        <row r="2521">
          <cell r="A2521">
            <v>89022</v>
          </cell>
          <cell r="E2521" t="str">
            <v>ENVASES VACIOS</v>
          </cell>
        </row>
        <row r="2522">
          <cell r="A2522">
            <v>89023</v>
          </cell>
          <cell r="E2522" t="str">
            <v>ENVASES VACIOS</v>
          </cell>
        </row>
        <row r="2523">
          <cell r="A2523">
            <v>89026</v>
          </cell>
          <cell r="E2523" t="str">
            <v>ENVASES</v>
          </cell>
        </row>
        <row r="2524">
          <cell r="A2524">
            <v>89042</v>
          </cell>
          <cell r="E2524" t="str">
            <v>ENVASES VACIOS</v>
          </cell>
        </row>
        <row r="2525">
          <cell r="A2525">
            <v>89047</v>
          </cell>
          <cell r="E2525" t="str">
            <v>ENVASES</v>
          </cell>
        </row>
        <row r="2526">
          <cell r="A2526">
            <v>89084</v>
          </cell>
          <cell r="E2526" t="str">
            <v>ENVASES</v>
          </cell>
        </row>
        <row r="2527">
          <cell r="A2527">
            <v>89096</v>
          </cell>
          <cell r="E2527" t="str">
            <v>ENVASES VACIOS</v>
          </cell>
        </row>
        <row r="2528">
          <cell r="A2528">
            <v>89104</v>
          </cell>
          <cell r="E2528" t="str">
            <v>ENVASES VACIOS</v>
          </cell>
        </row>
        <row r="2529">
          <cell r="A2529">
            <v>89105</v>
          </cell>
          <cell r="E2529" t="str">
            <v>ENVASES VACIOS</v>
          </cell>
        </row>
        <row r="2530">
          <cell r="A2530">
            <v>89106</v>
          </cell>
          <cell r="E2530" t="str">
            <v>ENVASES VACIOS</v>
          </cell>
        </row>
        <row r="2531">
          <cell r="A2531">
            <v>89107</v>
          </cell>
          <cell r="E2531" t="str">
            <v>ENVASES VACIOS</v>
          </cell>
        </row>
        <row r="2532">
          <cell r="A2532">
            <v>89108</v>
          </cell>
          <cell r="E2532" t="str">
            <v>ENVASES VACIOS</v>
          </cell>
        </row>
        <row r="2533">
          <cell r="A2533">
            <v>89109</v>
          </cell>
          <cell r="E2533" t="str">
            <v>ENVASES VACIOS</v>
          </cell>
        </row>
        <row r="2534">
          <cell r="A2534">
            <v>89167</v>
          </cell>
          <cell r="E2534" t="str">
            <v>STICKERS</v>
          </cell>
        </row>
        <row r="2535">
          <cell r="A2535">
            <v>89168</v>
          </cell>
          <cell r="E2535" t="str">
            <v>STICKERS</v>
          </cell>
        </row>
        <row r="2536">
          <cell r="A2536">
            <v>89169</v>
          </cell>
          <cell r="E2536" t="str">
            <v>STICKERS</v>
          </cell>
        </row>
        <row r="2537">
          <cell r="A2537">
            <v>89230</v>
          </cell>
          <cell r="E2537" t="str">
            <v>ENVASES VACIOS</v>
          </cell>
        </row>
        <row r="2538">
          <cell r="A2538">
            <v>89355</v>
          </cell>
          <cell r="E2538" t="str">
            <v>ETIQUETAS</v>
          </cell>
        </row>
        <row r="2539">
          <cell r="A2539">
            <v>89356</v>
          </cell>
          <cell r="E2539" t="str">
            <v>ETIQUETAS</v>
          </cell>
        </row>
        <row r="2540">
          <cell r="A2540">
            <v>89402</v>
          </cell>
          <cell r="E2540" t="str">
            <v>EMPAQUE</v>
          </cell>
        </row>
        <row r="2541">
          <cell r="A2541">
            <v>89404</v>
          </cell>
          <cell r="E2541" t="str">
            <v>EMPAQUE</v>
          </cell>
        </row>
        <row r="2542">
          <cell r="A2542">
            <v>89515</v>
          </cell>
          <cell r="E2542" t="str">
            <v>ENVASES</v>
          </cell>
        </row>
        <row r="2543">
          <cell r="A2543">
            <v>89661</v>
          </cell>
          <cell r="E2543" t="str">
            <v>ENVASES</v>
          </cell>
        </row>
        <row r="2544">
          <cell r="A2544">
            <v>89676</v>
          </cell>
          <cell r="E2544" t="str">
            <v>ENVASES</v>
          </cell>
        </row>
        <row r="2545">
          <cell r="A2545">
            <v>89677</v>
          </cell>
          <cell r="E2545" t="str">
            <v>ENVASES</v>
          </cell>
        </row>
        <row r="2546">
          <cell r="A2546">
            <v>89802</v>
          </cell>
          <cell r="E2546" t="str">
            <v>ETIQUETAS</v>
          </cell>
        </row>
        <row r="2547">
          <cell r="A2547">
            <v>89841</v>
          </cell>
          <cell r="E2547" t="str">
            <v>ENVASES</v>
          </cell>
        </row>
        <row r="2548">
          <cell r="A2548">
            <v>89844</v>
          </cell>
          <cell r="E2548" t="str">
            <v>ENVASES</v>
          </cell>
        </row>
        <row r="2549">
          <cell r="A2549">
            <v>89845</v>
          </cell>
          <cell r="E2549" t="str">
            <v>ENVASES</v>
          </cell>
        </row>
        <row r="2550">
          <cell r="A2550">
            <v>89911</v>
          </cell>
          <cell r="E2550" t="str">
            <v>ENVASES</v>
          </cell>
        </row>
        <row r="2551">
          <cell r="A2551">
            <v>89913</v>
          </cell>
          <cell r="E2551" t="str">
            <v>ENVASES</v>
          </cell>
        </row>
        <row r="2552">
          <cell r="A2552">
            <v>89920</v>
          </cell>
          <cell r="E2552" t="str">
            <v>ENVASES</v>
          </cell>
        </row>
        <row r="2553">
          <cell r="A2553">
            <v>89930</v>
          </cell>
          <cell r="E2553" t="str">
            <v>ENVASES VACIOS</v>
          </cell>
        </row>
        <row r="2554">
          <cell r="A2554">
            <v>89936</v>
          </cell>
          <cell r="E2554" t="str">
            <v>ENVASES</v>
          </cell>
        </row>
        <row r="2555">
          <cell r="A2555">
            <v>89939</v>
          </cell>
          <cell r="E2555" t="str">
            <v>ENVASES</v>
          </cell>
        </row>
        <row r="2556">
          <cell r="A2556">
            <v>89942</v>
          </cell>
          <cell r="E2556" t="str">
            <v>ENVASES</v>
          </cell>
        </row>
        <row r="2557">
          <cell r="A2557">
            <v>89945</v>
          </cell>
          <cell r="E2557" t="str">
            <v>ENVASES</v>
          </cell>
        </row>
        <row r="2558">
          <cell r="A2558">
            <v>89949</v>
          </cell>
          <cell r="E2558" t="str">
            <v>ENVASES</v>
          </cell>
        </row>
        <row r="2559">
          <cell r="A2559">
            <v>89951</v>
          </cell>
          <cell r="E2559" t="str">
            <v>ENVASES</v>
          </cell>
        </row>
        <row r="2560">
          <cell r="A2560">
            <v>89953</v>
          </cell>
          <cell r="E2560" t="str">
            <v>ENVASES</v>
          </cell>
        </row>
        <row r="2561">
          <cell r="A2561">
            <v>89956</v>
          </cell>
          <cell r="E2561" t="str">
            <v>ENVASES</v>
          </cell>
        </row>
        <row r="2562">
          <cell r="A2562">
            <v>89958</v>
          </cell>
          <cell r="E2562" t="str">
            <v>ENVASES</v>
          </cell>
        </row>
        <row r="2563">
          <cell r="A2563">
            <v>89959</v>
          </cell>
          <cell r="E2563" t="str">
            <v>ENVASES</v>
          </cell>
        </row>
        <row r="2564">
          <cell r="A2564">
            <v>89969</v>
          </cell>
          <cell r="E2564" t="str">
            <v>ENVASES</v>
          </cell>
        </row>
        <row r="2565">
          <cell r="A2565">
            <v>89973</v>
          </cell>
          <cell r="E2565" t="str">
            <v>ENVASES</v>
          </cell>
        </row>
        <row r="2566">
          <cell r="A2566">
            <v>241526</v>
          </cell>
          <cell r="E2566" t="str">
            <v>ACCESORIOS PARA LA APLICACION</v>
          </cell>
        </row>
        <row r="2567">
          <cell r="A2567">
            <v>251591</v>
          </cell>
          <cell r="E2567" t="str">
            <v>AEROSOLES PRISA</v>
          </cell>
        </row>
        <row r="2568">
          <cell r="A2568">
            <v>272049</v>
          </cell>
          <cell r="E2568" t="str">
            <v>AEROSOLES PRISA</v>
          </cell>
        </row>
        <row r="2569">
          <cell r="A2569">
            <v>272057</v>
          </cell>
          <cell r="E2569" t="str">
            <v>AEROSOLES PRISA</v>
          </cell>
        </row>
        <row r="2570">
          <cell r="A2570">
            <v>272069</v>
          </cell>
          <cell r="E2570" t="str">
            <v>AEROSOLES PRISA</v>
          </cell>
        </row>
        <row r="2571">
          <cell r="A2571">
            <v>272070</v>
          </cell>
          <cell r="E2571" t="str">
            <v>AEROSOLES PRISA</v>
          </cell>
        </row>
        <row r="2572">
          <cell r="A2572">
            <v>272071</v>
          </cell>
          <cell r="E2572" t="str">
            <v>AEROSOLES PRISA</v>
          </cell>
        </row>
        <row r="2573">
          <cell r="A2573">
            <v>272072</v>
          </cell>
          <cell r="E2573" t="str">
            <v>AEROSOLES PRISA</v>
          </cell>
        </row>
        <row r="2574">
          <cell r="A2574">
            <v>272073</v>
          </cell>
          <cell r="E2574" t="str">
            <v>AEROSOLES PRISA</v>
          </cell>
        </row>
        <row r="2575">
          <cell r="A2575">
            <v>272091</v>
          </cell>
          <cell r="E2575" t="str">
            <v>AEROSOLES PRISA</v>
          </cell>
        </row>
        <row r="2576">
          <cell r="A2576">
            <v>272126</v>
          </cell>
          <cell r="E2576" t="str">
            <v>AEROSOLES PRISA</v>
          </cell>
        </row>
        <row r="2577">
          <cell r="A2577">
            <v>311010</v>
          </cell>
          <cell r="E2577" t="str">
            <v>VINILICA - MAXIPRISA</v>
          </cell>
        </row>
        <row r="2578">
          <cell r="A2578">
            <v>313500</v>
          </cell>
          <cell r="E2578" t="str">
            <v>AEROSOLES PRISA</v>
          </cell>
        </row>
        <row r="2579">
          <cell r="A2579">
            <v>313518</v>
          </cell>
          <cell r="E2579" t="str">
            <v>AEROSOLES PRISA</v>
          </cell>
        </row>
        <row r="2580">
          <cell r="A2580">
            <v>313522</v>
          </cell>
          <cell r="E2580" t="str">
            <v>AEROSOLES PRISA</v>
          </cell>
        </row>
        <row r="2581">
          <cell r="A2581">
            <v>313529</v>
          </cell>
          <cell r="E2581" t="str">
            <v>AEROSOLES PRISA</v>
          </cell>
        </row>
        <row r="2582">
          <cell r="A2582">
            <v>313552</v>
          </cell>
          <cell r="E2582" t="str">
            <v>AEROSOLES PRISA</v>
          </cell>
        </row>
        <row r="2583">
          <cell r="A2583">
            <v>314097</v>
          </cell>
          <cell r="E2583" t="str">
            <v>AEROSOLES PRISA</v>
          </cell>
        </row>
        <row r="2584">
          <cell r="A2584">
            <v>314098</v>
          </cell>
          <cell r="E2584" t="str">
            <v>AEROSOLES PRISA</v>
          </cell>
        </row>
        <row r="2585">
          <cell r="A2585">
            <v>352724</v>
          </cell>
          <cell r="E2585" t="str">
            <v>AEROSOLES PRISA</v>
          </cell>
        </row>
        <row r="2586">
          <cell r="A2586">
            <v>358919</v>
          </cell>
          <cell r="E2586" t="str">
            <v>AEROSOLES PRISA</v>
          </cell>
        </row>
        <row r="2587">
          <cell r="A2587">
            <v>2036649</v>
          </cell>
          <cell r="E2587" t="str">
            <v>MADER</v>
          </cell>
        </row>
        <row r="2588">
          <cell r="A2588">
            <v>2036870</v>
          </cell>
          <cell r="E2588" t="str">
            <v>MADER</v>
          </cell>
        </row>
        <row r="2589">
          <cell r="A2589">
            <v>2036935</v>
          </cell>
          <cell r="E2589" t="str">
            <v>MADER</v>
          </cell>
        </row>
        <row r="2590">
          <cell r="A2590">
            <v>10212005</v>
          </cell>
          <cell r="E2590" t="str">
            <v>SOLVENTES INDUSTRIALES</v>
          </cell>
        </row>
        <row r="2591">
          <cell r="A2591">
            <v>10331246</v>
          </cell>
          <cell r="E2591" t="str">
            <v>PRODUCTOS MISCELANEOS</v>
          </cell>
        </row>
        <row r="2592">
          <cell r="A2592">
            <v>30306019</v>
          </cell>
          <cell r="E2592" t="str">
            <v>MADER</v>
          </cell>
        </row>
        <row r="2593">
          <cell r="A2593">
            <v>30306020</v>
          </cell>
          <cell r="E2593" t="str">
            <v>MADER</v>
          </cell>
        </row>
        <row r="2594">
          <cell r="A2594">
            <v>30306023</v>
          </cell>
          <cell r="E2594" t="str">
            <v>MADER</v>
          </cell>
        </row>
        <row r="2595">
          <cell r="A2595">
            <v>30306027</v>
          </cell>
          <cell r="E2595" t="str">
            <v>MADER</v>
          </cell>
        </row>
        <row r="2596">
          <cell r="A2596">
            <v>30306111</v>
          </cell>
          <cell r="E2596" t="str">
            <v>MADER</v>
          </cell>
        </row>
        <row r="2597">
          <cell r="A2597">
            <v>30306124</v>
          </cell>
          <cell r="E2597" t="str">
            <v>MADER</v>
          </cell>
        </row>
        <row r="2598">
          <cell r="A2598">
            <v>315219133</v>
          </cell>
          <cell r="E2598" t="str">
            <v>TINTAS MEGACOLOR</v>
          </cell>
        </row>
        <row r="2599">
          <cell r="A2599" t="str">
            <v>023348-07005</v>
          </cell>
          <cell r="E2599" t="str">
            <v>MADER</v>
          </cell>
        </row>
        <row r="2600">
          <cell r="A2600" t="str">
            <v>024100V</v>
          </cell>
          <cell r="E2600" t="str">
            <v>MADER</v>
          </cell>
        </row>
        <row r="2601">
          <cell r="A2601" t="str">
            <v>0282-19</v>
          </cell>
          <cell r="E2601" t="str">
            <v>HERRAMIENTAS Y PROMOCIONALES</v>
          </cell>
        </row>
        <row r="2602">
          <cell r="A2602" t="str">
            <v>0301-14</v>
          </cell>
          <cell r="E2602" t="str">
            <v>PROMOCIONALES</v>
          </cell>
        </row>
        <row r="2603">
          <cell r="A2603" t="str">
            <v>0301-17</v>
          </cell>
          <cell r="E2603" t="str">
            <v>PROMOCIONALES</v>
          </cell>
        </row>
        <row r="2604">
          <cell r="A2604" t="str">
            <v>0302-16</v>
          </cell>
          <cell r="E2604" t="str">
            <v>PROMOCIONALES</v>
          </cell>
        </row>
        <row r="2605">
          <cell r="A2605" t="str">
            <v>0316-P</v>
          </cell>
          <cell r="E2605" t="str">
            <v>PROMOCIONALES</v>
          </cell>
        </row>
        <row r="2606">
          <cell r="A2606" t="str">
            <v>0321-19</v>
          </cell>
          <cell r="E2606" t="str">
            <v>HERRAMIENTAS Y PROMOCIONALES</v>
          </cell>
        </row>
        <row r="2607">
          <cell r="A2607" t="str">
            <v>0321-25</v>
          </cell>
          <cell r="E2607" t="str">
            <v>PROMOCIONALES</v>
          </cell>
        </row>
        <row r="2608">
          <cell r="A2608" t="str">
            <v>0321-N</v>
          </cell>
          <cell r="E2608" t="str">
            <v>PROMOCIONALES</v>
          </cell>
        </row>
        <row r="2609">
          <cell r="A2609" t="str">
            <v>0363-19</v>
          </cell>
          <cell r="E2609" t="str">
            <v>HERRAMIENTAS Y PROMOCIONALES</v>
          </cell>
        </row>
        <row r="2610">
          <cell r="A2610" t="str">
            <v>0405-19</v>
          </cell>
          <cell r="E2610" t="str">
            <v>HERRAMIENTAS Y PROMOCIONALES</v>
          </cell>
        </row>
        <row r="2611">
          <cell r="A2611" t="str">
            <v>0405-25</v>
          </cell>
          <cell r="E2611" t="str">
            <v>MERCADOTECNIA</v>
          </cell>
        </row>
        <row r="2612">
          <cell r="A2612" t="str">
            <v>0405-N</v>
          </cell>
          <cell r="E2612" t="str">
            <v>PROMOCIONALES</v>
          </cell>
        </row>
        <row r="2613">
          <cell r="A2613" t="str">
            <v>0414-19</v>
          </cell>
          <cell r="E2613" t="str">
            <v>HERRAMIENTAS Y PROMOCIONALES</v>
          </cell>
        </row>
        <row r="2614">
          <cell r="A2614" t="str">
            <v>0414-N</v>
          </cell>
          <cell r="E2614" t="str">
            <v>PROMOCIONALES</v>
          </cell>
        </row>
        <row r="2615">
          <cell r="A2615" t="str">
            <v>0415-19</v>
          </cell>
          <cell r="E2615" t="str">
            <v>HERRAMIENTAS Y PROMOCIONALES</v>
          </cell>
        </row>
        <row r="2616">
          <cell r="A2616" t="str">
            <v>0415-N</v>
          </cell>
          <cell r="E2616" t="str">
            <v>PROMOCIONALES</v>
          </cell>
        </row>
        <row r="2617">
          <cell r="A2617" t="str">
            <v>0416-19</v>
          </cell>
          <cell r="E2617" t="str">
            <v>HERRAMIENTAS Y PROMOCIONALES</v>
          </cell>
        </row>
        <row r="2618">
          <cell r="A2618" t="str">
            <v>0419-19</v>
          </cell>
          <cell r="E2618" t="str">
            <v>MERCADOTECNIA</v>
          </cell>
        </row>
        <row r="2619">
          <cell r="A2619" t="str">
            <v>0419-25</v>
          </cell>
          <cell r="E2619" t="str">
            <v>PROMOCIONALES</v>
          </cell>
        </row>
        <row r="2620">
          <cell r="A2620" t="str">
            <v>0422-19</v>
          </cell>
          <cell r="E2620" t="str">
            <v>HERRAMIENTAS Y PROMOCIONALES</v>
          </cell>
        </row>
        <row r="2621">
          <cell r="A2621" t="str">
            <v>0429-19</v>
          </cell>
          <cell r="E2621" t="str">
            <v>HERRAMIENTAS Y PROMOCIONALES</v>
          </cell>
        </row>
        <row r="2622">
          <cell r="A2622" t="str">
            <v>0620-01</v>
          </cell>
          <cell r="E2622" t="str">
            <v>OTROS ACCESORIOS Y COMPLEMENTO</v>
          </cell>
        </row>
        <row r="2623">
          <cell r="A2623" t="str">
            <v>0620-03</v>
          </cell>
          <cell r="E2623" t="str">
            <v>OTROS ACCESORIOS Y COMPLEMENTO</v>
          </cell>
        </row>
        <row r="2624">
          <cell r="A2624" t="str">
            <v>0620-05</v>
          </cell>
          <cell r="E2624" t="str">
            <v>OTROS ACCESORIOS Y COMPLEMENTO</v>
          </cell>
        </row>
        <row r="2625">
          <cell r="A2625" t="str">
            <v>0620-06</v>
          </cell>
          <cell r="E2625" t="str">
            <v>OTROS ACCESORIOS Y COMPLEMENTO</v>
          </cell>
        </row>
        <row r="2626">
          <cell r="A2626" t="str">
            <v>0620-07</v>
          </cell>
          <cell r="E2626" t="str">
            <v>OTROS ACCESORIOS Y COMPLEMENTO</v>
          </cell>
        </row>
        <row r="2627">
          <cell r="A2627" t="str">
            <v>0620-08</v>
          </cell>
          <cell r="E2627" t="str">
            <v>OTROS ACCESORIOS Y COMPLEMENTO</v>
          </cell>
        </row>
        <row r="2628">
          <cell r="A2628" t="str">
            <v>0620-09</v>
          </cell>
          <cell r="E2628" t="str">
            <v>OTROS ACCESORIOS Y COMPLEMENTO</v>
          </cell>
        </row>
        <row r="2629">
          <cell r="A2629" t="str">
            <v>0620-10</v>
          </cell>
          <cell r="E2629" t="str">
            <v>OTROS ACCESORIOS Y COMPLEMENTO</v>
          </cell>
        </row>
        <row r="2630">
          <cell r="A2630" t="str">
            <v>0620-11</v>
          </cell>
          <cell r="E2630" t="str">
            <v>OTROS ACCESORIOS Y COMPLEMENTO</v>
          </cell>
        </row>
        <row r="2631">
          <cell r="A2631" t="str">
            <v>0620-12</v>
          </cell>
          <cell r="E2631" t="str">
            <v>OTROS ACCESORIOS Y COMPLEMENTO</v>
          </cell>
        </row>
        <row r="2632">
          <cell r="A2632" t="str">
            <v>0620-13</v>
          </cell>
          <cell r="E2632" t="str">
            <v>OTROS ACCESORIOS Y COMPLEMENTO</v>
          </cell>
        </row>
        <row r="2633">
          <cell r="A2633" t="str">
            <v>0620-15</v>
          </cell>
          <cell r="E2633" t="str">
            <v>OTROS ACCESORIOS Y COMPLEMENTO</v>
          </cell>
        </row>
        <row r="2634">
          <cell r="A2634" t="str">
            <v>0620-18</v>
          </cell>
          <cell r="E2634" t="str">
            <v>OTROS ACCESORIOS Y COMPLEMENTO</v>
          </cell>
        </row>
        <row r="2635">
          <cell r="A2635" t="str">
            <v>0620-19</v>
          </cell>
          <cell r="E2635" t="str">
            <v>OTROS ACCESORIOS Y COMPLEMENTO</v>
          </cell>
        </row>
        <row r="2636">
          <cell r="A2636" t="str">
            <v>0680-01</v>
          </cell>
          <cell r="E2636" t="str">
            <v>OTROS ACCESORIOS Y COMPLEMENTO</v>
          </cell>
        </row>
        <row r="2637">
          <cell r="A2637" t="str">
            <v>0680-02</v>
          </cell>
          <cell r="E2637" t="str">
            <v>OTROS ACCESORIOS Y COMPLEMENTO</v>
          </cell>
        </row>
        <row r="2638">
          <cell r="A2638" t="str">
            <v>0680-03</v>
          </cell>
          <cell r="E2638" t="str">
            <v>OTROS ACCESORIOS Y COMPLEMENTO</v>
          </cell>
        </row>
        <row r="2639">
          <cell r="A2639" t="str">
            <v>0680-04</v>
          </cell>
          <cell r="E2639" t="str">
            <v>OTROS ACCESORIOS Y COMPLEMENTO</v>
          </cell>
        </row>
        <row r="2640">
          <cell r="A2640" t="str">
            <v>0680-05</v>
          </cell>
          <cell r="E2640" t="str">
            <v>OTROS ACCESORIOS Y COMPLEMENTO</v>
          </cell>
        </row>
        <row r="2641">
          <cell r="A2641" t="str">
            <v>0680-06</v>
          </cell>
          <cell r="E2641" t="str">
            <v>OTROS ACCESORIOS Y COMPLEMENTO</v>
          </cell>
        </row>
        <row r="2642">
          <cell r="A2642" t="str">
            <v>0680-07</v>
          </cell>
          <cell r="E2642" t="str">
            <v>OTROS ACCESORIOS Y COMPLEMENTO</v>
          </cell>
        </row>
        <row r="2643">
          <cell r="A2643" t="str">
            <v>0680-08</v>
          </cell>
          <cell r="E2643" t="str">
            <v>OTROS ACCESORIOS Y COMPLEMENTO</v>
          </cell>
        </row>
        <row r="2644">
          <cell r="A2644" t="str">
            <v>0681-01</v>
          </cell>
          <cell r="E2644" t="str">
            <v>OTROS ACCESORIOS Y COMPLEMENTO</v>
          </cell>
        </row>
        <row r="2645">
          <cell r="A2645" t="str">
            <v>0681-02</v>
          </cell>
          <cell r="E2645" t="str">
            <v>OTROS ACCESORIOS Y COMPLEMENTO</v>
          </cell>
        </row>
        <row r="2646">
          <cell r="A2646" t="str">
            <v>0682-01</v>
          </cell>
          <cell r="E2646" t="str">
            <v>OTROS ACCESORIOS Y COMPLEMENTO</v>
          </cell>
        </row>
        <row r="2647">
          <cell r="A2647" t="str">
            <v>0682-02</v>
          </cell>
          <cell r="E2647" t="str">
            <v>OTROS ACCESORIOS Y COMPLEMENTO</v>
          </cell>
        </row>
        <row r="2648">
          <cell r="A2648" t="str">
            <v>0682-03</v>
          </cell>
          <cell r="E2648" t="str">
            <v>OTROS ACCESORIOS Y COMPLEMENTO</v>
          </cell>
        </row>
        <row r="2649">
          <cell r="A2649" t="str">
            <v>0682-04</v>
          </cell>
          <cell r="E2649" t="str">
            <v>OTROS ACCESORIOS Y COMPLEMENTO</v>
          </cell>
        </row>
        <row r="2650">
          <cell r="A2650" t="str">
            <v>0683-01</v>
          </cell>
          <cell r="E2650" t="str">
            <v>OTROS ACCESORIOS Y COMPLEMENTO</v>
          </cell>
        </row>
        <row r="2651">
          <cell r="A2651" t="str">
            <v>0683-02</v>
          </cell>
          <cell r="E2651" t="str">
            <v>OTROS ACCESORIOS Y COMPLEMENTO</v>
          </cell>
        </row>
        <row r="2652">
          <cell r="A2652" t="str">
            <v>0683-03</v>
          </cell>
          <cell r="E2652" t="str">
            <v>OTROS ACCESORIOS Y COMPLEMENTO</v>
          </cell>
        </row>
        <row r="2653">
          <cell r="A2653" t="str">
            <v>0683-04</v>
          </cell>
          <cell r="E2653" t="str">
            <v>OTROS ACCESORIOS Y COMPLEMENTO</v>
          </cell>
        </row>
        <row r="2654">
          <cell r="A2654" t="str">
            <v>0683-05</v>
          </cell>
          <cell r="E2654" t="str">
            <v>OTROS ACCESORIOS Y COMPLEMENTO</v>
          </cell>
        </row>
        <row r="2655">
          <cell r="A2655" t="str">
            <v>0683-06</v>
          </cell>
          <cell r="E2655" t="str">
            <v>OTROS ACCESORIOS Y COMPLEMENTO</v>
          </cell>
        </row>
        <row r="2656">
          <cell r="A2656" t="str">
            <v>0683-07</v>
          </cell>
          <cell r="E2656" t="str">
            <v>OTROS ACCESORIOS Y COMPLEMENTO</v>
          </cell>
        </row>
        <row r="2657">
          <cell r="A2657" t="str">
            <v>0683-08</v>
          </cell>
          <cell r="E2657" t="str">
            <v>OTROS ACCESORIOS Y COMPLEMENTO</v>
          </cell>
        </row>
        <row r="2658">
          <cell r="A2658" t="str">
            <v>0684-01</v>
          </cell>
          <cell r="E2658" t="str">
            <v>OTROS ACCESORIOS Y COMPLEMENTO</v>
          </cell>
        </row>
        <row r="2659">
          <cell r="A2659" t="str">
            <v>0684-02</v>
          </cell>
          <cell r="E2659" t="str">
            <v>OTROS ACCESORIOS Y COMPLEMENTO</v>
          </cell>
        </row>
        <row r="2660">
          <cell r="A2660" t="str">
            <v>0684-03</v>
          </cell>
          <cell r="E2660" t="str">
            <v>OTROS ACCESORIOS Y COMPLEMENTO</v>
          </cell>
        </row>
        <row r="2661">
          <cell r="A2661" t="str">
            <v>0684-04</v>
          </cell>
          <cell r="E2661" t="str">
            <v>OTROS ACCESORIOS Y COMPLEMENTO</v>
          </cell>
        </row>
        <row r="2662">
          <cell r="A2662" t="str">
            <v>0684-05</v>
          </cell>
          <cell r="E2662" t="str">
            <v>OTROS ACCESORIOS Y COMPLEMENTO</v>
          </cell>
        </row>
        <row r="2663">
          <cell r="A2663" t="str">
            <v>0684-06</v>
          </cell>
          <cell r="E2663" t="str">
            <v>OTROS ACCESORIOS Y COMPLEMENTO</v>
          </cell>
        </row>
        <row r="2664">
          <cell r="A2664" t="str">
            <v>0685-01</v>
          </cell>
          <cell r="E2664" t="str">
            <v>OTROS ACCESORIOS Y COMPLEMENTO</v>
          </cell>
        </row>
        <row r="2665">
          <cell r="A2665" t="str">
            <v>0685-02</v>
          </cell>
          <cell r="E2665" t="str">
            <v>OTROS ACCESORIOS Y COMPLEMENTO</v>
          </cell>
        </row>
        <row r="2666">
          <cell r="A2666" t="str">
            <v>0685-03</v>
          </cell>
          <cell r="E2666" t="str">
            <v>OTROS ACCESORIOS Y COMPLEMENTO</v>
          </cell>
        </row>
        <row r="2667">
          <cell r="A2667" t="str">
            <v>0685-04</v>
          </cell>
          <cell r="E2667" t="str">
            <v>OTROS ACCESORIOS Y COMPLEMENTO</v>
          </cell>
        </row>
        <row r="2668">
          <cell r="A2668" t="str">
            <v>0685-05</v>
          </cell>
          <cell r="E2668" t="str">
            <v>OTROS ACCESORIOS Y COMPLEMENTO</v>
          </cell>
        </row>
        <row r="2669">
          <cell r="A2669" t="str">
            <v>0685-06</v>
          </cell>
          <cell r="E2669" t="str">
            <v>OTROS ACCESORIOS Y COMPLEMENTO</v>
          </cell>
        </row>
        <row r="2670">
          <cell r="A2670" t="str">
            <v>0685-07</v>
          </cell>
          <cell r="E2670" t="str">
            <v>OTROS ACCESORIOS Y COMPLEMENTO</v>
          </cell>
        </row>
        <row r="2671">
          <cell r="A2671" t="str">
            <v>0686-01</v>
          </cell>
          <cell r="E2671" t="str">
            <v>OTROS ACCESORIOS Y COMPLEMENTO</v>
          </cell>
        </row>
        <row r="2672">
          <cell r="A2672" t="str">
            <v>0686-02</v>
          </cell>
          <cell r="E2672" t="str">
            <v>OTROS ACCESORIOS Y COMPLEMENTO</v>
          </cell>
        </row>
        <row r="2673">
          <cell r="A2673" t="str">
            <v>0686-03</v>
          </cell>
          <cell r="E2673" t="str">
            <v>OTROS ACCESORIOS Y COMPLEMENTO</v>
          </cell>
        </row>
        <row r="2674">
          <cell r="A2674" t="str">
            <v>0686-04</v>
          </cell>
          <cell r="E2674" t="str">
            <v>OTROS ACCESORIOS Y COMPLEMENTO</v>
          </cell>
        </row>
        <row r="2675">
          <cell r="A2675" t="str">
            <v>0687-00</v>
          </cell>
          <cell r="E2675" t="str">
            <v>OTROS ACCESORIOS Y COMPLEMENTO</v>
          </cell>
        </row>
        <row r="2676">
          <cell r="A2676" t="str">
            <v>0688-01</v>
          </cell>
          <cell r="E2676" t="str">
            <v>OTROS ACCESORIOS Y COMPLEMENTO</v>
          </cell>
        </row>
        <row r="2677">
          <cell r="A2677" t="str">
            <v>0688-02</v>
          </cell>
          <cell r="E2677" t="str">
            <v>OTROS ACCESORIOS Y COMPLEMENTO</v>
          </cell>
        </row>
        <row r="2678">
          <cell r="A2678" t="str">
            <v>0800-I</v>
          </cell>
          <cell r="E2678" t="str">
            <v>OTROS ACCESORIOS Y COMPLEMENTO</v>
          </cell>
        </row>
        <row r="2679">
          <cell r="A2679" t="str">
            <v>0801-L</v>
          </cell>
          <cell r="E2679" t="str">
            <v>OTROS ACCESORIOS Y COMPLEMENTO</v>
          </cell>
        </row>
        <row r="2680">
          <cell r="A2680" t="str">
            <v>0803-L</v>
          </cell>
          <cell r="E2680" t="str">
            <v>OTROS ACCESORIOS Y COMPLEMENTO</v>
          </cell>
        </row>
        <row r="2681">
          <cell r="A2681" t="str">
            <v>0819-AC</v>
          </cell>
          <cell r="E2681" t="str">
            <v>OTROS ACCESORIOS Y COMPLEMENTO</v>
          </cell>
        </row>
        <row r="2682">
          <cell r="A2682" t="str">
            <v>0819-AU</v>
          </cell>
          <cell r="E2682" t="str">
            <v>OTROS ACCESORIOS Y COMPLEMENTO</v>
          </cell>
        </row>
        <row r="2683">
          <cell r="A2683" t="str">
            <v>0819-E</v>
          </cell>
          <cell r="E2683" t="str">
            <v>OTROS ACCESORIOS Y COMPLEMENTO</v>
          </cell>
        </row>
        <row r="2684">
          <cell r="A2684" t="str">
            <v>0819-I</v>
          </cell>
          <cell r="E2684" t="str">
            <v>OTROS ACCESORIOS Y COMPLEMENTO</v>
          </cell>
        </row>
        <row r="2685">
          <cell r="A2685" t="str">
            <v>0819-INT</v>
          </cell>
          <cell r="E2685" t="str">
            <v>OTROS ACCESORIOS Y COMPLEMENTO</v>
          </cell>
        </row>
        <row r="2686">
          <cell r="A2686" t="str">
            <v>0819-M</v>
          </cell>
          <cell r="E2686" t="str">
            <v>OTROS ACCESORIOS Y COMPLEMENTO</v>
          </cell>
        </row>
        <row r="2687">
          <cell r="A2687" t="str">
            <v>0819-P</v>
          </cell>
          <cell r="E2687" t="str">
            <v>OTROS ACCESORIOS Y COMPLEMENTO</v>
          </cell>
        </row>
        <row r="2688">
          <cell r="A2688" t="str">
            <v>0819-V</v>
          </cell>
          <cell r="E2688" t="str">
            <v>OTROS ACCESORIOS Y COMPLEMENTO</v>
          </cell>
        </row>
        <row r="2689">
          <cell r="A2689" t="str">
            <v>19-1</v>
          </cell>
          <cell r="E2689" t="str">
            <v>DESCUENTOS</v>
          </cell>
        </row>
        <row r="2690">
          <cell r="A2690" t="str">
            <v>19B</v>
          </cell>
          <cell r="E2690" t="str">
            <v>DESCUENTOS</v>
          </cell>
        </row>
        <row r="2691">
          <cell r="A2691" t="str">
            <v>2200CB</v>
          </cell>
          <cell r="E2691" t="str">
            <v>ESMALTE - KITOX</v>
          </cell>
        </row>
        <row r="2692">
          <cell r="A2692" t="str">
            <v>2215CB</v>
          </cell>
          <cell r="E2692" t="str">
            <v>ESMALTE - KITOX</v>
          </cell>
        </row>
        <row r="2693">
          <cell r="A2693" t="str">
            <v>2256CB</v>
          </cell>
          <cell r="E2693" t="str">
            <v>ESMALTE - KITOX</v>
          </cell>
        </row>
        <row r="2694">
          <cell r="A2694" t="str">
            <v>2299CB</v>
          </cell>
          <cell r="E2694" t="str">
            <v>ESMALTE - KITOX</v>
          </cell>
        </row>
        <row r="2695">
          <cell r="A2695" t="str">
            <v>2530E20043</v>
          </cell>
          <cell r="E2695" t="str">
            <v>TINTAS MEGACOLOR</v>
          </cell>
        </row>
        <row r="2696">
          <cell r="A2696" t="str">
            <v>29243-R</v>
          </cell>
          <cell r="E2696" t="str">
            <v>RELLENADOR</v>
          </cell>
        </row>
        <row r="2697">
          <cell r="A2697" t="str">
            <v>29244-R</v>
          </cell>
          <cell r="E2697" t="str">
            <v>RELLENADOR</v>
          </cell>
        </row>
        <row r="2698">
          <cell r="A2698" t="str">
            <v>29245-R</v>
          </cell>
          <cell r="E2698" t="str">
            <v>RELLENADOR</v>
          </cell>
        </row>
        <row r="2699">
          <cell r="A2699" t="str">
            <v>30001US</v>
          </cell>
          <cell r="E2699" t="str">
            <v>VINILICA - POLIPRISA</v>
          </cell>
        </row>
        <row r="2700">
          <cell r="A2700" t="str">
            <v>305-N</v>
          </cell>
          <cell r="E2700" t="str">
            <v>MERCADOTECNIA</v>
          </cell>
        </row>
        <row r="2701">
          <cell r="A2701" t="str">
            <v>311-N</v>
          </cell>
          <cell r="E2701" t="str">
            <v>MERCADOTECNIA</v>
          </cell>
        </row>
        <row r="2702">
          <cell r="A2702" t="str">
            <v>3200CB</v>
          </cell>
          <cell r="E2702" t="str">
            <v>VINILICA - RIVINOL</v>
          </cell>
        </row>
        <row r="2703">
          <cell r="A2703" t="str">
            <v>340-N</v>
          </cell>
          <cell r="E2703" t="str">
            <v>PROMOCIONALES</v>
          </cell>
        </row>
        <row r="2704">
          <cell r="A2704" t="str">
            <v>341-N</v>
          </cell>
          <cell r="E2704" t="str">
            <v>PROMOCIONALES</v>
          </cell>
        </row>
        <row r="2705">
          <cell r="A2705" t="str">
            <v>342-N</v>
          </cell>
          <cell r="E2705" t="str">
            <v>ACCESORIOS PARA PREPARACION DE SUPERFICIES</v>
          </cell>
        </row>
        <row r="2706">
          <cell r="A2706" t="str">
            <v>36073-PR</v>
          </cell>
          <cell r="E2706" t="str">
            <v>SELLADOR - VINILICO (RIVI)</v>
          </cell>
        </row>
        <row r="2707">
          <cell r="A2707" t="str">
            <v>360-N</v>
          </cell>
          <cell r="E2707" t="str">
            <v>PROMOCIONALES</v>
          </cell>
        </row>
        <row r="2708">
          <cell r="A2708" t="str">
            <v>37R4</v>
          </cell>
          <cell r="E2708" t="str">
            <v>ACID STAIN PRE-MIX</v>
          </cell>
        </row>
        <row r="2709">
          <cell r="A2709" t="str">
            <v>42C1-3</v>
          </cell>
          <cell r="E2709" t="str">
            <v>WAX</v>
          </cell>
        </row>
        <row r="2710">
          <cell r="A2710" t="str">
            <v>4356GL</v>
          </cell>
          <cell r="E2710" t="str">
            <v>PRIMARIOS EPOXICOS</v>
          </cell>
        </row>
        <row r="2711">
          <cell r="A2711" t="str">
            <v>4357GL</v>
          </cell>
          <cell r="E2711" t="str">
            <v>PRIMARIOS EPOXICOS</v>
          </cell>
        </row>
        <row r="2712">
          <cell r="A2712" t="str">
            <v>467-N</v>
          </cell>
          <cell r="E2712" t="str">
            <v>MERCADOTECNIA</v>
          </cell>
        </row>
        <row r="2713">
          <cell r="A2713" t="str">
            <v>467-N</v>
          </cell>
          <cell r="E2713" t="str">
            <v>MERCADOTECNIA</v>
          </cell>
        </row>
        <row r="2714">
          <cell r="A2714" t="str">
            <v>4883CB</v>
          </cell>
          <cell r="E2714" t="str">
            <v>SOLVENTES INDUSTRIALES</v>
          </cell>
        </row>
        <row r="2715">
          <cell r="A2715" t="str">
            <v>4884CB</v>
          </cell>
          <cell r="E2715" t="str">
            <v>PRIMARIOS ALQUIDALICOS</v>
          </cell>
        </row>
        <row r="2716">
          <cell r="A2716" t="str">
            <v>6020GL</v>
          </cell>
          <cell r="E2716" t="str">
            <v>SOLVENTES INDUSTRIALES</v>
          </cell>
        </row>
        <row r="2717">
          <cell r="A2717" t="str">
            <v>6036CB</v>
          </cell>
          <cell r="E2717" t="str">
            <v>SOLVENTES INDUSTRIALES</v>
          </cell>
        </row>
        <row r="2718">
          <cell r="A2718" t="str">
            <v>6700-05</v>
          </cell>
          <cell r="E2718" t="str">
            <v>ACCESORIOS PARA LA APLICACION</v>
          </cell>
        </row>
        <row r="2719">
          <cell r="A2719" t="str">
            <v>6700-10</v>
          </cell>
          <cell r="E2719" t="str">
            <v>ACCESORIOS PARA LA APLICACION</v>
          </cell>
        </row>
        <row r="2720">
          <cell r="A2720" t="str">
            <v>6700-15</v>
          </cell>
          <cell r="E2720" t="str">
            <v>ACCESORIOS PARA LA APLICACION</v>
          </cell>
        </row>
        <row r="2721">
          <cell r="A2721" t="str">
            <v>6700-20</v>
          </cell>
          <cell r="E2721" t="str">
            <v>ACCESORIOS PARA LA APLICACION</v>
          </cell>
        </row>
        <row r="2722">
          <cell r="A2722" t="str">
            <v>6700-30</v>
          </cell>
          <cell r="E2722" t="str">
            <v>ACCESORIOS PARA LA APLICACION</v>
          </cell>
        </row>
        <row r="2723">
          <cell r="A2723" t="str">
            <v>6701-05</v>
          </cell>
          <cell r="E2723" t="str">
            <v>ACCESORIOS PARA LA APLICACION</v>
          </cell>
        </row>
        <row r="2724">
          <cell r="A2724" t="str">
            <v>6701-10</v>
          </cell>
          <cell r="E2724" t="str">
            <v>ACCESORIOS PARA LA APLICACION</v>
          </cell>
        </row>
        <row r="2725">
          <cell r="A2725" t="str">
            <v>6701-15</v>
          </cell>
          <cell r="E2725" t="str">
            <v>ACCESORIOS PARA LA APLICACION</v>
          </cell>
        </row>
        <row r="2726">
          <cell r="A2726" t="str">
            <v>6701-20</v>
          </cell>
          <cell r="E2726" t="str">
            <v>ACCESORIOS PARA LA APLICACION</v>
          </cell>
        </row>
        <row r="2727">
          <cell r="A2727" t="str">
            <v>6701-25</v>
          </cell>
          <cell r="E2727" t="str">
            <v>ACCESORIOS PARA LA APLICACION</v>
          </cell>
        </row>
        <row r="2728">
          <cell r="A2728" t="str">
            <v>6701-30</v>
          </cell>
          <cell r="E2728" t="str">
            <v>ACCESORIOS PARA LA APLICACION</v>
          </cell>
        </row>
        <row r="2729">
          <cell r="A2729" t="str">
            <v>6701-40</v>
          </cell>
          <cell r="E2729" t="str">
            <v>ACCESORIOS PARA LA APLICACION</v>
          </cell>
        </row>
        <row r="2730">
          <cell r="A2730" t="str">
            <v>6701-50</v>
          </cell>
          <cell r="E2730" t="str">
            <v>ACCESORIOS PARA LA APLICACION</v>
          </cell>
        </row>
        <row r="2731">
          <cell r="A2731" t="str">
            <v>6701-60</v>
          </cell>
          <cell r="E2731" t="str">
            <v>ACCESORIOS PARA LA APLICACION</v>
          </cell>
        </row>
        <row r="2732">
          <cell r="A2732" t="str">
            <v>6702-25</v>
          </cell>
          <cell r="E2732" t="str">
            <v>ACCESORIOS PARA LA APLICACION</v>
          </cell>
        </row>
        <row r="2733">
          <cell r="A2733" t="str">
            <v>6702-30</v>
          </cell>
          <cell r="E2733" t="str">
            <v>ACCESORIOS PARA LA APLICACION</v>
          </cell>
        </row>
        <row r="2734">
          <cell r="A2734" t="str">
            <v>6702-40</v>
          </cell>
          <cell r="E2734" t="str">
            <v>ACCESORIOS PARA LA APLICACION</v>
          </cell>
        </row>
        <row r="2735">
          <cell r="A2735" t="str">
            <v>6702-50</v>
          </cell>
          <cell r="E2735" t="str">
            <v>ACCESORIOS PARA LA APLICACION</v>
          </cell>
        </row>
        <row r="2736">
          <cell r="A2736" t="str">
            <v>6702-60</v>
          </cell>
          <cell r="E2736" t="str">
            <v>ACCESORIOS PARA LA APLICACION</v>
          </cell>
        </row>
        <row r="2737">
          <cell r="A2737" t="str">
            <v>6760-25</v>
          </cell>
          <cell r="E2737" t="str">
            <v>ACCESORIOS PARA LA APLICACION</v>
          </cell>
        </row>
        <row r="2738">
          <cell r="A2738" t="str">
            <v>6760-30</v>
          </cell>
          <cell r="E2738" t="str">
            <v>ACCESORIOS PARA LA APLICACION</v>
          </cell>
        </row>
        <row r="2739">
          <cell r="A2739" t="str">
            <v>6760-40</v>
          </cell>
          <cell r="E2739" t="str">
            <v>ACCESORIOS PARA LA APLICACION</v>
          </cell>
        </row>
        <row r="2740">
          <cell r="A2740" t="str">
            <v>6760-50</v>
          </cell>
          <cell r="E2740" t="str">
            <v>ACCESORIOS PARA LA APLICACION</v>
          </cell>
        </row>
        <row r="2741">
          <cell r="A2741" t="str">
            <v>6760-60</v>
          </cell>
          <cell r="E2741" t="str">
            <v>ACCESORIOS PARA LA APLICACION</v>
          </cell>
        </row>
        <row r="2742">
          <cell r="A2742" t="str">
            <v>6761-05</v>
          </cell>
          <cell r="E2742" t="str">
            <v>ACCESORIOS PARA LA APLICACION</v>
          </cell>
        </row>
        <row r="2743">
          <cell r="A2743" t="str">
            <v>6761-10</v>
          </cell>
          <cell r="E2743" t="str">
            <v>ACCESORIOS PARA LA APLICACION</v>
          </cell>
        </row>
        <row r="2744">
          <cell r="A2744" t="str">
            <v>6761-15</v>
          </cell>
          <cell r="E2744" t="str">
            <v>ACCESORIOS PARA LA APLICACION</v>
          </cell>
        </row>
        <row r="2745">
          <cell r="A2745" t="str">
            <v>6761-20</v>
          </cell>
          <cell r="E2745" t="str">
            <v>ACCESORIOS PARA LA APLICACION</v>
          </cell>
        </row>
        <row r="2746">
          <cell r="A2746" t="str">
            <v>6761-25</v>
          </cell>
          <cell r="E2746" t="str">
            <v>ACCESORIOS PARA LA APLICACION</v>
          </cell>
        </row>
        <row r="2747">
          <cell r="A2747" t="str">
            <v>6761-30</v>
          </cell>
          <cell r="E2747" t="str">
            <v>ACCESORIOS PARA LA APLICACION</v>
          </cell>
        </row>
        <row r="2748">
          <cell r="A2748" t="str">
            <v>6761-40</v>
          </cell>
          <cell r="E2748" t="str">
            <v>ACCESORIOS PARA LA APLICACION</v>
          </cell>
        </row>
        <row r="2749">
          <cell r="A2749" t="str">
            <v>6761-50</v>
          </cell>
          <cell r="E2749" t="str">
            <v>ACCESORIOS PARA LA APLICACION</v>
          </cell>
        </row>
        <row r="2750">
          <cell r="A2750" t="str">
            <v>6761-60</v>
          </cell>
          <cell r="E2750" t="str">
            <v>ACCESORIOS PARA LA APLICACION</v>
          </cell>
        </row>
        <row r="2751">
          <cell r="A2751" t="str">
            <v>6762-05</v>
          </cell>
          <cell r="E2751" t="str">
            <v>ACCESORIOS PARA LA APLICACION</v>
          </cell>
        </row>
        <row r="2752">
          <cell r="A2752" t="str">
            <v>6762-10</v>
          </cell>
          <cell r="E2752" t="str">
            <v>ACCESORIOS PARA LA APLICACION</v>
          </cell>
        </row>
        <row r="2753">
          <cell r="A2753" t="str">
            <v>6762-15</v>
          </cell>
          <cell r="E2753" t="str">
            <v>ACCESORIOS PARA LA APLICACION</v>
          </cell>
        </row>
        <row r="2754">
          <cell r="A2754" t="str">
            <v>6762-20</v>
          </cell>
          <cell r="E2754" t="str">
            <v>ACCESORIOS PARA LA APLICACION</v>
          </cell>
        </row>
        <row r="2755">
          <cell r="A2755" t="str">
            <v>6762-30</v>
          </cell>
          <cell r="E2755" t="str">
            <v>ACCESORIOS PARA LA APLICACION</v>
          </cell>
        </row>
        <row r="2756">
          <cell r="A2756" t="str">
            <v>6763-00</v>
          </cell>
          <cell r="E2756" t="str">
            <v>ACCESORIOS PARA LA APLICACION</v>
          </cell>
        </row>
        <row r="2757">
          <cell r="A2757" t="str">
            <v>6763-01</v>
          </cell>
          <cell r="E2757" t="str">
            <v>ACCESORIOS PARA LA APLICACION</v>
          </cell>
        </row>
        <row r="2758">
          <cell r="A2758" t="str">
            <v>6763-05</v>
          </cell>
          <cell r="E2758" t="str">
            <v>ACCESORIOS PARA LA APLICACION</v>
          </cell>
        </row>
        <row r="2759">
          <cell r="A2759" t="str">
            <v>6763-10</v>
          </cell>
          <cell r="E2759" t="str">
            <v>ACCESORIOS PARA LA APLICACION</v>
          </cell>
        </row>
        <row r="2760">
          <cell r="A2760" t="str">
            <v>6763-15</v>
          </cell>
          <cell r="E2760" t="str">
            <v>ACCESORIOS PARA LA APLICACION</v>
          </cell>
        </row>
        <row r="2761">
          <cell r="A2761" t="str">
            <v>6763-20</v>
          </cell>
          <cell r="E2761" t="str">
            <v>ACCESORIOS PARA LA APLICACION</v>
          </cell>
        </row>
        <row r="2762">
          <cell r="A2762" t="str">
            <v>6763-25</v>
          </cell>
          <cell r="E2762" t="str">
            <v>ACCESORIOS PARA LA APLICACION</v>
          </cell>
        </row>
        <row r="2763">
          <cell r="A2763" t="str">
            <v>6763-30</v>
          </cell>
          <cell r="E2763" t="str">
            <v>ACCESORIOS PARA LA APLICACION</v>
          </cell>
        </row>
        <row r="2764">
          <cell r="A2764" t="str">
            <v>6763-40</v>
          </cell>
          <cell r="E2764" t="str">
            <v>ACCESORIOS PARA LA APLICACION</v>
          </cell>
        </row>
        <row r="2765">
          <cell r="A2765" t="str">
            <v>6763-50</v>
          </cell>
          <cell r="E2765" t="str">
            <v>ACCESORIOS PARA LA APLICACION</v>
          </cell>
        </row>
        <row r="2766">
          <cell r="A2766" t="str">
            <v>6763-60</v>
          </cell>
          <cell r="E2766" t="str">
            <v>ACCESORIOS PARA LA APLICACION</v>
          </cell>
        </row>
        <row r="2767">
          <cell r="A2767" t="str">
            <v>6764-01</v>
          </cell>
          <cell r="E2767" t="str">
            <v>ACCESORIOS PARA LA APLICACION</v>
          </cell>
        </row>
        <row r="2768">
          <cell r="A2768" t="str">
            <v>6764-02</v>
          </cell>
          <cell r="E2768" t="str">
            <v>ACCESORIOS PARA LA APLICACION</v>
          </cell>
        </row>
        <row r="2769">
          <cell r="A2769" t="str">
            <v>6764-03</v>
          </cell>
          <cell r="E2769" t="str">
            <v>ACCESORIOS PARA LA APLICACION</v>
          </cell>
        </row>
        <row r="2770">
          <cell r="A2770" t="str">
            <v>6764-04</v>
          </cell>
          <cell r="E2770" t="str">
            <v>ACCESORIOS PARA LA APLICACION</v>
          </cell>
        </row>
        <row r="2771">
          <cell r="A2771" t="str">
            <v>6764-05</v>
          </cell>
          <cell r="E2771" t="str">
            <v>ACCESORIOS PARA LA APLICACION</v>
          </cell>
        </row>
        <row r="2772">
          <cell r="A2772" t="str">
            <v>6764-10</v>
          </cell>
          <cell r="E2772" t="str">
            <v>ACCESORIOS PARA LA APLICACION</v>
          </cell>
        </row>
        <row r="2773">
          <cell r="A2773" t="str">
            <v>6764-50</v>
          </cell>
          <cell r="E2773" t="str">
            <v>ACCESORIOS PARA LA APLICACION</v>
          </cell>
        </row>
        <row r="2774">
          <cell r="A2774" t="str">
            <v>6764-75</v>
          </cell>
          <cell r="E2774" t="str">
            <v>ACCESORIOS PARA LA APLICACION</v>
          </cell>
        </row>
        <row r="2775">
          <cell r="A2775" t="str">
            <v>6765-00</v>
          </cell>
          <cell r="E2775" t="str">
            <v>ACCESORIOS PARA LA APLICACION</v>
          </cell>
        </row>
        <row r="2776">
          <cell r="A2776" t="str">
            <v>6765-01</v>
          </cell>
          <cell r="E2776" t="str">
            <v>ACCESORIOS PARA LA APLICACION</v>
          </cell>
        </row>
        <row r="2777">
          <cell r="A2777" t="str">
            <v>6765-02</v>
          </cell>
          <cell r="E2777" t="str">
            <v>ACCESORIOS PARA LA APLICACION</v>
          </cell>
        </row>
        <row r="2778">
          <cell r="A2778" t="str">
            <v>6766-05</v>
          </cell>
          <cell r="E2778" t="str">
            <v>ACCESORIOS PARA LA APLICACION</v>
          </cell>
        </row>
        <row r="2779">
          <cell r="A2779" t="str">
            <v>6766-10</v>
          </cell>
          <cell r="E2779" t="str">
            <v>ACCESORIOS PARA LA APLICACION</v>
          </cell>
        </row>
        <row r="2780">
          <cell r="A2780" t="str">
            <v>6766-15</v>
          </cell>
          <cell r="E2780" t="str">
            <v>ACCESORIOS PARA LA APLICACION</v>
          </cell>
        </row>
        <row r="2781">
          <cell r="A2781" t="str">
            <v>6766-20</v>
          </cell>
          <cell r="E2781" t="str">
            <v>ACCESORIOS PARA LA APLICACION</v>
          </cell>
        </row>
        <row r="2782">
          <cell r="A2782" t="str">
            <v>6766-25</v>
          </cell>
          <cell r="E2782" t="str">
            <v>ACCESORIOS PARA LA APLICACION</v>
          </cell>
        </row>
        <row r="2783">
          <cell r="A2783" t="str">
            <v>6766-30</v>
          </cell>
          <cell r="E2783" t="str">
            <v>ACCESORIOS PARA LA APLICACION</v>
          </cell>
        </row>
        <row r="2784">
          <cell r="A2784" t="str">
            <v>6766-40</v>
          </cell>
          <cell r="E2784" t="str">
            <v>ACCESORIOS PARA LA APLICACION</v>
          </cell>
        </row>
        <row r="2785">
          <cell r="A2785" t="str">
            <v>6766-50</v>
          </cell>
          <cell r="E2785" t="str">
            <v>ACCESORIOS PARA LA APLICACION</v>
          </cell>
        </row>
        <row r="2786">
          <cell r="A2786" t="str">
            <v>6766-60</v>
          </cell>
          <cell r="E2786" t="str">
            <v>ACCESORIOS PARA LA APLICACION</v>
          </cell>
        </row>
        <row r="2787">
          <cell r="A2787" t="str">
            <v>6767-05</v>
          </cell>
          <cell r="E2787" t="str">
            <v>ACCESORIOS PARA LA APLICACION</v>
          </cell>
        </row>
        <row r="2788">
          <cell r="A2788" t="str">
            <v>6767-10</v>
          </cell>
          <cell r="E2788" t="str">
            <v>ACCESORIOS PARA LA APLICACION</v>
          </cell>
        </row>
        <row r="2789">
          <cell r="A2789" t="str">
            <v>6767-15</v>
          </cell>
          <cell r="E2789" t="str">
            <v>ACCESORIOS PARA LA APLICACION</v>
          </cell>
        </row>
        <row r="2790">
          <cell r="A2790" t="str">
            <v>6767-20</v>
          </cell>
          <cell r="E2790" t="str">
            <v>ACCESORIOS PARA LA APLICACION</v>
          </cell>
        </row>
        <row r="2791">
          <cell r="A2791" t="str">
            <v>6767-25</v>
          </cell>
          <cell r="E2791" t="str">
            <v>ACCESORIOS PARA LA APLICACION</v>
          </cell>
        </row>
        <row r="2792">
          <cell r="A2792" t="str">
            <v>6767-30</v>
          </cell>
          <cell r="E2792" t="str">
            <v>ACCESORIOS PARA LA APLICACION</v>
          </cell>
        </row>
        <row r="2793">
          <cell r="A2793" t="str">
            <v>6767-40</v>
          </cell>
          <cell r="E2793" t="str">
            <v>ACCESORIOS PARA LA APLICACION</v>
          </cell>
        </row>
        <row r="2794">
          <cell r="A2794" t="str">
            <v>6767-50</v>
          </cell>
          <cell r="E2794" t="str">
            <v>ACCESORIOS PARA LA APLICACION</v>
          </cell>
        </row>
        <row r="2795">
          <cell r="A2795" t="str">
            <v>6767-60</v>
          </cell>
          <cell r="E2795" t="str">
            <v>ACCESORIOS PARA LA APLICACION</v>
          </cell>
        </row>
        <row r="2796">
          <cell r="A2796" t="str">
            <v>6768-15</v>
          </cell>
          <cell r="E2796" t="str">
            <v>ACCESORIOS PARA LA APLICACION</v>
          </cell>
        </row>
        <row r="2797">
          <cell r="A2797" t="str">
            <v>6768-20</v>
          </cell>
          <cell r="E2797" t="str">
            <v>ACCESORIOS PARA LA APLICACION</v>
          </cell>
        </row>
        <row r="2798">
          <cell r="A2798" t="str">
            <v>6768-25</v>
          </cell>
          <cell r="E2798" t="str">
            <v>ACCESORIOS PARA LA APLICACION</v>
          </cell>
        </row>
        <row r="2799">
          <cell r="A2799" t="str">
            <v>6768-30</v>
          </cell>
          <cell r="E2799" t="str">
            <v>ACCESORIOS PARA LA APLICACION</v>
          </cell>
        </row>
        <row r="2800">
          <cell r="A2800" t="str">
            <v>6768-40</v>
          </cell>
          <cell r="E2800" t="str">
            <v>ACCESORIOS PARA LA APLICACION</v>
          </cell>
        </row>
        <row r="2801">
          <cell r="A2801" t="str">
            <v>6768-50</v>
          </cell>
          <cell r="E2801" t="str">
            <v>ACCESORIOS PARA LA APLICACION</v>
          </cell>
        </row>
        <row r="2802">
          <cell r="A2802" t="str">
            <v>6768-60</v>
          </cell>
          <cell r="E2802" t="str">
            <v>ACCESORIOS PARA LA APLICACION</v>
          </cell>
        </row>
        <row r="2803">
          <cell r="A2803" t="str">
            <v>6780-10</v>
          </cell>
          <cell r="E2803" t="str">
            <v>ACCESORIOS PARA APLIC. CANTOR</v>
          </cell>
        </row>
        <row r="2804">
          <cell r="A2804" t="str">
            <v>6780-15</v>
          </cell>
          <cell r="E2804" t="str">
            <v>ACCESORIOS PARA APLIC. CANTOR</v>
          </cell>
        </row>
        <row r="2805">
          <cell r="A2805" t="str">
            <v>6780-20</v>
          </cell>
          <cell r="E2805" t="str">
            <v>ACCESORIOS PARA APLIC. CANTOR</v>
          </cell>
        </row>
        <row r="2806">
          <cell r="A2806" t="str">
            <v>6780-25</v>
          </cell>
          <cell r="E2806" t="str">
            <v>ACCESORIOS PARA APLIC. CANTOR</v>
          </cell>
        </row>
        <row r="2807">
          <cell r="A2807" t="str">
            <v>6780-30</v>
          </cell>
          <cell r="E2807" t="str">
            <v>ACCESORIOS PARA APLIC. CANTOR</v>
          </cell>
        </row>
        <row r="2808">
          <cell r="A2808" t="str">
            <v>6780-40</v>
          </cell>
          <cell r="E2808" t="str">
            <v>ACCESORIOS PARA APLIC. CANTOR</v>
          </cell>
        </row>
        <row r="2809">
          <cell r="A2809" t="str">
            <v>6780-50</v>
          </cell>
          <cell r="E2809" t="str">
            <v>ACCESORIOS PARA APLIC. CANTOR</v>
          </cell>
        </row>
        <row r="2810">
          <cell r="A2810" t="str">
            <v>6780-60</v>
          </cell>
          <cell r="E2810" t="str">
            <v>ACCESORIOS PARA APLIC. CANTOR</v>
          </cell>
        </row>
        <row r="2811">
          <cell r="A2811" t="str">
            <v>6781-10</v>
          </cell>
          <cell r="E2811" t="str">
            <v>ACCESORIOS PARA APLIC. CANTOR</v>
          </cell>
        </row>
        <row r="2812">
          <cell r="A2812" t="str">
            <v>6781-15</v>
          </cell>
          <cell r="E2812" t="str">
            <v>ACCESORIOS PARA APLIC. CANTOR</v>
          </cell>
        </row>
        <row r="2813">
          <cell r="A2813" t="str">
            <v>6781-20</v>
          </cell>
          <cell r="E2813" t="str">
            <v>ACCESORIOS PARA APLIC. CANTOR</v>
          </cell>
        </row>
        <row r="2814">
          <cell r="A2814" t="str">
            <v>6781-25</v>
          </cell>
          <cell r="E2814" t="str">
            <v>ACCESORIOS PARA APLIC. CANTOR</v>
          </cell>
        </row>
        <row r="2815">
          <cell r="A2815" t="str">
            <v>6781-30</v>
          </cell>
          <cell r="E2815" t="str">
            <v>ACCESORIOS PARA APLIC. CANTOR</v>
          </cell>
        </row>
        <row r="2816">
          <cell r="A2816" t="str">
            <v>6781-40</v>
          </cell>
          <cell r="E2816" t="str">
            <v>ACCESORIOS PARA APLIC. CANTOR</v>
          </cell>
        </row>
        <row r="2817">
          <cell r="A2817" t="str">
            <v>6781-50</v>
          </cell>
          <cell r="E2817" t="str">
            <v>ACCESORIOS PARA APLIC. CANTOR</v>
          </cell>
        </row>
        <row r="2818">
          <cell r="A2818" t="str">
            <v>6781-60</v>
          </cell>
          <cell r="E2818" t="str">
            <v>ACCESORIOS PARA APLIC. CANTOR</v>
          </cell>
        </row>
        <row r="2819">
          <cell r="A2819" t="str">
            <v>6782-20</v>
          </cell>
          <cell r="E2819" t="str">
            <v>ACCESORIOS PARA APLIC. CANTOR</v>
          </cell>
        </row>
        <row r="2820">
          <cell r="A2820" t="str">
            <v>6782-30</v>
          </cell>
          <cell r="E2820" t="str">
            <v>ACCESORIOS PARA APLIC. CANTOR</v>
          </cell>
        </row>
        <row r="2821">
          <cell r="A2821" t="str">
            <v>6782-60</v>
          </cell>
          <cell r="E2821" t="str">
            <v>ACCESORIOS PARA APLIC. CANTOR</v>
          </cell>
        </row>
        <row r="2822">
          <cell r="A2822" t="str">
            <v>6783-15</v>
          </cell>
          <cell r="E2822" t="str">
            <v>ACCESORIOS PARA APLIC. CANTOR</v>
          </cell>
        </row>
        <row r="2823">
          <cell r="A2823" t="str">
            <v>6783-20</v>
          </cell>
          <cell r="E2823" t="str">
            <v>ACCESORIOS PARA APLIC. CANTOR</v>
          </cell>
        </row>
        <row r="2824">
          <cell r="A2824" t="str">
            <v>6783-25</v>
          </cell>
          <cell r="E2824" t="str">
            <v>ACCESORIOS PARA APLIC. CANTOR</v>
          </cell>
        </row>
        <row r="2825">
          <cell r="A2825" t="str">
            <v>6783-30</v>
          </cell>
          <cell r="E2825" t="str">
            <v>ACCESORIOS PARA APLIC. CANTOR</v>
          </cell>
        </row>
        <row r="2826">
          <cell r="A2826" t="str">
            <v>6784-10</v>
          </cell>
          <cell r="E2826" t="str">
            <v>ACCESORIOS PARA APLIC. CANTOR</v>
          </cell>
        </row>
        <row r="2827">
          <cell r="A2827" t="str">
            <v>6784-20</v>
          </cell>
          <cell r="E2827" t="str">
            <v>ACCESORIOS PARA APLIC. CANTOR</v>
          </cell>
        </row>
        <row r="2828">
          <cell r="A2828" t="str">
            <v>6784-30</v>
          </cell>
          <cell r="E2828" t="str">
            <v>ACCESORIOS PARA APLIC. CANTOR</v>
          </cell>
        </row>
        <row r="2829">
          <cell r="A2829" t="str">
            <v>6785-10</v>
          </cell>
          <cell r="E2829" t="str">
            <v>ACCESORIOS PARA APLIC. CANTOR</v>
          </cell>
        </row>
        <row r="2830">
          <cell r="A2830" t="str">
            <v>6785-15</v>
          </cell>
          <cell r="E2830" t="str">
            <v>ACCESORIOS PARA APLIC. CANTOR</v>
          </cell>
        </row>
        <row r="2831">
          <cell r="A2831" t="str">
            <v>6785-20</v>
          </cell>
          <cell r="E2831" t="str">
            <v>ACCESORIOS PARA APLIC. CANTOR</v>
          </cell>
        </row>
        <row r="2832">
          <cell r="A2832" t="str">
            <v>6785-30</v>
          </cell>
          <cell r="E2832" t="str">
            <v>ACCESORIOS PARA APLIC. CANTOR</v>
          </cell>
        </row>
        <row r="2833">
          <cell r="A2833" t="str">
            <v>6785-40</v>
          </cell>
          <cell r="E2833" t="str">
            <v>ACCESORIOS PARA APLIC. CANTOR</v>
          </cell>
        </row>
        <row r="2834">
          <cell r="A2834" t="str">
            <v>6786-10</v>
          </cell>
          <cell r="E2834" t="str">
            <v>ACCESORIOS PARA APLIC. CANTOR</v>
          </cell>
        </row>
        <row r="2835">
          <cell r="A2835" t="str">
            <v>6786-15</v>
          </cell>
          <cell r="E2835" t="str">
            <v>ACCESORIOS PARA APLIC. CANTOR</v>
          </cell>
        </row>
        <row r="2836">
          <cell r="A2836" t="str">
            <v>6786-20</v>
          </cell>
          <cell r="E2836" t="str">
            <v>ACCESORIOS PARA APLIC. CANTOR</v>
          </cell>
        </row>
        <row r="2837">
          <cell r="A2837" t="str">
            <v>6786-25</v>
          </cell>
          <cell r="E2837" t="str">
            <v>ACCESORIOS PARA APLIC. CANTOR</v>
          </cell>
        </row>
        <row r="2838">
          <cell r="A2838" t="str">
            <v>6786-30</v>
          </cell>
          <cell r="E2838" t="str">
            <v>ACCESORIOS PARA APLIC. CANTOR</v>
          </cell>
        </row>
        <row r="2839">
          <cell r="A2839" t="str">
            <v>82210-OCOTLAN</v>
          </cell>
          <cell r="E2839" t="str">
            <v>CARGAS</v>
          </cell>
        </row>
        <row r="2840">
          <cell r="A2840" t="str">
            <v>9009-R</v>
          </cell>
          <cell r="E2840" t="str">
            <v>OTROS ACCESORIOS Y COMPLEMENTO</v>
          </cell>
        </row>
        <row r="2841">
          <cell r="A2841" t="str">
            <v>9010-3</v>
          </cell>
          <cell r="E2841" t="str">
            <v>OTROS ACCESORIOS Y COMPLEMENTO</v>
          </cell>
        </row>
        <row r="2842">
          <cell r="A2842" t="str">
            <v>9010-C</v>
          </cell>
          <cell r="E2842" t="str">
            <v>OTROS ACCESORIOS Y COMPLEMENTO</v>
          </cell>
        </row>
        <row r="2843">
          <cell r="A2843" t="str">
            <v>9010-D</v>
          </cell>
          <cell r="E2843" t="str">
            <v>OTROS ACCESORIOS Y COMPLEMENTO</v>
          </cell>
        </row>
        <row r="2844">
          <cell r="A2844" t="str">
            <v>9010-I</v>
          </cell>
          <cell r="E2844" t="str">
            <v>OTROS ACCESORIOS Y COMPLEMENTO</v>
          </cell>
        </row>
        <row r="2845">
          <cell r="A2845" t="str">
            <v>9039-BD</v>
          </cell>
          <cell r="E2845" t="str">
            <v>EQUIPOS MEGACOLOR</v>
          </cell>
        </row>
        <row r="2846">
          <cell r="A2846" t="str">
            <v>9039-DMO</v>
          </cell>
          <cell r="E2846" t="str">
            <v>EQUIPOS MEGACOLOR</v>
          </cell>
        </row>
        <row r="2847">
          <cell r="A2847" t="str">
            <v>9039-ETI</v>
          </cell>
          <cell r="E2847" t="str">
            <v>EQUIPOS MEGACOLOR</v>
          </cell>
        </row>
        <row r="2848">
          <cell r="A2848" t="str">
            <v>9039-ETI2</v>
          </cell>
          <cell r="E2848" t="str">
            <v>EQUIPOS MEGACOLOR</v>
          </cell>
        </row>
        <row r="2849">
          <cell r="A2849" t="str">
            <v>9039-NBK</v>
          </cell>
          <cell r="E2849" t="str">
            <v>EQUIPOS MEGACOLOR</v>
          </cell>
        </row>
        <row r="2850">
          <cell r="A2850" t="str">
            <v>9039-PC</v>
          </cell>
          <cell r="E2850" t="str">
            <v>EQUIPOS MEGACOLOR</v>
          </cell>
        </row>
        <row r="2851">
          <cell r="A2851" t="str">
            <v>9039-SF</v>
          </cell>
          <cell r="E2851" t="str">
            <v>EQUIPOS MEGACOLOR</v>
          </cell>
        </row>
        <row r="2852">
          <cell r="A2852" t="str">
            <v>9045-11</v>
          </cell>
          <cell r="E2852" t="str">
            <v>EQUIPOS MEGACOLOR</v>
          </cell>
        </row>
        <row r="2853">
          <cell r="A2853" t="str">
            <v>9045-13</v>
          </cell>
          <cell r="E2853" t="str">
            <v>EQUIPOS MEGACOLOR</v>
          </cell>
        </row>
        <row r="2854">
          <cell r="A2854" t="str">
            <v>9047-10</v>
          </cell>
          <cell r="E2854" t="str">
            <v>EQUIPOS MEGACOLOR</v>
          </cell>
        </row>
        <row r="2855">
          <cell r="A2855" t="str">
            <v>9102-9</v>
          </cell>
          <cell r="E2855" t="str">
            <v>ACCESORIOS PARA LA APLICACION</v>
          </cell>
        </row>
        <row r="2856">
          <cell r="A2856" t="str">
            <v>9102-BE</v>
          </cell>
          <cell r="E2856" t="str">
            <v>ACCESORIOS PARA LA APLICACION</v>
          </cell>
        </row>
        <row r="2857">
          <cell r="A2857" t="str">
            <v>9103-E9</v>
          </cell>
          <cell r="E2857" t="str">
            <v>ACCESORIOS PARA LA APLICACION</v>
          </cell>
        </row>
        <row r="2858">
          <cell r="A2858" t="str">
            <v>9103-P9</v>
          </cell>
          <cell r="E2858" t="str">
            <v>ACCESORIOS PARA LA APLICACION</v>
          </cell>
        </row>
        <row r="2859">
          <cell r="A2859" t="str">
            <v>9103-PRO</v>
          </cell>
          <cell r="E2859" t="str">
            <v>ACCESORIOS PARA LA APLICACION</v>
          </cell>
        </row>
        <row r="2860">
          <cell r="A2860" t="str">
            <v>9103-S9</v>
          </cell>
          <cell r="E2860" t="str">
            <v>ACCESORIOS PARA LA APLICACION</v>
          </cell>
        </row>
        <row r="2861">
          <cell r="A2861" t="str">
            <v>9103-X9</v>
          </cell>
          <cell r="E2861" t="str">
            <v>ACCESORIOS PARA LA APLICACION</v>
          </cell>
        </row>
        <row r="2862">
          <cell r="A2862" t="str">
            <v>9112-PRO</v>
          </cell>
          <cell r="E2862" t="str">
            <v>ACCESORIOS PARA LA APLICACION</v>
          </cell>
        </row>
        <row r="2863">
          <cell r="A2863" t="str">
            <v>9121-9</v>
          </cell>
          <cell r="E2863" t="str">
            <v>ACCESORIOS PARA LA APLICACION</v>
          </cell>
        </row>
        <row r="2864">
          <cell r="A2864" t="str">
            <v>9121-PP</v>
          </cell>
          <cell r="E2864" t="str">
            <v>ACCESORIOS PARA LA APLICACION</v>
          </cell>
        </row>
        <row r="2865">
          <cell r="A2865" t="str">
            <v>9121-PR</v>
          </cell>
          <cell r="E2865" t="str">
            <v>ACCESORIOS PARA LA APLICACION</v>
          </cell>
        </row>
        <row r="2866">
          <cell r="A2866" t="str">
            <v>9124-01</v>
          </cell>
          <cell r="E2866" t="str">
            <v>ACCESORIOS PARA LA APLICACION</v>
          </cell>
        </row>
        <row r="2867">
          <cell r="A2867" t="str">
            <v>9124-02</v>
          </cell>
          <cell r="E2867" t="str">
            <v>ACCESORIOS PARA LA APLICACION</v>
          </cell>
        </row>
        <row r="2868">
          <cell r="A2868" t="str">
            <v>9124-03</v>
          </cell>
          <cell r="E2868" t="str">
            <v>ACCESORIOS PARA LA APLICACION</v>
          </cell>
        </row>
        <row r="2869">
          <cell r="A2869" t="str">
            <v>9124-04</v>
          </cell>
          <cell r="E2869" t="str">
            <v>ACCESORIOS PARA LA APLICACION</v>
          </cell>
        </row>
        <row r="2870">
          <cell r="A2870" t="str">
            <v>9124-05</v>
          </cell>
          <cell r="E2870" t="str">
            <v>ACCESORIOS PARA LA APLICACION</v>
          </cell>
        </row>
        <row r="2871">
          <cell r="A2871" t="str">
            <v>9124-06</v>
          </cell>
          <cell r="E2871" t="str">
            <v>ACCESORIOS PARA LA APLICACION</v>
          </cell>
        </row>
        <row r="2872">
          <cell r="A2872" t="str">
            <v>9124-07</v>
          </cell>
          <cell r="E2872" t="str">
            <v>ACCESORIOS PARA LA APLICACION</v>
          </cell>
        </row>
        <row r="2873">
          <cell r="A2873" t="str">
            <v>9124-08</v>
          </cell>
          <cell r="E2873" t="str">
            <v>ACCESORIOS PARA LA APLICACION</v>
          </cell>
        </row>
        <row r="2874">
          <cell r="A2874" t="str">
            <v>9124-09</v>
          </cell>
          <cell r="E2874" t="str">
            <v>ACCESORIOS PARA LA APLICACION</v>
          </cell>
        </row>
        <row r="2875">
          <cell r="A2875" t="str">
            <v>9124-10</v>
          </cell>
          <cell r="E2875" t="str">
            <v>ACCESORIOS PARA LA APLICACION</v>
          </cell>
        </row>
        <row r="2876">
          <cell r="A2876" t="str">
            <v>9124-11</v>
          </cell>
          <cell r="E2876" t="str">
            <v>ACCESORIOS PARA LA APLICACION</v>
          </cell>
        </row>
        <row r="2877">
          <cell r="A2877" t="str">
            <v>9124-12</v>
          </cell>
          <cell r="E2877" t="str">
            <v>ACCESORIOS PARA LA APLICACION</v>
          </cell>
        </row>
        <row r="2878">
          <cell r="A2878" t="str">
            <v>9124-13</v>
          </cell>
          <cell r="E2878" t="str">
            <v>ACCESORIOS PARA LA APLICACION</v>
          </cell>
        </row>
        <row r="2879">
          <cell r="A2879" t="str">
            <v>9124-14</v>
          </cell>
          <cell r="E2879" t="str">
            <v>ACCESORIOS PARA LA APLICACION</v>
          </cell>
        </row>
        <row r="2880">
          <cell r="A2880" t="str">
            <v>9124-15</v>
          </cell>
          <cell r="E2880" t="str">
            <v>ACCESORIOS PARA LA APLICACION</v>
          </cell>
        </row>
        <row r="2881">
          <cell r="A2881" t="str">
            <v>9124-16</v>
          </cell>
          <cell r="E2881" t="str">
            <v>ACCESORIOS PARA LA APLICACION</v>
          </cell>
        </row>
        <row r="2882">
          <cell r="A2882" t="str">
            <v>9124-17</v>
          </cell>
          <cell r="E2882" t="str">
            <v>ACCESORIOS PARA LA APLICACION</v>
          </cell>
        </row>
        <row r="2883">
          <cell r="A2883" t="str">
            <v>9124-18</v>
          </cell>
          <cell r="E2883" t="str">
            <v>ACCESORIOS PARA LA APLICACION</v>
          </cell>
        </row>
        <row r="2884">
          <cell r="A2884" t="str">
            <v>9124-19</v>
          </cell>
          <cell r="E2884" t="str">
            <v>ACCESORIOS PARA LA APLICACION</v>
          </cell>
        </row>
        <row r="2885">
          <cell r="A2885" t="str">
            <v>9124-20</v>
          </cell>
          <cell r="E2885" t="str">
            <v>ACCESORIOS PARA LA APLICACION</v>
          </cell>
        </row>
        <row r="2886">
          <cell r="A2886" t="str">
            <v>9124-21</v>
          </cell>
          <cell r="E2886" t="str">
            <v>ACCESORIOS PARA LA APLICACION</v>
          </cell>
        </row>
        <row r="2887">
          <cell r="A2887" t="str">
            <v>9124-22</v>
          </cell>
          <cell r="E2887" t="str">
            <v>ACCESORIOS PARA LA APLICACION</v>
          </cell>
        </row>
        <row r="2888">
          <cell r="A2888" t="str">
            <v>9124-23</v>
          </cell>
          <cell r="E2888" t="str">
            <v>ACCESORIOS PARA LA APLICACION</v>
          </cell>
        </row>
        <row r="2889">
          <cell r="A2889" t="str">
            <v>9124-24</v>
          </cell>
          <cell r="E2889" t="str">
            <v>ACCESORIOS PARA LA APLICACION</v>
          </cell>
        </row>
        <row r="2890">
          <cell r="A2890" t="str">
            <v>9124-25</v>
          </cell>
          <cell r="E2890" t="str">
            <v>ACCESORIOS PARA LA APLICACION</v>
          </cell>
        </row>
        <row r="2891">
          <cell r="A2891" t="str">
            <v>9124-26</v>
          </cell>
          <cell r="E2891" t="str">
            <v>ACCESORIOS PARA LA APLICACION</v>
          </cell>
        </row>
        <row r="2892">
          <cell r="A2892" t="str">
            <v>9124-27</v>
          </cell>
          <cell r="E2892" t="str">
            <v>ACCESORIOS PARA LA APLICACION</v>
          </cell>
        </row>
        <row r="2893">
          <cell r="A2893" t="str">
            <v>9124-28</v>
          </cell>
          <cell r="E2893" t="str">
            <v>ACCESORIOS PARA LA APLICACION</v>
          </cell>
        </row>
        <row r="2894">
          <cell r="A2894" t="str">
            <v>9124-29</v>
          </cell>
          <cell r="E2894" t="str">
            <v>ACCESORIOS PARA LA APLICACION</v>
          </cell>
        </row>
        <row r="2895">
          <cell r="A2895" t="str">
            <v>9124-30</v>
          </cell>
          <cell r="E2895" t="str">
            <v>ACCESORIOS PARA LA APLICACION</v>
          </cell>
        </row>
        <row r="2896">
          <cell r="A2896" t="str">
            <v>9124-31</v>
          </cell>
          <cell r="E2896" t="str">
            <v>ACCESORIOS PARA LA APLICACION</v>
          </cell>
        </row>
        <row r="2897">
          <cell r="A2897" t="str">
            <v>9124-32</v>
          </cell>
          <cell r="E2897" t="str">
            <v>ACCESORIOS PARA LA APLICACION</v>
          </cell>
        </row>
        <row r="2898">
          <cell r="A2898" t="str">
            <v>9124-33</v>
          </cell>
          <cell r="E2898" t="str">
            <v>ACCESORIOS PARA LA APLICACION</v>
          </cell>
        </row>
        <row r="2899">
          <cell r="A2899" t="str">
            <v>9124-34</v>
          </cell>
          <cell r="E2899" t="str">
            <v>ACCESORIOS PARA LA APLICACION</v>
          </cell>
        </row>
        <row r="2900">
          <cell r="A2900" t="str">
            <v>9124-35</v>
          </cell>
          <cell r="E2900" t="str">
            <v>ACCESORIOS PARA LA APLICACION</v>
          </cell>
        </row>
        <row r="2901">
          <cell r="A2901" t="str">
            <v>9124-36</v>
          </cell>
          <cell r="E2901" t="str">
            <v>ACCESORIOS PARA LA APLICACION</v>
          </cell>
        </row>
        <row r="2902">
          <cell r="A2902" t="str">
            <v>9124-37</v>
          </cell>
          <cell r="E2902" t="str">
            <v>ACCESORIOS PARA LA APLICACION</v>
          </cell>
        </row>
        <row r="2903">
          <cell r="A2903" t="str">
            <v>9124-38</v>
          </cell>
          <cell r="E2903" t="str">
            <v>ACCESORIOS PARA LA APLICACION</v>
          </cell>
        </row>
        <row r="2904">
          <cell r="A2904" t="str">
            <v>9124-39</v>
          </cell>
          <cell r="E2904" t="str">
            <v>ACCESORIOS PARA LA APLICACION</v>
          </cell>
        </row>
        <row r="2905">
          <cell r="A2905" t="str">
            <v>9124-40</v>
          </cell>
          <cell r="E2905" t="str">
            <v>ACCESORIOS PARA LA APLICACION</v>
          </cell>
        </row>
        <row r="2906">
          <cell r="A2906" t="str">
            <v>9124-41</v>
          </cell>
          <cell r="E2906" t="str">
            <v>ACCESORIOS PARA LA APLICACION</v>
          </cell>
        </row>
        <row r="2907">
          <cell r="A2907" t="str">
            <v>9124-42</v>
          </cell>
          <cell r="E2907" t="str">
            <v>ACCESORIOS PARA LA APLICACION</v>
          </cell>
        </row>
        <row r="2908">
          <cell r="A2908" t="str">
            <v>9124-43</v>
          </cell>
          <cell r="E2908" t="str">
            <v>ACCESORIOS PARA LA APLICACION</v>
          </cell>
        </row>
        <row r="2909">
          <cell r="A2909" t="str">
            <v>9124-49</v>
          </cell>
          <cell r="E2909" t="str">
            <v>ACCESORIOS PARA LA APLICACION</v>
          </cell>
        </row>
        <row r="2910">
          <cell r="A2910" t="str">
            <v>9124-50</v>
          </cell>
          <cell r="E2910" t="str">
            <v>ACCESORIOS PARA LA APLICACION</v>
          </cell>
        </row>
        <row r="2911">
          <cell r="A2911" t="str">
            <v>9124-59</v>
          </cell>
          <cell r="E2911" t="str">
            <v>ACCESORIOS PARA LA APLICACION</v>
          </cell>
        </row>
        <row r="2912">
          <cell r="A2912" t="str">
            <v>9148-PB</v>
          </cell>
          <cell r="E2912" t="str">
            <v>ACCESORIOS PARA LA APLICACION</v>
          </cell>
        </row>
        <row r="2913">
          <cell r="A2913" t="str">
            <v>9148-PR</v>
          </cell>
          <cell r="E2913" t="str">
            <v>ACCESORIOS PARA LA APLICACION</v>
          </cell>
        </row>
        <row r="2914">
          <cell r="A2914" t="str">
            <v>9149-PG</v>
          </cell>
          <cell r="E2914" t="str">
            <v>ACCESORIOS PARA LA APLICACION</v>
          </cell>
        </row>
        <row r="2915">
          <cell r="A2915" t="str">
            <v>9160-1</v>
          </cell>
          <cell r="E2915" t="str">
            <v>ACCESORIOS PARA LA APLICACION</v>
          </cell>
        </row>
        <row r="2916">
          <cell r="A2916" t="str">
            <v>9160-2</v>
          </cell>
          <cell r="E2916" t="str">
            <v>ACCESORIOS PARA LA APLICACION</v>
          </cell>
        </row>
        <row r="2917">
          <cell r="A2917" t="str">
            <v>9174-51</v>
          </cell>
          <cell r="E2917" t="str">
            <v>ACCESORIOS PARA PREPARACION DE</v>
          </cell>
        </row>
        <row r="2918">
          <cell r="A2918" t="str">
            <v>9175-64</v>
          </cell>
          <cell r="E2918" t="str">
            <v>ACCESORIOS PARA PREPARACION DE</v>
          </cell>
        </row>
        <row r="2919">
          <cell r="A2919" t="str">
            <v>9176-51</v>
          </cell>
          <cell r="E2919" t="str">
            <v>ACCESORIOS PARA LA APLICACION</v>
          </cell>
        </row>
        <row r="2920">
          <cell r="A2920" t="str">
            <v>9176-64</v>
          </cell>
          <cell r="E2920" t="str">
            <v>ACCESORIOS PARA LA APLICACION</v>
          </cell>
        </row>
        <row r="2921">
          <cell r="A2921" t="str">
            <v>9177-CP</v>
          </cell>
          <cell r="E2921" t="str">
            <v>ACCESORIOS PARA PREPARACION DE</v>
          </cell>
        </row>
        <row r="2922">
          <cell r="A2922" t="str">
            <v>9178-CE</v>
          </cell>
          <cell r="E2922" t="str">
            <v>ACCESORIOS PARA PREPARACION DE</v>
          </cell>
        </row>
        <row r="2923">
          <cell r="A2923" t="str">
            <v>9178-CN</v>
          </cell>
          <cell r="E2923" t="str">
            <v>ACCESORIOS PARA LA APLICACION</v>
          </cell>
        </row>
        <row r="2924">
          <cell r="A2924" t="str">
            <v>9178-CS</v>
          </cell>
          <cell r="E2924" t="str">
            <v>ACCESORIOS PARA LA APLICACION</v>
          </cell>
        </row>
        <row r="2925">
          <cell r="A2925" t="str">
            <v>9179-B</v>
          </cell>
          <cell r="E2925" t="str">
            <v>ACCESORIOS PARA LA APLICACION</v>
          </cell>
        </row>
        <row r="2926">
          <cell r="A2926" t="str">
            <v>9196-PRO</v>
          </cell>
          <cell r="E2926" t="str">
            <v>ACCESORIOS PARA LA APLICACION</v>
          </cell>
        </row>
        <row r="2927">
          <cell r="A2927" t="str">
            <v>9202-0</v>
          </cell>
          <cell r="E2927" t="str">
            <v>ACCESORIOS PARA APLIC. CANTOR</v>
          </cell>
        </row>
        <row r="2928">
          <cell r="A2928" t="str">
            <v>9202-00</v>
          </cell>
          <cell r="E2928" t="str">
            <v>ACCESORIOS PARA APLIC. CANTOR</v>
          </cell>
        </row>
        <row r="2929">
          <cell r="A2929" t="str">
            <v>9202-01</v>
          </cell>
          <cell r="E2929" t="str">
            <v>ACCESORIOS PARA APLIC. CANTOR</v>
          </cell>
        </row>
        <row r="2930">
          <cell r="A2930" t="str">
            <v>9202-02</v>
          </cell>
          <cell r="E2930" t="str">
            <v>ACCESORIOS PARA APLIC. CANTOR</v>
          </cell>
        </row>
        <row r="2931">
          <cell r="A2931" t="str">
            <v>9202-03</v>
          </cell>
          <cell r="E2931" t="str">
            <v>ACCESORIOS PARA APLIC. CANTOR</v>
          </cell>
        </row>
        <row r="2932">
          <cell r="A2932" t="str">
            <v>9202-04</v>
          </cell>
          <cell r="E2932" t="str">
            <v>ACCESORIOS PARA APLIC. CANTOR</v>
          </cell>
        </row>
        <row r="2933">
          <cell r="A2933" t="str">
            <v>9202-14</v>
          </cell>
          <cell r="E2933" t="str">
            <v>ACCESORIOS PARA LA APLICACION</v>
          </cell>
        </row>
        <row r="2934">
          <cell r="A2934" t="str">
            <v>9202-V4</v>
          </cell>
          <cell r="E2934" t="str">
            <v>ACCESORIOS PARA LA APLICACION</v>
          </cell>
        </row>
        <row r="2935">
          <cell r="A2935" t="str">
            <v>9203-1</v>
          </cell>
          <cell r="E2935" t="str">
            <v>ACCESORIOS PARA APLIC. CANTOR</v>
          </cell>
        </row>
        <row r="2936">
          <cell r="A2936" t="str">
            <v>9203-2</v>
          </cell>
          <cell r="E2936" t="str">
            <v>ACCESORIOS PARA APLIC. CANTOR</v>
          </cell>
        </row>
        <row r="2937">
          <cell r="A2937" t="str">
            <v>9203-3</v>
          </cell>
          <cell r="E2937" t="str">
            <v>ACCESORIOS PARA APLIC. CANTOR</v>
          </cell>
        </row>
        <row r="2938">
          <cell r="A2938" t="str">
            <v>9203-4</v>
          </cell>
          <cell r="E2938" t="str">
            <v>ACCESORIOS PARA APLIC. CANTOR</v>
          </cell>
        </row>
        <row r="2939">
          <cell r="A2939" t="str">
            <v>9203-5</v>
          </cell>
          <cell r="E2939" t="str">
            <v>ACCESORIOS PARA APLIC. CANTOR</v>
          </cell>
        </row>
        <row r="2940">
          <cell r="A2940" t="str">
            <v>9203-ES</v>
          </cell>
          <cell r="E2940" t="str">
            <v>ACCESORIOS PARA LA APLICACION</v>
          </cell>
        </row>
        <row r="2941">
          <cell r="A2941" t="str">
            <v>9203-PR</v>
          </cell>
          <cell r="E2941" t="str">
            <v>ACCESORIOS PARA LA APLICACION</v>
          </cell>
        </row>
        <row r="2942">
          <cell r="A2942" t="str">
            <v>9203-PX</v>
          </cell>
          <cell r="E2942" t="str">
            <v>ACCESORIOS PARA LA APLICACION</v>
          </cell>
        </row>
        <row r="2943">
          <cell r="A2943" t="str">
            <v>9203-WR</v>
          </cell>
          <cell r="E2943" t="str">
            <v>ACCESORIOS PARA LA APLICACION</v>
          </cell>
        </row>
        <row r="2944">
          <cell r="A2944" t="str">
            <v>9203-WX</v>
          </cell>
          <cell r="E2944" t="str">
            <v>ACCESORIOS PARA LA APLICACION</v>
          </cell>
        </row>
        <row r="2945">
          <cell r="A2945" t="str">
            <v>9204-3</v>
          </cell>
          <cell r="E2945" t="str">
            <v>ACCESORIOS PARA APLIC. CANTOR</v>
          </cell>
        </row>
        <row r="2946">
          <cell r="A2946" t="str">
            <v>9204-4</v>
          </cell>
          <cell r="E2946" t="str">
            <v>ACCESORIOS PARA APLIC. CANTOR</v>
          </cell>
        </row>
        <row r="2947">
          <cell r="A2947" t="str">
            <v>9205-2</v>
          </cell>
          <cell r="E2947" t="str">
            <v>ACCESORIOS PARA APLIC. CANTOR</v>
          </cell>
        </row>
        <row r="2948">
          <cell r="A2948" t="str">
            <v>9205-3</v>
          </cell>
          <cell r="E2948" t="str">
            <v>ACCESORIOS PARA APLIC. CANTOR</v>
          </cell>
        </row>
        <row r="2949">
          <cell r="A2949" t="str">
            <v>9205-4</v>
          </cell>
          <cell r="E2949" t="str">
            <v>ACCESORIOS PARA APLIC. CANTOR</v>
          </cell>
        </row>
        <row r="2950">
          <cell r="A2950" t="str">
            <v>9206-3</v>
          </cell>
          <cell r="E2950" t="str">
            <v>ACCESORIOS PARA APLIC. CANTOR</v>
          </cell>
        </row>
        <row r="2951">
          <cell r="A2951" t="str">
            <v>9206-4</v>
          </cell>
          <cell r="E2951" t="str">
            <v>ACCESORIOS PARA APLIC. CANTOR</v>
          </cell>
        </row>
        <row r="2952">
          <cell r="A2952" t="str">
            <v>9207-29</v>
          </cell>
          <cell r="E2952" t="str">
            <v>ACCESORIOS PARA LA APLICACION</v>
          </cell>
        </row>
        <row r="2953">
          <cell r="A2953" t="str">
            <v>9207-4</v>
          </cell>
          <cell r="E2953" t="str">
            <v>ACCESORIOS PARA APLIC. CANTOR</v>
          </cell>
        </row>
        <row r="2954">
          <cell r="A2954" t="str">
            <v>9207-6</v>
          </cell>
          <cell r="E2954" t="str">
            <v>ACCESORIOS PARA APLIC. CANTOR</v>
          </cell>
        </row>
        <row r="2955">
          <cell r="A2955" t="str">
            <v>9207-79</v>
          </cell>
          <cell r="E2955" t="str">
            <v>ACCESORIOS PARA LA APLICACION</v>
          </cell>
        </row>
        <row r="2956">
          <cell r="A2956" t="str">
            <v>9207-89</v>
          </cell>
          <cell r="E2956" t="str">
            <v>ACCESORIOS PARA LA APLICACION</v>
          </cell>
        </row>
        <row r="2957">
          <cell r="A2957" t="str">
            <v>9207-9</v>
          </cell>
          <cell r="E2957" t="str">
            <v>ACCESORIOS PARA APLIC. CANTOR</v>
          </cell>
        </row>
        <row r="2958">
          <cell r="A2958" t="str">
            <v>9207-N1</v>
          </cell>
          <cell r="E2958" t="str">
            <v>ACCESORIOS PARA LA APLICACION</v>
          </cell>
        </row>
        <row r="2959">
          <cell r="A2959" t="str">
            <v>9207-N19</v>
          </cell>
          <cell r="E2959" t="str">
            <v>ACCESORIOS PARA LA APLICACION</v>
          </cell>
        </row>
        <row r="2960">
          <cell r="A2960" t="str">
            <v>9207-S19</v>
          </cell>
          <cell r="E2960" t="str">
            <v>ACCESORIOS PARA LA APLICACION</v>
          </cell>
        </row>
        <row r="2961">
          <cell r="A2961" t="str">
            <v>9207-T4</v>
          </cell>
          <cell r="E2961" t="str">
            <v>ACCESORIOS PARA LA APLICACION</v>
          </cell>
        </row>
        <row r="2962">
          <cell r="A2962" t="str">
            <v>9208-0</v>
          </cell>
          <cell r="E2962" t="str">
            <v>ACCESORIOS PARA APLIC. CANTOR</v>
          </cell>
        </row>
        <row r="2963">
          <cell r="A2963" t="str">
            <v>9208-00</v>
          </cell>
          <cell r="E2963" t="str">
            <v>ACCESORIOS PARA APLIC. CANTOR</v>
          </cell>
        </row>
        <row r="2964">
          <cell r="A2964" t="str">
            <v>9208-2</v>
          </cell>
          <cell r="E2964" t="str">
            <v>ACCESORIOS PARA APLIC. CANTOR</v>
          </cell>
        </row>
        <row r="2965">
          <cell r="A2965" t="str">
            <v>9208-3</v>
          </cell>
          <cell r="E2965" t="str">
            <v>ACCESORIOS PARA APLIC. CANTOR</v>
          </cell>
        </row>
        <row r="2966">
          <cell r="A2966" t="str">
            <v>9208-4</v>
          </cell>
          <cell r="E2966" t="str">
            <v>ACCESORIOS PARA APLIC. CANTOR</v>
          </cell>
        </row>
        <row r="2967">
          <cell r="A2967" t="str">
            <v>9209-4</v>
          </cell>
          <cell r="E2967" t="str">
            <v>ACCESORIOS PARA APLIC. CANTOR</v>
          </cell>
        </row>
        <row r="2968">
          <cell r="A2968" t="str">
            <v>9209-6</v>
          </cell>
          <cell r="E2968" t="str">
            <v>ACCESORIOS PARA APLIC. CANTOR</v>
          </cell>
        </row>
        <row r="2969">
          <cell r="A2969" t="str">
            <v>9210-0</v>
          </cell>
          <cell r="E2969" t="str">
            <v>ACCESORIOS PARA APLIC. CANTOR</v>
          </cell>
        </row>
        <row r="2970">
          <cell r="A2970" t="str">
            <v>9210-1</v>
          </cell>
          <cell r="E2970" t="str">
            <v>ACCESORIOS PARA APLIC. CANTOR</v>
          </cell>
        </row>
        <row r="2971">
          <cell r="A2971" t="str">
            <v>9211-4</v>
          </cell>
          <cell r="E2971" t="str">
            <v>ACCESORIOS PARA APLIC. CANTOR</v>
          </cell>
        </row>
        <row r="2972">
          <cell r="A2972" t="str">
            <v>9211-9</v>
          </cell>
          <cell r="E2972" t="str">
            <v>ACCESORIOS PARA APLIC. CANTOR</v>
          </cell>
        </row>
        <row r="2973">
          <cell r="A2973" t="str">
            <v>9270-5G</v>
          </cell>
          <cell r="E2973" t="str">
            <v>ACCESORIOS PARA LA APLICACION</v>
          </cell>
        </row>
        <row r="2974">
          <cell r="A2974" t="str">
            <v>9270-R</v>
          </cell>
          <cell r="E2974" t="str">
            <v>ACCESORIOS PARA LA APLICACION</v>
          </cell>
        </row>
        <row r="2975">
          <cell r="A2975" t="str">
            <v>99-10011</v>
          </cell>
          <cell r="E2975" t="str">
            <v>PINTURA PARA ALBERCAS</v>
          </cell>
        </row>
        <row r="2976">
          <cell r="A2976" t="str">
            <v>99-10013</v>
          </cell>
          <cell r="E2976" t="str">
            <v>PINTURA PARA ALBERCAS</v>
          </cell>
        </row>
        <row r="2977">
          <cell r="A2977" t="str">
            <v>99-10200</v>
          </cell>
          <cell r="E2977" t="str">
            <v>FONDO DE NITROCELULOSA</v>
          </cell>
        </row>
        <row r="2978">
          <cell r="A2978" t="str">
            <v>99-10201</v>
          </cell>
          <cell r="E2978" t="str">
            <v>FONDO DE NITROCELULOSA</v>
          </cell>
        </row>
        <row r="2979">
          <cell r="A2979" t="str">
            <v>99-10203</v>
          </cell>
          <cell r="E2979" t="str">
            <v>FONDO DE NITROCELULOSA</v>
          </cell>
        </row>
        <row r="2980">
          <cell r="A2980" t="str">
            <v>99-10204</v>
          </cell>
          <cell r="E2980" t="str">
            <v>FONDO DE NITROCELULOSA</v>
          </cell>
        </row>
        <row r="2981">
          <cell r="A2981" t="str">
            <v>99-10211</v>
          </cell>
          <cell r="E2981" t="str">
            <v>FONDO ALQUIDALICO</v>
          </cell>
        </row>
        <row r="2982">
          <cell r="A2982" t="str">
            <v>99-10213</v>
          </cell>
          <cell r="E2982" t="str">
            <v>FONDO ALQUIDALICO</v>
          </cell>
        </row>
        <row r="2983">
          <cell r="A2983" t="str">
            <v>99-10221</v>
          </cell>
          <cell r="E2983" t="str">
            <v>FONDO DE NITROCELULOSA</v>
          </cell>
        </row>
        <row r="2984">
          <cell r="A2984" t="str">
            <v>99-10223</v>
          </cell>
          <cell r="E2984" t="str">
            <v>FONDO DE NITROCELULOSA</v>
          </cell>
        </row>
        <row r="2985">
          <cell r="A2985" t="str">
            <v>99-10251</v>
          </cell>
          <cell r="E2985" t="str">
            <v>FONDO DE NITROCELULOSA</v>
          </cell>
        </row>
        <row r="2986">
          <cell r="A2986" t="str">
            <v>99-10253</v>
          </cell>
          <cell r="E2986" t="str">
            <v>FONDO DE NITROCELULOSA</v>
          </cell>
        </row>
        <row r="2987">
          <cell r="A2987" t="str">
            <v>99-10290</v>
          </cell>
          <cell r="E2987" t="str">
            <v>FONDO DE NITROCELULOSA</v>
          </cell>
        </row>
        <row r="2988">
          <cell r="A2988" t="str">
            <v>99-10291</v>
          </cell>
          <cell r="E2988" t="str">
            <v>FONDO DE NITROCELULOSA</v>
          </cell>
        </row>
        <row r="2989">
          <cell r="A2989" t="str">
            <v>99-10293</v>
          </cell>
          <cell r="E2989" t="str">
            <v>FONDO DE NITROCELULOSA</v>
          </cell>
        </row>
        <row r="2990">
          <cell r="A2990" t="str">
            <v>99-10501</v>
          </cell>
          <cell r="E2990" t="str">
            <v>FONDO DE POLIURETANO</v>
          </cell>
        </row>
        <row r="2991">
          <cell r="A2991" t="str">
            <v>99-10503</v>
          </cell>
          <cell r="E2991" t="str">
            <v>FONDO DE POLIURETANO</v>
          </cell>
        </row>
        <row r="2992">
          <cell r="A2992" t="str">
            <v>99-10504</v>
          </cell>
          <cell r="E2992" t="str">
            <v>FONDO DE POLIURETANO</v>
          </cell>
        </row>
        <row r="2993">
          <cell r="A2993" t="str">
            <v>99-10521</v>
          </cell>
          <cell r="E2993" t="str">
            <v>FONDO DE POLIURETANO</v>
          </cell>
        </row>
        <row r="2994">
          <cell r="A2994" t="str">
            <v>99-10523</v>
          </cell>
          <cell r="E2994" t="str">
            <v>FONDO DE POLIURETANO</v>
          </cell>
        </row>
        <row r="2995">
          <cell r="A2995" t="str">
            <v>99-10551</v>
          </cell>
          <cell r="E2995" t="str">
            <v>FONDO DE POLIURETANO</v>
          </cell>
        </row>
        <row r="2996">
          <cell r="A2996" t="str">
            <v>99-10553</v>
          </cell>
          <cell r="E2996" t="str">
            <v>FONDO DE POLIURETANO</v>
          </cell>
        </row>
        <row r="2997">
          <cell r="A2997" t="str">
            <v>99-10581</v>
          </cell>
          <cell r="E2997" t="str">
            <v>FONDO DE POLIURETANO</v>
          </cell>
        </row>
        <row r="2998">
          <cell r="A2998" t="str">
            <v>99-10583</v>
          </cell>
          <cell r="E2998" t="str">
            <v>FONDO DE POLIURETANO</v>
          </cell>
        </row>
        <row r="2999">
          <cell r="A2999" t="str">
            <v>99-10584</v>
          </cell>
          <cell r="E2999" t="str">
            <v>FONDO DE POLIURETANO</v>
          </cell>
        </row>
        <row r="3000">
          <cell r="A3000" t="str">
            <v>99-10591</v>
          </cell>
          <cell r="E3000" t="str">
            <v>FONDO DE POLIURETANO</v>
          </cell>
        </row>
        <row r="3001">
          <cell r="A3001" t="str">
            <v>99-10593</v>
          </cell>
          <cell r="E3001" t="str">
            <v>FONDO DE POLIURETANO</v>
          </cell>
        </row>
        <row r="3002">
          <cell r="A3002" t="str">
            <v>99-10594</v>
          </cell>
          <cell r="E3002" t="str">
            <v>FONDO DE POLIURETANO</v>
          </cell>
        </row>
        <row r="3003">
          <cell r="A3003" t="str">
            <v>99-10641</v>
          </cell>
          <cell r="E3003" t="str">
            <v>PINTURA PARA ALBERCAS</v>
          </cell>
        </row>
        <row r="3004">
          <cell r="A3004" t="str">
            <v>99-10643</v>
          </cell>
          <cell r="E3004" t="str">
            <v>PINTURA PARA ALBERCAS</v>
          </cell>
        </row>
        <row r="3005">
          <cell r="A3005" t="str">
            <v>99-10644</v>
          </cell>
          <cell r="E3005" t="str">
            <v>PINTURA PARA ALBERCAS</v>
          </cell>
        </row>
        <row r="3006">
          <cell r="A3006" t="str">
            <v>99-10980</v>
          </cell>
          <cell r="E3006" t="str">
            <v>NEGRO CHASIS</v>
          </cell>
        </row>
        <row r="3007">
          <cell r="A3007" t="str">
            <v>99-10981</v>
          </cell>
          <cell r="E3007" t="str">
            <v>NEGRO CHASIS</v>
          </cell>
        </row>
        <row r="3008">
          <cell r="A3008" t="str">
            <v>99-10983</v>
          </cell>
          <cell r="E3008" t="str">
            <v>NEGRO CHASIS</v>
          </cell>
        </row>
        <row r="3009">
          <cell r="A3009" t="str">
            <v>99-11024</v>
          </cell>
          <cell r="E3009" t="str">
            <v>TINTAS BASE SOLVENTE P/MADERA</v>
          </cell>
        </row>
        <row r="3010">
          <cell r="A3010" t="str">
            <v>99-11044</v>
          </cell>
          <cell r="E3010" t="str">
            <v>TINTAS BASE SOLVENTE P/MADERA</v>
          </cell>
        </row>
        <row r="3011">
          <cell r="A3011" t="str">
            <v>99-11054</v>
          </cell>
          <cell r="E3011" t="str">
            <v>TINTAS BASE SOLVENTE P/MADERA</v>
          </cell>
        </row>
        <row r="3012">
          <cell r="A3012" t="str">
            <v>99-11064</v>
          </cell>
          <cell r="E3012" t="str">
            <v>TINTAS BASE SOLVENTE P/MADERA</v>
          </cell>
        </row>
        <row r="3013">
          <cell r="A3013" t="str">
            <v>99-11104</v>
          </cell>
          <cell r="E3013" t="str">
            <v>TINTAS BASE SOLVENTE P/MADERA</v>
          </cell>
        </row>
        <row r="3014">
          <cell r="A3014" t="str">
            <v>99-11124</v>
          </cell>
          <cell r="E3014" t="str">
            <v>TINTAS BASE SOLVENTE P/MADERA</v>
          </cell>
        </row>
        <row r="3015">
          <cell r="A3015" t="str">
            <v>99-11164</v>
          </cell>
          <cell r="E3015" t="str">
            <v>TINTAS BASE SOLVENTE P/MADERA</v>
          </cell>
        </row>
        <row r="3016">
          <cell r="A3016" t="str">
            <v>99-11194</v>
          </cell>
          <cell r="E3016" t="str">
            <v>TINTAS BASE SOLVENTE P/MADERA</v>
          </cell>
        </row>
        <row r="3017">
          <cell r="A3017" t="str">
            <v>99-11201</v>
          </cell>
          <cell r="E3017" t="str">
            <v>TAPAPOROS Y RESANES PARA MADER</v>
          </cell>
        </row>
        <row r="3018">
          <cell r="A3018" t="str">
            <v>99-11203</v>
          </cell>
          <cell r="E3018" t="str">
            <v>TAPAPOROS Y RESANES PARA MADER</v>
          </cell>
        </row>
        <row r="3019">
          <cell r="A3019" t="str">
            <v>99-11204</v>
          </cell>
          <cell r="E3019" t="str">
            <v>TAPAPOROS Y RESANES PARA MADER</v>
          </cell>
        </row>
        <row r="3020">
          <cell r="A3020" t="str">
            <v>99-11323</v>
          </cell>
          <cell r="E3020" t="str">
            <v>MANCHAS PARA MADERA</v>
          </cell>
        </row>
        <row r="3021">
          <cell r="A3021" t="str">
            <v>99-11324</v>
          </cell>
          <cell r="E3021" t="str">
            <v>MANCHAS PARA MADERA</v>
          </cell>
        </row>
        <row r="3022">
          <cell r="A3022" t="str">
            <v>99-11354</v>
          </cell>
          <cell r="E3022" t="str">
            <v>MANCHAS PARA MADERA</v>
          </cell>
        </row>
        <row r="3023">
          <cell r="A3023" t="str">
            <v>99-11364</v>
          </cell>
          <cell r="E3023" t="str">
            <v>MANCHAS PARA MADERA</v>
          </cell>
        </row>
        <row r="3024">
          <cell r="A3024" t="str">
            <v>99-11404</v>
          </cell>
          <cell r="E3024" t="str">
            <v>MANCHAS PARA MADERA</v>
          </cell>
        </row>
        <row r="3025">
          <cell r="A3025" t="str">
            <v>99-11424</v>
          </cell>
          <cell r="E3025" t="str">
            <v>MANCHAS PARA MADERA</v>
          </cell>
        </row>
        <row r="3026">
          <cell r="A3026" t="str">
            <v>99-11444</v>
          </cell>
          <cell r="E3026" t="str">
            <v>MANCHAS PARA MADERA</v>
          </cell>
        </row>
        <row r="3027">
          <cell r="A3027" t="str">
            <v>99-11453</v>
          </cell>
          <cell r="E3027" t="str">
            <v>MANCHAS PARA MADERA</v>
          </cell>
        </row>
        <row r="3028">
          <cell r="A3028" t="str">
            <v>99-11454</v>
          </cell>
          <cell r="E3028" t="str">
            <v>MANCHAS PARA MADERA</v>
          </cell>
        </row>
        <row r="3029">
          <cell r="A3029" t="str">
            <v>99-11461</v>
          </cell>
          <cell r="E3029" t="str">
            <v>MANCHAS PARA MADERA</v>
          </cell>
        </row>
        <row r="3030">
          <cell r="A3030" t="str">
            <v>99-11463</v>
          </cell>
          <cell r="E3030" t="str">
            <v>MANCHAS PARA MADERA</v>
          </cell>
        </row>
        <row r="3031">
          <cell r="A3031" t="str">
            <v>99-11464</v>
          </cell>
          <cell r="E3031" t="str">
            <v>MANCHAS PARA MADERA</v>
          </cell>
        </row>
        <row r="3032">
          <cell r="A3032" t="str">
            <v>99-11474</v>
          </cell>
          <cell r="E3032" t="str">
            <v>MANCHAS PARA MADERA</v>
          </cell>
        </row>
        <row r="3033">
          <cell r="A3033" t="str">
            <v>99-11481</v>
          </cell>
          <cell r="E3033" t="str">
            <v>MANCHAS PARA MADERA</v>
          </cell>
        </row>
        <row r="3034">
          <cell r="A3034" t="str">
            <v>99-11483</v>
          </cell>
          <cell r="E3034" t="str">
            <v>MANCHAS PARA MADERA</v>
          </cell>
        </row>
        <row r="3035">
          <cell r="A3035" t="str">
            <v>99-11484</v>
          </cell>
          <cell r="E3035" t="str">
            <v>MANCHAS PARA MADERA</v>
          </cell>
        </row>
        <row r="3036">
          <cell r="A3036" t="str">
            <v>99-11523</v>
          </cell>
          <cell r="E3036" t="str">
            <v>TINTAS BASE SOLVENTE P/MADERA</v>
          </cell>
        </row>
        <row r="3037">
          <cell r="A3037" t="str">
            <v>99-11524</v>
          </cell>
          <cell r="E3037" t="str">
            <v>TINTAS BASE SOLVENTE P/MADERA</v>
          </cell>
        </row>
        <row r="3038">
          <cell r="A3038" t="str">
            <v>99-11551</v>
          </cell>
          <cell r="E3038" t="str">
            <v>TINTAS BASE SOLVENTE P/MADERA</v>
          </cell>
        </row>
        <row r="3039">
          <cell r="A3039" t="str">
            <v>99-11553</v>
          </cell>
          <cell r="E3039" t="str">
            <v>TINTAS BASE SOLVENTE P/MADERA</v>
          </cell>
        </row>
        <row r="3040">
          <cell r="A3040" t="str">
            <v>99-11554</v>
          </cell>
          <cell r="E3040" t="str">
            <v>TINTAS BASE SOLVENTE P/MADERA</v>
          </cell>
        </row>
        <row r="3041">
          <cell r="A3041" t="str">
            <v>99-11561</v>
          </cell>
          <cell r="E3041" t="str">
            <v>TINTAS BASE SOLVENTE P/MADERA</v>
          </cell>
        </row>
        <row r="3042">
          <cell r="A3042" t="str">
            <v>99-11564</v>
          </cell>
          <cell r="E3042" t="str">
            <v>TINTAS BASE SOLVENTE P/MADERA</v>
          </cell>
        </row>
        <row r="3043">
          <cell r="A3043" t="str">
            <v>99-11594</v>
          </cell>
          <cell r="E3043" t="str">
            <v>TINTAS BASE SOLVENTE P/MADERA</v>
          </cell>
        </row>
        <row r="3044">
          <cell r="A3044" t="str">
            <v>99-11601</v>
          </cell>
          <cell r="E3044" t="str">
            <v>TINTAS BASE SOLVENTE P/MADERA</v>
          </cell>
        </row>
        <row r="3045">
          <cell r="A3045" t="str">
            <v>99-11603</v>
          </cell>
          <cell r="E3045" t="str">
            <v>TINTAS BASE SOLVENTE P/MADERA</v>
          </cell>
        </row>
        <row r="3046">
          <cell r="A3046" t="str">
            <v>99-11604</v>
          </cell>
          <cell r="E3046" t="str">
            <v>TINTAS BASE SOLVENTE P/MADERA</v>
          </cell>
        </row>
        <row r="3047">
          <cell r="A3047" t="str">
            <v>99-11605</v>
          </cell>
          <cell r="E3047" t="str">
            <v>TINTAS BASE SOLVENTE P/MADERA</v>
          </cell>
        </row>
        <row r="3048">
          <cell r="A3048" t="str">
            <v>99-11621</v>
          </cell>
          <cell r="E3048" t="str">
            <v>TINTAS BASE SOLVENTE P/MADERA</v>
          </cell>
        </row>
        <row r="3049">
          <cell r="A3049" t="str">
            <v>99-11623</v>
          </cell>
          <cell r="E3049" t="str">
            <v>TINTAS BASE SOLVENTE P/MADERA</v>
          </cell>
        </row>
        <row r="3050">
          <cell r="A3050" t="str">
            <v>99-11624</v>
          </cell>
          <cell r="E3050" t="str">
            <v>TINTAS BASE SOLVENTE P/MADERA</v>
          </cell>
        </row>
        <row r="3051">
          <cell r="A3051" t="str">
            <v>99-11625</v>
          </cell>
          <cell r="E3051" t="str">
            <v>TINTAS BASE SOLVENTE P/MADERA</v>
          </cell>
        </row>
        <row r="3052">
          <cell r="A3052" t="str">
            <v>99-11626</v>
          </cell>
          <cell r="E3052" t="str">
            <v>TINTAS BASE SOLVENTE P/MADERA</v>
          </cell>
        </row>
        <row r="3053">
          <cell r="A3053" t="str">
            <v>99-11641</v>
          </cell>
          <cell r="E3053" t="str">
            <v>TINTAS BASE SOLVENTE P/MADERA</v>
          </cell>
        </row>
        <row r="3054">
          <cell r="A3054" t="str">
            <v>99-11643</v>
          </cell>
          <cell r="E3054" t="str">
            <v>TINTAS BASE SOLVENTE P/MADERA</v>
          </cell>
        </row>
        <row r="3055">
          <cell r="A3055" t="str">
            <v>99-11644</v>
          </cell>
          <cell r="E3055" t="str">
            <v>TINTAS BASE SOLVENTE P/MADERA</v>
          </cell>
        </row>
        <row r="3056">
          <cell r="A3056" t="str">
            <v>99-11645</v>
          </cell>
          <cell r="E3056" t="str">
            <v>TINTAS BASE SOLVENTE P/MADERA</v>
          </cell>
        </row>
        <row r="3057">
          <cell r="A3057" t="str">
            <v>99-11651</v>
          </cell>
          <cell r="E3057" t="str">
            <v>TINTAS BASE SOLVENTE P/MADERA</v>
          </cell>
        </row>
        <row r="3058">
          <cell r="A3058" t="str">
            <v>99-11653</v>
          </cell>
          <cell r="E3058" t="str">
            <v>TINTAS BASE SOLVENTE P/MADERA</v>
          </cell>
        </row>
        <row r="3059">
          <cell r="A3059" t="str">
            <v>99-11654</v>
          </cell>
          <cell r="E3059" t="str">
            <v>TINTAS BASE SOLVENTE P/MADERA</v>
          </cell>
        </row>
        <row r="3060">
          <cell r="A3060" t="str">
            <v>99-11655</v>
          </cell>
          <cell r="E3060" t="str">
            <v>TINTAS BASE SOLVENTE P/MADERA</v>
          </cell>
        </row>
        <row r="3061">
          <cell r="A3061" t="str">
            <v>99-11656</v>
          </cell>
          <cell r="E3061" t="str">
            <v>TINTAS BASE SOLVENTE P/MADERA</v>
          </cell>
        </row>
        <row r="3062">
          <cell r="A3062" t="str">
            <v>99-11661</v>
          </cell>
          <cell r="E3062" t="str">
            <v>TINTAS BASE SOLVENTE P/MADERA</v>
          </cell>
        </row>
        <row r="3063">
          <cell r="A3063" t="str">
            <v>99-11663</v>
          </cell>
          <cell r="E3063" t="str">
            <v>TINTAS BASE SOLVENTE P/MADERA</v>
          </cell>
        </row>
        <row r="3064">
          <cell r="A3064" t="str">
            <v>99-11664</v>
          </cell>
          <cell r="E3064" t="str">
            <v>TINTAS BASE SOLVENTE P/MADERA</v>
          </cell>
        </row>
        <row r="3065">
          <cell r="A3065" t="str">
            <v>99-11674</v>
          </cell>
          <cell r="E3065" t="str">
            <v>TINTAS BASE SOLVENTE P/MADERA</v>
          </cell>
        </row>
        <row r="3066">
          <cell r="A3066" t="str">
            <v>99-11691</v>
          </cell>
          <cell r="E3066" t="str">
            <v>TINTAS BASE SOLVENTE P/MADERA</v>
          </cell>
        </row>
        <row r="3067">
          <cell r="A3067" t="str">
            <v>99-11693</v>
          </cell>
          <cell r="E3067" t="str">
            <v>TINTAS BASE SOLVENTE P/MADERA</v>
          </cell>
        </row>
        <row r="3068">
          <cell r="A3068" t="str">
            <v>99-11694</v>
          </cell>
          <cell r="E3068" t="str">
            <v>TINTAS BASE SOLVENTE P/MADERA</v>
          </cell>
        </row>
        <row r="3069">
          <cell r="A3069" t="str">
            <v>99-11695</v>
          </cell>
          <cell r="E3069" t="str">
            <v>TINTAS BASE SOLVENTE P/MADERA</v>
          </cell>
        </row>
        <row r="3070">
          <cell r="A3070" t="str">
            <v>99-11696</v>
          </cell>
          <cell r="E3070" t="str">
            <v>TINTAS BASE SOLVENTE P/MADERA</v>
          </cell>
        </row>
        <row r="3071">
          <cell r="A3071" t="str">
            <v>99-11701</v>
          </cell>
          <cell r="E3071" t="str">
            <v>TINTAS BASE SOLVENTE P/MADERA</v>
          </cell>
        </row>
        <row r="3072">
          <cell r="A3072" t="str">
            <v>99-11703</v>
          </cell>
          <cell r="E3072" t="str">
            <v>TINTAS BASE SOLVENTE P/MADERA</v>
          </cell>
        </row>
        <row r="3073">
          <cell r="A3073" t="str">
            <v>99-11711</v>
          </cell>
          <cell r="E3073" t="str">
            <v>TINTAS BASE SOLVENTE P/MADERA</v>
          </cell>
        </row>
        <row r="3074">
          <cell r="A3074" t="str">
            <v>99-11713</v>
          </cell>
          <cell r="E3074" t="str">
            <v>TINTAS BASE SOLVENTE P/MADERA</v>
          </cell>
        </row>
        <row r="3075">
          <cell r="A3075" t="str">
            <v>99-11731</v>
          </cell>
          <cell r="E3075" t="str">
            <v>TINTAS BASE SOLVENTE P/MADERA</v>
          </cell>
        </row>
        <row r="3076">
          <cell r="A3076" t="str">
            <v>99-11733</v>
          </cell>
          <cell r="E3076" t="str">
            <v>TINTAS BASE SOLVENTE P/MADERA</v>
          </cell>
        </row>
        <row r="3077">
          <cell r="A3077" t="str">
            <v>99-11741</v>
          </cell>
          <cell r="E3077" t="str">
            <v>TINTAS BASE SOLVENTE P/MADERA</v>
          </cell>
        </row>
        <row r="3078">
          <cell r="A3078" t="str">
            <v>99-11801</v>
          </cell>
          <cell r="E3078" t="str">
            <v>LACA NITRO AUTOMOTIVA</v>
          </cell>
        </row>
        <row r="3079">
          <cell r="A3079" t="str">
            <v>99-11803</v>
          </cell>
          <cell r="E3079" t="str">
            <v>LACA NITRO AUTOMOTIVA</v>
          </cell>
        </row>
        <row r="3080">
          <cell r="A3080" t="str">
            <v>99-12710</v>
          </cell>
          <cell r="E3080" t="str">
            <v>SELLADORES DE NITROCELULOSA</v>
          </cell>
        </row>
        <row r="3081">
          <cell r="A3081" t="str">
            <v>99-12711</v>
          </cell>
          <cell r="E3081" t="str">
            <v>SELLADORES DE NITROCELULOSA</v>
          </cell>
        </row>
        <row r="3082">
          <cell r="A3082" t="str">
            <v>99-12713</v>
          </cell>
          <cell r="E3082" t="str">
            <v>SELLADORES DE NITROCELULOSA</v>
          </cell>
        </row>
        <row r="3083">
          <cell r="A3083" t="str">
            <v>99-12721</v>
          </cell>
          <cell r="E3083" t="str">
            <v>SELLADORES ACRILICOS</v>
          </cell>
        </row>
        <row r="3084">
          <cell r="A3084" t="str">
            <v>99-12723</v>
          </cell>
          <cell r="E3084" t="str">
            <v>SELLADORES ACRILICOS</v>
          </cell>
        </row>
        <row r="3085">
          <cell r="A3085" t="str">
            <v>99-12724</v>
          </cell>
          <cell r="E3085" t="str">
            <v>SELLADORES ACRILICOS</v>
          </cell>
        </row>
        <row r="3086">
          <cell r="A3086" t="str">
            <v>99-12751</v>
          </cell>
          <cell r="E3086" t="str">
            <v>SELLADORES DE NITROCELULOSA</v>
          </cell>
        </row>
        <row r="3087">
          <cell r="A3087" t="str">
            <v>99-12753</v>
          </cell>
          <cell r="E3087" t="str">
            <v>SELLADORES DE NITROCELULOSA</v>
          </cell>
        </row>
        <row r="3088">
          <cell r="A3088" t="str">
            <v>99-12754</v>
          </cell>
          <cell r="E3088" t="str">
            <v>SELLADORES DE NITROCELULOSA</v>
          </cell>
        </row>
        <row r="3089">
          <cell r="A3089" t="str">
            <v>99-12760</v>
          </cell>
          <cell r="E3089" t="str">
            <v>SELLADORES DE NITROCELULOSA</v>
          </cell>
        </row>
        <row r="3090">
          <cell r="A3090" t="str">
            <v>99-12761</v>
          </cell>
          <cell r="E3090" t="str">
            <v>SELLADORES DE NITROCELULOSA</v>
          </cell>
        </row>
        <row r="3091">
          <cell r="A3091" t="str">
            <v>99-12763</v>
          </cell>
          <cell r="E3091" t="str">
            <v>SELLADORES DE NITROCELULOSA</v>
          </cell>
        </row>
        <row r="3092">
          <cell r="A3092" t="str">
            <v>99-12764</v>
          </cell>
          <cell r="E3092" t="str">
            <v>SELLADORES DE NITROCELULOSA</v>
          </cell>
        </row>
        <row r="3093">
          <cell r="A3093" t="str">
            <v>99-12770</v>
          </cell>
          <cell r="E3093" t="str">
            <v>SELLADORES DE NITROCELULOSA</v>
          </cell>
        </row>
        <row r="3094">
          <cell r="A3094" t="str">
            <v>99-12771</v>
          </cell>
          <cell r="E3094" t="str">
            <v>SELLADORES DE NITROCELULOSA</v>
          </cell>
        </row>
        <row r="3095">
          <cell r="A3095" t="str">
            <v>99-12773</v>
          </cell>
          <cell r="E3095" t="str">
            <v>SELLADORES DE NITROCELULOSA</v>
          </cell>
        </row>
        <row r="3096">
          <cell r="A3096" t="str">
            <v>99-12774</v>
          </cell>
          <cell r="E3096" t="str">
            <v>SELLADORES DE NITROCELULOSA</v>
          </cell>
        </row>
        <row r="3097">
          <cell r="A3097" t="str">
            <v>99-12790</v>
          </cell>
          <cell r="E3097" t="str">
            <v>SELLADORES DE NITROCELULOSA</v>
          </cell>
        </row>
        <row r="3098">
          <cell r="A3098" t="str">
            <v>99-12860</v>
          </cell>
          <cell r="E3098" t="str">
            <v>SELLADORES DE NITROCELULOSA</v>
          </cell>
        </row>
        <row r="3099">
          <cell r="A3099" t="str">
            <v>99-13000</v>
          </cell>
          <cell r="E3099" t="str">
            <v>LACA NITRO INDUSTRIAL</v>
          </cell>
        </row>
        <row r="3100">
          <cell r="A3100" t="str">
            <v>99-13001</v>
          </cell>
          <cell r="E3100" t="str">
            <v>LACA NITRO INDUSTRIAL</v>
          </cell>
        </row>
        <row r="3101">
          <cell r="A3101" t="str">
            <v>99-13003</v>
          </cell>
          <cell r="E3101" t="str">
            <v>LACA NITRO INDUSTRIAL</v>
          </cell>
        </row>
        <row r="3102">
          <cell r="A3102" t="str">
            <v>99-13004</v>
          </cell>
          <cell r="E3102" t="str">
            <v>LACA NITRO INDUSTRIAL</v>
          </cell>
        </row>
        <row r="3103">
          <cell r="A3103" t="str">
            <v>99-13151</v>
          </cell>
          <cell r="E3103" t="str">
            <v>LACA NITRO INDUSTRIAL</v>
          </cell>
        </row>
        <row r="3104">
          <cell r="A3104" t="str">
            <v>99-13153</v>
          </cell>
          <cell r="E3104" t="str">
            <v>LACA NITRO INDUSTRIAL</v>
          </cell>
        </row>
        <row r="3105">
          <cell r="A3105" t="str">
            <v>99-13154</v>
          </cell>
          <cell r="E3105" t="str">
            <v>LACA NITRO INDUSTRIAL</v>
          </cell>
        </row>
        <row r="3106">
          <cell r="A3106" t="str">
            <v>99-13161</v>
          </cell>
          <cell r="E3106" t="str">
            <v>LACA NITRO INDUSTRIAL</v>
          </cell>
        </row>
        <row r="3107">
          <cell r="A3107" t="str">
            <v>99-13261</v>
          </cell>
          <cell r="E3107" t="str">
            <v>LACA NITRO INDUSTRIAL</v>
          </cell>
        </row>
        <row r="3108">
          <cell r="A3108" t="str">
            <v>99-13263</v>
          </cell>
          <cell r="E3108" t="str">
            <v>LACA NITRO INDUSTRIAL</v>
          </cell>
        </row>
        <row r="3109">
          <cell r="A3109" t="str">
            <v>99-13264</v>
          </cell>
          <cell r="E3109" t="str">
            <v>LACA NITRO INDUSTRIAL</v>
          </cell>
        </row>
        <row r="3110">
          <cell r="A3110" t="str">
            <v>99-13351</v>
          </cell>
          <cell r="E3110" t="str">
            <v>LACA NITRO INDUSTRIAL</v>
          </cell>
        </row>
        <row r="3111">
          <cell r="A3111" t="str">
            <v>99-13353</v>
          </cell>
          <cell r="E3111" t="str">
            <v>LACA NITRO INDUSTRIAL</v>
          </cell>
        </row>
        <row r="3112">
          <cell r="A3112" t="str">
            <v>99-13354</v>
          </cell>
          <cell r="E3112" t="str">
            <v>LACA NITRO INDUSTRIAL</v>
          </cell>
        </row>
        <row r="3113">
          <cell r="A3113" t="str">
            <v>99-13440</v>
          </cell>
          <cell r="E3113" t="str">
            <v>LACA NITRO INDUSTRIAL</v>
          </cell>
        </row>
        <row r="3114">
          <cell r="A3114" t="str">
            <v>99-13441</v>
          </cell>
          <cell r="E3114" t="str">
            <v>LACA NITRO INDUSTRIAL</v>
          </cell>
        </row>
        <row r="3115">
          <cell r="A3115" t="str">
            <v>99-13443</v>
          </cell>
          <cell r="E3115" t="str">
            <v>LACA NITRO INDUSTRIAL</v>
          </cell>
        </row>
        <row r="3116">
          <cell r="A3116" t="str">
            <v>99-13444</v>
          </cell>
          <cell r="E3116" t="str">
            <v>LACA NITRO INDUSTRIAL</v>
          </cell>
        </row>
        <row r="3117">
          <cell r="A3117" t="str">
            <v>99-13471</v>
          </cell>
          <cell r="E3117" t="str">
            <v>LACA NITRO INDUSTRIAL</v>
          </cell>
        </row>
        <row r="3118">
          <cell r="A3118" t="str">
            <v>99-13473</v>
          </cell>
          <cell r="E3118" t="str">
            <v>LACA NITRO INDUSTRIAL</v>
          </cell>
        </row>
        <row r="3119">
          <cell r="A3119" t="str">
            <v>99-13474</v>
          </cell>
          <cell r="E3119" t="str">
            <v>LACA NITRO INDUSTRIAL</v>
          </cell>
        </row>
        <row r="3120">
          <cell r="A3120" t="str">
            <v>99-13500</v>
          </cell>
          <cell r="E3120" t="str">
            <v>LACA NITRO INDUSTRIAL</v>
          </cell>
        </row>
        <row r="3121">
          <cell r="A3121" t="str">
            <v>99-13501</v>
          </cell>
          <cell r="E3121" t="str">
            <v>LACA NITRO INDUSTRIAL</v>
          </cell>
        </row>
        <row r="3122">
          <cell r="A3122" t="str">
            <v>99-13503</v>
          </cell>
          <cell r="E3122" t="str">
            <v>LACA NITRO INDUSTRIAL</v>
          </cell>
        </row>
        <row r="3123">
          <cell r="A3123" t="str">
            <v>99-13504</v>
          </cell>
          <cell r="E3123" t="str">
            <v>LACA NITRO INDUSTRIAL</v>
          </cell>
        </row>
        <row r="3124">
          <cell r="A3124" t="str">
            <v>99-13520</v>
          </cell>
          <cell r="E3124" t="str">
            <v>LACA NITRO INDUSTRIAL</v>
          </cell>
        </row>
        <row r="3125">
          <cell r="A3125" t="str">
            <v>99-13521</v>
          </cell>
          <cell r="E3125" t="str">
            <v>LACA NITRO INDUSTRIAL</v>
          </cell>
        </row>
        <row r="3126">
          <cell r="A3126" t="str">
            <v>99-13531</v>
          </cell>
          <cell r="E3126" t="str">
            <v>LACA NITRO INDUSTRIAL</v>
          </cell>
        </row>
        <row r="3127">
          <cell r="A3127" t="str">
            <v>99-13571</v>
          </cell>
          <cell r="E3127" t="str">
            <v>LACA NITRO INDUSTRIAL</v>
          </cell>
        </row>
        <row r="3128">
          <cell r="A3128" t="str">
            <v>99-13580</v>
          </cell>
          <cell r="E3128" t="str">
            <v>LACA NITRO INDUSTRIAL</v>
          </cell>
        </row>
        <row r="3129">
          <cell r="A3129" t="str">
            <v>99-13581</v>
          </cell>
          <cell r="E3129" t="str">
            <v>LACA NITRO INDUSTRIAL</v>
          </cell>
        </row>
        <row r="3130">
          <cell r="A3130" t="str">
            <v>99-13583</v>
          </cell>
          <cell r="E3130" t="str">
            <v>LACA NITRO INDUSTRIAL</v>
          </cell>
        </row>
        <row r="3131">
          <cell r="A3131" t="str">
            <v>99-13584</v>
          </cell>
          <cell r="E3131" t="str">
            <v>LACA NITRO INDUSTRIAL</v>
          </cell>
        </row>
        <row r="3132">
          <cell r="A3132" t="str">
            <v>99-13621</v>
          </cell>
          <cell r="E3132" t="str">
            <v>LACA NITRO INDUSTRIAL</v>
          </cell>
        </row>
        <row r="3133">
          <cell r="A3133" t="str">
            <v>99-13623</v>
          </cell>
          <cell r="E3133" t="str">
            <v>LACA NITRO INDUSTRIAL</v>
          </cell>
        </row>
        <row r="3134">
          <cell r="A3134" t="str">
            <v>99-13624</v>
          </cell>
          <cell r="E3134" t="str">
            <v>LACA NITRO INDUSTRIAL</v>
          </cell>
        </row>
        <row r="3135">
          <cell r="A3135" t="str">
            <v>99-13771</v>
          </cell>
          <cell r="E3135" t="str">
            <v>LACA NITRO INDUSTRIAL</v>
          </cell>
        </row>
        <row r="3136">
          <cell r="A3136" t="str">
            <v>99-13773</v>
          </cell>
          <cell r="E3136" t="str">
            <v>LACA NITRO INDUSTRIAL</v>
          </cell>
        </row>
        <row r="3137">
          <cell r="A3137" t="str">
            <v>99-13774</v>
          </cell>
          <cell r="E3137" t="str">
            <v>LACA NITRO INDUSTRIAL</v>
          </cell>
        </row>
        <row r="3138">
          <cell r="A3138" t="str">
            <v>99-13811</v>
          </cell>
          <cell r="E3138" t="str">
            <v>LACA NITRO TRANSPARENTE SIGLO</v>
          </cell>
        </row>
        <row r="3139">
          <cell r="A3139" t="str">
            <v>99-13813</v>
          </cell>
          <cell r="E3139" t="str">
            <v>LACA NITRO TRANSPARENTE SIGLO</v>
          </cell>
        </row>
        <row r="3140">
          <cell r="A3140" t="str">
            <v>99-13821</v>
          </cell>
          <cell r="E3140" t="str">
            <v>LACA NITRO TRANSPARENTE SIGLO</v>
          </cell>
        </row>
        <row r="3141">
          <cell r="A3141" t="str">
            <v>99-13823</v>
          </cell>
          <cell r="E3141" t="str">
            <v>LACA NITRO TRANSPARENTE SIGLO</v>
          </cell>
        </row>
        <row r="3142">
          <cell r="A3142" t="str">
            <v>99-13833</v>
          </cell>
          <cell r="E3142" t="str">
            <v>LACA NITRO TRANSPARENTE SIGLO</v>
          </cell>
        </row>
        <row r="3143">
          <cell r="A3143" t="str">
            <v>99-13850</v>
          </cell>
          <cell r="E3143" t="str">
            <v>LACA NITRO TRANSPARENTE SIGLO</v>
          </cell>
        </row>
        <row r="3144">
          <cell r="A3144" t="str">
            <v>99-13851</v>
          </cell>
          <cell r="E3144" t="str">
            <v>LACA NITRO TRANSPARENTE SIGLO</v>
          </cell>
        </row>
        <row r="3145">
          <cell r="A3145" t="str">
            <v>99-13853</v>
          </cell>
          <cell r="E3145" t="str">
            <v>LACA NITRO TRANSPARENTE SIGLO</v>
          </cell>
        </row>
        <row r="3146">
          <cell r="A3146" t="str">
            <v>99-13854</v>
          </cell>
          <cell r="E3146" t="str">
            <v>LACA NITRO TRANSPARENTE SIGLO</v>
          </cell>
        </row>
        <row r="3147">
          <cell r="A3147" t="str">
            <v>99-13860</v>
          </cell>
          <cell r="E3147" t="str">
            <v>LACA ACRILICA</v>
          </cell>
        </row>
        <row r="3148">
          <cell r="A3148" t="str">
            <v>99-13861</v>
          </cell>
          <cell r="E3148" t="str">
            <v>LACA ACRILICA</v>
          </cell>
        </row>
        <row r="3149">
          <cell r="A3149" t="str">
            <v>99-13863</v>
          </cell>
          <cell r="E3149" t="str">
            <v>LACA ACRILICA</v>
          </cell>
        </row>
        <row r="3150">
          <cell r="A3150" t="str">
            <v>99-13864</v>
          </cell>
          <cell r="E3150" t="str">
            <v>LACA ACRILICA</v>
          </cell>
        </row>
        <row r="3151">
          <cell r="A3151" t="str">
            <v>99-13871</v>
          </cell>
          <cell r="E3151" t="str">
            <v>LACA NITRO TRANSPARENTE SIGLO</v>
          </cell>
        </row>
        <row r="3152">
          <cell r="A3152" t="str">
            <v>99-13873</v>
          </cell>
          <cell r="E3152" t="str">
            <v>LACA NITRO TRANSPARENTE SIGLO</v>
          </cell>
        </row>
        <row r="3153">
          <cell r="A3153" t="str">
            <v>99-13874</v>
          </cell>
          <cell r="E3153" t="str">
            <v>LACA NITRO TRANSPARENTE SIGLO</v>
          </cell>
        </row>
        <row r="3154">
          <cell r="A3154" t="str">
            <v>99-13903</v>
          </cell>
          <cell r="E3154" t="str">
            <v>MATIZANTE DE NITROCELULOSA</v>
          </cell>
        </row>
        <row r="3155">
          <cell r="A3155" t="str">
            <v>99-13904</v>
          </cell>
          <cell r="E3155" t="str">
            <v>MATIZANTE DE NITROCELULOSA</v>
          </cell>
        </row>
        <row r="3156">
          <cell r="A3156" t="str">
            <v>99-13931</v>
          </cell>
          <cell r="E3156" t="str">
            <v>MATIZANTES ALQUIDALICOS</v>
          </cell>
        </row>
        <row r="3157">
          <cell r="A3157" t="str">
            <v>99-13933</v>
          </cell>
          <cell r="E3157" t="str">
            <v>MATIZANTES ALQUIDALICOS</v>
          </cell>
        </row>
        <row r="3158">
          <cell r="A3158" t="str">
            <v>99-13934</v>
          </cell>
          <cell r="E3158" t="str">
            <v>MATIZANTES ALQUIDALICOS</v>
          </cell>
        </row>
        <row r="3159">
          <cell r="A3159" t="str">
            <v>99-13970</v>
          </cell>
          <cell r="E3159" t="str">
            <v>SELLADORES DE POLIURETANO</v>
          </cell>
        </row>
        <row r="3160">
          <cell r="A3160" t="str">
            <v>99-13971</v>
          </cell>
          <cell r="E3160" t="str">
            <v>SELLADORES DE POLIURETANO</v>
          </cell>
        </row>
        <row r="3161">
          <cell r="A3161" t="str">
            <v>99-13973</v>
          </cell>
          <cell r="E3161" t="str">
            <v>SELLADORES DE POLIURETANO</v>
          </cell>
        </row>
        <row r="3162">
          <cell r="A3162" t="str">
            <v>99-13974</v>
          </cell>
          <cell r="E3162" t="str">
            <v>SELLADORES DE POLIURETANO</v>
          </cell>
        </row>
        <row r="3163">
          <cell r="A3163" t="str">
            <v>99-13990</v>
          </cell>
          <cell r="E3163" t="str">
            <v>LACA NITRO INDUSTRIAL</v>
          </cell>
        </row>
        <row r="3164">
          <cell r="A3164" t="str">
            <v>99-13991</v>
          </cell>
          <cell r="E3164" t="str">
            <v>LACA NITRO INDUSTRIAL</v>
          </cell>
        </row>
        <row r="3165">
          <cell r="A3165" t="str">
            <v>99-13993</v>
          </cell>
          <cell r="E3165" t="str">
            <v>LACA NITRO INDUSTRIAL</v>
          </cell>
        </row>
        <row r="3166">
          <cell r="A3166" t="str">
            <v>99-13994</v>
          </cell>
          <cell r="E3166" t="str">
            <v>LACA NITRO INDUSTRIAL</v>
          </cell>
        </row>
        <row r="3167">
          <cell r="A3167" t="str">
            <v>99-14001</v>
          </cell>
          <cell r="E3167" t="str">
            <v>PRIMARIOS ESTRUCTURALES ALQUID</v>
          </cell>
        </row>
        <row r="3168">
          <cell r="A3168" t="str">
            <v>99-14241</v>
          </cell>
          <cell r="E3168" t="str">
            <v>BARNIZ DE POLIURETANO SIGLO</v>
          </cell>
        </row>
        <row r="3169">
          <cell r="A3169" t="str">
            <v>99-14243</v>
          </cell>
          <cell r="E3169" t="str">
            <v>BARNIZ DE POLIURETANO SIGLO</v>
          </cell>
        </row>
        <row r="3170">
          <cell r="A3170" t="str">
            <v>99-14244</v>
          </cell>
          <cell r="E3170" t="str">
            <v>BARNIZ DE POLIURETANO SIGLO</v>
          </cell>
        </row>
        <row r="3171">
          <cell r="A3171" t="str">
            <v>99-14583</v>
          </cell>
          <cell r="E3171" t="str">
            <v>SICLAS PARA MADERA SIGLO</v>
          </cell>
        </row>
        <row r="3172">
          <cell r="A3172" t="str">
            <v>99-14601</v>
          </cell>
          <cell r="E3172" t="str">
            <v>SICLAS PARA MADERA SIGLO</v>
          </cell>
        </row>
        <row r="3173">
          <cell r="A3173" t="str">
            <v>99-14691</v>
          </cell>
          <cell r="E3173" t="str">
            <v>SICLA Y DIPLOMADO</v>
          </cell>
        </row>
        <row r="3174">
          <cell r="A3174" t="str">
            <v>99-14693</v>
          </cell>
          <cell r="E3174" t="str">
            <v>SICLA Y DIPLOMADO</v>
          </cell>
        </row>
        <row r="3175">
          <cell r="A3175" t="str">
            <v>99-14711</v>
          </cell>
          <cell r="E3175" t="str">
            <v>SELLADORES DE POLIURETANO</v>
          </cell>
        </row>
        <row r="3176">
          <cell r="A3176" t="str">
            <v>99-14721</v>
          </cell>
          <cell r="E3176" t="str">
            <v>SELLADORES DE POLIURETANO</v>
          </cell>
        </row>
        <row r="3177">
          <cell r="A3177" t="str">
            <v>99-14723</v>
          </cell>
          <cell r="E3177" t="str">
            <v>SELLADORES DE POLIURETANO</v>
          </cell>
        </row>
        <row r="3178">
          <cell r="A3178" t="str">
            <v>99-14724</v>
          </cell>
          <cell r="E3178" t="str">
            <v>SELLADORES DE POLIURETANO</v>
          </cell>
        </row>
        <row r="3179">
          <cell r="A3179" t="str">
            <v>99-14731</v>
          </cell>
          <cell r="E3179" t="str">
            <v>SELLADORES DE POLIURETANO</v>
          </cell>
        </row>
        <row r="3180">
          <cell r="A3180" t="str">
            <v>99-14733</v>
          </cell>
          <cell r="E3180" t="str">
            <v>SELLADORES DE POLIURETANO</v>
          </cell>
        </row>
        <row r="3181">
          <cell r="A3181" t="str">
            <v>99-14734</v>
          </cell>
          <cell r="E3181" t="str">
            <v>SELLADORES DE POLIURETANO</v>
          </cell>
        </row>
        <row r="3182">
          <cell r="A3182" t="str">
            <v>99-14761</v>
          </cell>
          <cell r="E3182" t="str">
            <v>SELLADORES DE POLIURETANO</v>
          </cell>
        </row>
        <row r="3183">
          <cell r="A3183" t="str">
            <v>99-14763</v>
          </cell>
          <cell r="E3183" t="str">
            <v>SELLADORES DE POLIURETANO</v>
          </cell>
        </row>
        <row r="3184">
          <cell r="A3184" t="str">
            <v>99-14764</v>
          </cell>
          <cell r="E3184" t="str">
            <v>SELLADORES DE POLIURETANO</v>
          </cell>
        </row>
        <row r="3185">
          <cell r="A3185" t="str">
            <v>99-14801</v>
          </cell>
          <cell r="E3185" t="str">
            <v>BARNIZ DE POLIURETANO SIGLO</v>
          </cell>
        </row>
        <row r="3186">
          <cell r="A3186" t="str">
            <v>99-14803</v>
          </cell>
          <cell r="E3186" t="str">
            <v>BARNIZ DE POLIURETANO SIGLO</v>
          </cell>
        </row>
        <row r="3187">
          <cell r="A3187" t="str">
            <v>99-14804</v>
          </cell>
          <cell r="E3187" t="str">
            <v>BARNIZ DE POLIURETANO SIGLO</v>
          </cell>
        </row>
        <row r="3188">
          <cell r="A3188" t="str">
            <v>99-14811</v>
          </cell>
          <cell r="E3188" t="str">
            <v>BARNIZ DE POLIURETANO SIGLO</v>
          </cell>
        </row>
        <row r="3189">
          <cell r="A3189" t="str">
            <v>99-14813</v>
          </cell>
          <cell r="E3189" t="str">
            <v>SELLADORES DE NITROCELULOSA</v>
          </cell>
        </row>
        <row r="3190">
          <cell r="A3190" t="str">
            <v>99-14831</v>
          </cell>
          <cell r="E3190" t="str">
            <v>BARNIZ DE POLIURETANO SIGLO</v>
          </cell>
        </row>
        <row r="3191">
          <cell r="A3191" t="str">
            <v>99-14833</v>
          </cell>
          <cell r="E3191" t="str">
            <v>BARNIZ DE POLIURETANO SIGLO</v>
          </cell>
        </row>
        <row r="3192">
          <cell r="A3192" t="str">
            <v>99-14841</v>
          </cell>
          <cell r="E3192" t="str">
            <v>BARNIZ DE POLIURETANO SIGLO</v>
          </cell>
        </row>
        <row r="3193">
          <cell r="A3193" t="str">
            <v>99-14843</v>
          </cell>
          <cell r="E3193" t="str">
            <v>BARNIZ DE POLIURETANO SIGLO</v>
          </cell>
        </row>
        <row r="3194">
          <cell r="A3194" t="str">
            <v>99-14844</v>
          </cell>
          <cell r="E3194" t="str">
            <v>BARNIZ DE POLIURETANO SIGLO</v>
          </cell>
        </row>
        <row r="3195">
          <cell r="A3195" t="str">
            <v>99-14881</v>
          </cell>
          <cell r="E3195" t="str">
            <v>BARNIZ DE POLIURETANO SIGLO</v>
          </cell>
        </row>
        <row r="3196">
          <cell r="A3196" t="str">
            <v>99-14883</v>
          </cell>
          <cell r="E3196" t="str">
            <v>BARNIZ DE POLIURETANO SIGLO</v>
          </cell>
        </row>
        <row r="3197">
          <cell r="A3197" t="str">
            <v>99-14884</v>
          </cell>
          <cell r="E3197" t="str">
            <v>BARNIZ DE POLIURETANO SIGLO</v>
          </cell>
        </row>
        <row r="3198">
          <cell r="A3198" t="str">
            <v>99-14891</v>
          </cell>
          <cell r="E3198" t="str">
            <v>BARNIZ DE POLIURETANO SIGLO</v>
          </cell>
        </row>
        <row r="3199">
          <cell r="A3199" t="str">
            <v>99-14911</v>
          </cell>
          <cell r="E3199" t="str">
            <v>BARNIZ DE POLIURETANO SIGLO</v>
          </cell>
        </row>
        <row r="3200">
          <cell r="A3200" t="str">
            <v>99-14914</v>
          </cell>
          <cell r="E3200" t="str">
            <v>BARNIZ DE POLIURETANO SIGLO</v>
          </cell>
        </row>
        <row r="3201">
          <cell r="A3201" t="str">
            <v>99-14931</v>
          </cell>
          <cell r="E3201" t="str">
            <v>BARNIZ DE POLIURETANO SIGLO</v>
          </cell>
        </row>
        <row r="3202">
          <cell r="A3202" t="str">
            <v>99-14933</v>
          </cell>
          <cell r="E3202" t="str">
            <v>BARNIZ DE POLIURETANO SIGLO</v>
          </cell>
        </row>
        <row r="3203">
          <cell r="A3203" t="str">
            <v>99-14934</v>
          </cell>
          <cell r="E3203" t="str">
            <v>BARNIZ DE POLIURETANO SIGLO</v>
          </cell>
        </row>
        <row r="3204">
          <cell r="A3204" t="str">
            <v>99-14943</v>
          </cell>
          <cell r="E3204" t="str">
            <v>BARNIZ DE POLIURETANO SIGLO</v>
          </cell>
        </row>
        <row r="3205">
          <cell r="A3205" t="str">
            <v>99-14944</v>
          </cell>
          <cell r="E3205" t="str">
            <v>BARNIZ DE POLIURETANO SIGLO</v>
          </cell>
        </row>
        <row r="3206">
          <cell r="A3206" t="str">
            <v>99-14971</v>
          </cell>
          <cell r="E3206" t="str">
            <v>BARNIZ DE POLIURETANO SIGLO</v>
          </cell>
        </row>
        <row r="3207">
          <cell r="A3207" t="str">
            <v>99-14973</v>
          </cell>
          <cell r="E3207" t="str">
            <v>BARNIZ DE POLIURETANO SIGLO</v>
          </cell>
        </row>
        <row r="3208">
          <cell r="A3208" t="str">
            <v>99-14974</v>
          </cell>
          <cell r="E3208" t="str">
            <v>BARNIZ DE POLIURETANO SIGLO</v>
          </cell>
        </row>
        <row r="3209">
          <cell r="A3209" t="str">
            <v>99-14975</v>
          </cell>
          <cell r="E3209" t="str">
            <v>BARNIZ DE POLIURETANO SIGLO</v>
          </cell>
        </row>
        <row r="3210">
          <cell r="A3210" t="str">
            <v>99-15031</v>
          </cell>
          <cell r="E3210" t="str">
            <v>SELLADOR - SELLAPRISA</v>
          </cell>
        </row>
        <row r="3211">
          <cell r="A3211" t="str">
            <v>99-15033</v>
          </cell>
          <cell r="E3211" t="str">
            <v>SELLADOR - SELLAPRISA</v>
          </cell>
        </row>
        <row r="3212">
          <cell r="A3212" t="str">
            <v>99-15034</v>
          </cell>
          <cell r="E3212" t="str">
            <v>SELLADOR - SELLAPRISA</v>
          </cell>
        </row>
        <row r="3213">
          <cell r="A3213" t="str">
            <v>99-15090</v>
          </cell>
          <cell r="E3213" t="str">
            <v>PRIMARIOS ESTRUCTURALES ALQUID</v>
          </cell>
        </row>
        <row r="3214">
          <cell r="A3214" t="str">
            <v>99-15091</v>
          </cell>
          <cell r="E3214" t="str">
            <v>PRIMARIOS ESTRUCTURALES ALQUID</v>
          </cell>
        </row>
        <row r="3215">
          <cell r="A3215" t="str">
            <v>99-15271</v>
          </cell>
          <cell r="E3215" t="str">
            <v>PRIMARIOS ESTRUCTURALES ALQUID</v>
          </cell>
        </row>
        <row r="3216">
          <cell r="A3216" t="str">
            <v>99-15273</v>
          </cell>
          <cell r="E3216" t="str">
            <v>PRIMARIOS ESTRUCTURALES ALQUID</v>
          </cell>
        </row>
        <row r="3217">
          <cell r="A3217" t="str">
            <v>99-15274</v>
          </cell>
          <cell r="E3217" t="str">
            <v>PRIMARIOS ESTRUCTURALES ALQUID</v>
          </cell>
        </row>
        <row r="3218">
          <cell r="A3218" t="str">
            <v>99-15341</v>
          </cell>
          <cell r="E3218" t="str">
            <v>PRIMARIOS ESTRUCTURALES ALQUID</v>
          </cell>
        </row>
        <row r="3219">
          <cell r="A3219" t="str">
            <v>99-15343</v>
          </cell>
          <cell r="E3219" t="str">
            <v>PRIMARIOS ESTRUCTURALES ALQUID</v>
          </cell>
        </row>
        <row r="3220">
          <cell r="A3220" t="str">
            <v>99-15344</v>
          </cell>
          <cell r="E3220" t="str">
            <v>PRIMARIOS ESTRUCTURALES ALQUID</v>
          </cell>
        </row>
        <row r="3221">
          <cell r="A3221" t="str">
            <v>99-15361</v>
          </cell>
          <cell r="E3221" t="str">
            <v>PRIMARIOS ESTRUCTURALES ALQUID</v>
          </cell>
        </row>
        <row r="3222">
          <cell r="A3222" t="str">
            <v>99-15363</v>
          </cell>
          <cell r="E3222" t="str">
            <v>PRIMARIOS ESTRUCTURALES ALQUID</v>
          </cell>
        </row>
        <row r="3223">
          <cell r="A3223" t="str">
            <v>99-15364</v>
          </cell>
          <cell r="E3223" t="str">
            <v>PRIMARIOS ESTRUCTURALES ALQUID</v>
          </cell>
        </row>
        <row r="3224">
          <cell r="A3224" t="str">
            <v>99-15560</v>
          </cell>
          <cell r="E3224" t="str">
            <v>PRIMARIOS ESTRUCTURALES ALQUID</v>
          </cell>
        </row>
        <row r="3225">
          <cell r="A3225" t="str">
            <v>99-15561</v>
          </cell>
          <cell r="E3225" t="str">
            <v>PRIMARIOS ESTRUCTURALES ALQUID</v>
          </cell>
        </row>
        <row r="3226">
          <cell r="A3226" t="str">
            <v>99-15563</v>
          </cell>
          <cell r="E3226" t="str">
            <v>PRIMARIOS ESTRUCTURALES ALQUID</v>
          </cell>
        </row>
        <row r="3227">
          <cell r="A3227" t="str">
            <v>99-15564</v>
          </cell>
          <cell r="E3227" t="str">
            <v>PRIMARIOS ESTRUCTURALES ALQUID</v>
          </cell>
        </row>
        <row r="3228">
          <cell r="A3228" t="str">
            <v>99-15750</v>
          </cell>
          <cell r="E3228" t="str">
            <v>PINTURA PARA TRAFICO</v>
          </cell>
        </row>
        <row r="3229">
          <cell r="A3229" t="str">
            <v>99-15751</v>
          </cell>
          <cell r="E3229" t="str">
            <v>PINTURA PARA TRAFICO</v>
          </cell>
        </row>
        <row r="3230">
          <cell r="A3230" t="str">
            <v>99-15753</v>
          </cell>
          <cell r="E3230" t="str">
            <v>PINTURA PARA TRAFICO</v>
          </cell>
        </row>
        <row r="3231">
          <cell r="A3231" t="str">
            <v>99-15760</v>
          </cell>
          <cell r="E3231" t="str">
            <v>PINTURA PARA TRAFICO</v>
          </cell>
        </row>
        <row r="3232">
          <cell r="A3232" t="str">
            <v>99-15761</v>
          </cell>
          <cell r="E3232" t="str">
            <v>PINTURA PARA TRAFICO</v>
          </cell>
        </row>
        <row r="3233">
          <cell r="A3233" t="str">
            <v>99-15763</v>
          </cell>
          <cell r="E3233" t="str">
            <v>PINTURA PARA TRAFICO</v>
          </cell>
        </row>
        <row r="3234">
          <cell r="A3234" t="str">
            <v>99-15920</v>
          </cell>
          <cell r="E3234" t="str">
            <v>PRIMARIOS ESTRUCTURALES ALQUID</v>
          </cell>
        </row>
        <row r="3235">
          <cell r="A3235" t="str">
            <v>99-15921</v>
          </cell>
          <cell r="E3235" t="str">
            <v>PRIMARIOS ESTRUCTURALES ALQUID</v>
          </cell>
        </row>
        <row r="3236">
          <cell r="A3236" t="str">
            <v>99-15923</v>
          </cell>
          <cell r="E3236" t="str">
            <v>PRIMARIOS ESTRUCTURALES ALQUID</v>
          </cell>
        </row>
        <row r="3237">
          <cell r="A3237" t="str">
            <v>99-15930</v>
          </cell>
          <cell r="E3237" t="str">
            <v>PRIMARIOS ESTRUCTURALES ALQUID</v>
          </cell>
        </row>
        <row r="3238">
          <cell r="A3238" t="str">
            <v>99-15931</v>
          </cell>
          <cell r="E3238" t="str">
            <v>PRIMARIOS ESTRUCTURALES ALQUID</v>
          </cell>
        </row>
        <row r="3239">
          <cell r="A3239" t="str">
            <v>99-15933</v>
          </cell>
          <cell r="E3239" t="str">
            <v>PRIMARIOS ESTRUCTURALES ALQUID</v>
          </cell>
        </row>
        <row r="3240">
          <cell r="A3240" t="str">
            <v>99-15934</v>
          </cell>
          <cell r="E3240" t="str">
            <v>PRIMARIOS ESTRUCTURALES ALQUID</v>
          </cell>
        </row>
        <row r="3241">
          <cell r="A3241" t="str">
            <v>99-15990</v>
          </cell>
          <cell r="E3241" t="str">
            <v>PRIMARIOS ESTRUCTURALES ALQUID</v>
          </cell>
        </row>
        <row r="3242">
          <cell r="A3242" t="str">
            <v>99-15991</v>
          </cell>
          <cell r="E3242" t="str">
            <v>PRIMARIOS ESTRUCTURALES ALQUID</v>
          </cell>
        </row>
        <row r="3243">
          <cell r="A3243" t="str">
            <v>99-15993</v>
          </cell>
          <cell r="E3243" t="str">
            <v>PRIMARIOS ESTRUCTURALES ALQUID</v>
          </cell>
        </row>
        <row r="3244">
          <cell r="A3244" t="str">
            <v>99-15994</v>
          </cell>
          <cell r="E3244" t="str">
            <v>PRIMARIOS ESTRUCTURALES ALQUID</v>
          </cell>
        </row>
        <row r="3245">
          <cell r="A3245" t="str">
            <v>99-16000</v>
          </cell>
          <cell r="E3245" t="str">
            <v>ESMALTE DE HORNEO BASE SOLVENT</v>
          </cell>
        </row>
        <row r="3246">
          <cell r="A3246" t="str">
            <v>99-16001</v>
          </cell>
          <cell r="E3246" t="str">
            <v>ESMALTE DE HORNEO BASE SOLVENT</v>
          </cell>
        </row>
        <row r="3247">
          <cell r="A3247" t="str">
            <v>99-16003</v>
          </cell>
          <cell r="E3247" t="str">
            <v>ESMALTE DE HORNEO BASE SOLVENT</v>
          </cell>
        </row>
        <row r="3248">
          <cell r="A3248" t="str">
            <v>99-16140</v>
          </cell>
          <cell r="E3248" t="str">
            <v>ESMALTE DE HORNEO BASE SOLVENT</v>
          </cell>
        </row>
        <row r="3249">
          <cell r="A3249" t="str">
            <v>99-16141</v>
          </cell>
          <cell r="E3249" t="str">
            <v>ESMALTE DE HORNEO BASE SOLVENT</v>
          </cell>
        </row>
        <row r="3250">
          <cell r="A3250" t="str">
            <v>99-16151</v>
          </cell>
          <cell r="E3250" t="str">
            <v>ESMALTE DE HORNEO BASE SOLVENT</v>
          </cell>
        </row>
        <row r="3251">
          <cell r="A3251" t="str">
            <v>99-16170</v>
          </cell>
          <cell r="E3251" t="str">
            <v>ESMALTE DE HORNEO BASE SOLVENT</v>
          </cell>
        </row>
        <row r="3252">
          <cell r="A3252" t="str">
            <v>99-16171</v>
          </cell>
          <cell r="E3252" t="str">
            <v>ESMALTE DE HORNEO BASE SOLVENT</v>
          </cell>
        </row>
        <row r="3253">
          <cell r="A3253" t="str">
            <v>99-16221</v>
          </cell>
          <cell r="E3253" t="str">
            <v>ESMALTE DE HORNEO BASE SOLVENT</v>
          </cell>
        </row>
        <row r="3254">
          <cell r="A3254" t="str">
            <v>99-16350</v>
          </cell>
          <cell r="E3254" t="str">
            <v>ESMALTE DE HORNEO BASE SOLVENT</v>
          </cell>
        </row>
        <row r="3255">
          <cell r="A3255" t="str">
            <v>99-16351</v>
          </cell>
          <cell r="E3255" t="str">
            <v>ESMALTE DE HORNEO BASE SOLVENT</v>
          </cell>
        </row>
        <row r="3256">
          <cell r="A3256" t="str">
            <v>99-16440</v>
          </cell>
          <cell r="E3256" t="str">
            <v>ESMALTE DE HORNEO BASE SOLVENT</v>
          </cell>
        </row>
        <row r="3257">
          <cell r="A3257" t="str">
            <v>99-16441</v>
          </cell>
          <cell r="E3257" t="str">
            <v>ESMALTE DE HORNEO BASE SOLVENT</v>
          </cell>
        </row>
        <row r="3258">
          <cell r="A3258" t="str">
            <v>99-16450</v>
          </cell>
          <cell r="E3258" t="str">
            <v>ESMALTE DE HORNEO BASE SOLVENT</v>
          </cell>
        </row>
        <row r="3259">
          <cell r="A3259" t="str">
            <v>99-16451</v>
          </cell>
          <cell r="E3259" t="str">
            <v>ESMALTE DE HORNEO BASE SOLVENT</v>
          </cell>
        </row>
        <row r="3260">
          <cell r="A3260" t="str">
            <v>99-16480</v>
          </cell>
          <cell r="E3260" t="str">
            <v>ESMALTE DE HORNEO BASE SOLVENT</v>
          </cell>
        </row>
        <row r="3261">
          <cell r="A3261" t="str">
            <v>99-16600</v>
          </cell>
          <cell r="E3261" t="str">
            <v>ESMALTE DE HORNEO BASE SOLVENT</v>
          </cell>
        </row>
        <row r="3262">
          <cell r="A3262" t="str">
            <v>99-16601</v>
          </cell>
          <cell r="E3262" t="str">
            <v>ESMALTE DE HORNEO BASE SOLVENT</v>
          </cell>
        </row>
        <row r="3263">
          <cell r="A3263" t="str">
            <v>99-16610</v>
          </cell>
          <cell r="E3263" t="str">
            <v>ESMALTE DE HORNEO BASE SOLVENT</v>
          </cell>
        </row>
        <row r="3264">
          <cell r="A3264" t="str">
            <v>99-16611</v>
          </cell>
          <cell r="E3264" t="str">
            <v>ESMALTE DE HORNEO BASE SOLVENT</v>
          </cell>
        </row>
        <row r="3265">
          <cell r="A3265" t="str">
            <v>99-16690</v>
          </cell>
          <cell r="E3265" t="str">
            <v>ESMALTE DE HORNEO BASE SOLVENT</v>
          </cell>
        </row>
        <row r="3266">
          <cell r="A3266" t="str">
            <v>99-16691</v>
          </cell>
          <cell r="E3266" t="str">
            <v>ESMALTE DE HORNEO BASE SOLVENT</v>
          </cell>
        </row>
        <row r="3267">
          <cell r="A3267" t="str">
            <v>99-1669TB</v>
          </cell>
          <cell r="E3267" t="str">
            <v>ESMALTE DE HORNEO BASE SOLVENT</v>
          </cell>
        </row>
        <row r="3268">
          <cell r="A3268" t="str">
            <v>99-16700</v>
          </cell>
          <cell r="E3268" t="str">
            <v>ESMALTE DE HORNEO BASE SOLVENT</v>
          </cell>
        </row>
        <row r="3269">
          <cell r="A3269" t="str">
            <v>99-16701</v>
          </cell>
          <cell r="E3269" t="str">
            <v>ESMALTE DE HORNEO BASE SOLVENT</v>
          </cell>
        </row>
        <row r="3270">
          <cell r="A3270" t="str">
            <v>99-16830</v>
          </cell>
          <cell r="E3270" t="str">
            <v>ESMALTE DE HORNEO BASE SOLVENT</v>
          </cell>
        </row>
        <row r="3271">
          <cell r="A3271" t="str">
            <v>99-16831</v>
          </cell>
          <cell r="E3271" t="str">
            <v>ESMALTE DE HORNEO BASE SOLVENT</v>
          </cell>
        </row>
        <row r="3272">
          <cell r="A3272" t="str">
            <v>99-16850</v>
          </cell>
          <cell r="E3272" t="str">
            <v>ACABADO MARTILLADO HORNEO</v>
          </cell>
        </row>
        <row r="3273">
          <cell r="A3273" t="str">
            <v>99-16851</v>
          </cell>
          <cell r="E3273" t="str">
            <v>ACABADO MARTILLADO HORNEO</v>
          </cell>
        </row>
        <row r="3274">
          <cell r="A3274" t="str">
            <v>99-16890</v>
          </cell>
          <cell r="E3274" t="str">
            <v>ESMALTE DE HORNEO BASE SOLVENT</v>
          </cell>
        </row>
        <row r="3275">
          <cell r="A3275" t="str">
            <v>99-16891</v>
          </cell>
          <cell r="E3275" t="str">
            <v>ESMALTE DE HORNEO BASE SOLVENT</v>
          </cell>
        </row>
        <row r="3276">
          <cell r="A3276" t="str">
            <v>99-16910</v>
          </cell>
          <cell r="E3276" t="str">
            <v>ESMALTE DE HORNEO BASE SOLVENT</v>
          </cell>
        </row>
        <row r="3277">
          <cell r="A3277" t="str">
            <v>99-16911</v>
          </cell>
          <cell r="E3277" t="str">
            <v>ESMALTE DE HORNEO BASE SOLVENT</v>
          </cell>
        </row>
        <row r="3278">
          <cell r="A3278" t="str">
            <v>99-16980</v>
          </cell>
          <cell r="E3278" t="str">
            <v>ESMALTE DE HORNEO BASE SOLVENT</v>
          </cell>
        </row>
        <row r="3279">
          <cell r="A3279" t="str">
            <v>99-16981</v>
          </cell>
          <cell r="E3279" t="str">
            <v>ESMALTE DE HORNEO BASE SOLVENT</v>
          </cell>
        </row>
        <row r="3280">
          <cell r="A3280" t="str">
            <v>99-16990</v>
          </cell>
          <cell r="E3280" t="str">
            <v>ESMALTE DE HORNEO BASE SOLVENT</v>
          </cell>
        </row>
        <row r="3281">
          <cell r="A3281" t="str">
            <v>99-16991</v>
          </cell>
          <cell r="E3281" t="str">
            <v>ESMALTE DE HORNEO BASE SOLVENT</v>
          </cell>
        </row>
        <row r="3282">
          <cell r="A3282" t="str">
            <v>99-17000</v>
          </cell>
          <cell r="E3282" t="str">
            <v>ESM SECADO RAPIDO BASE SOLVENT</v>
          </cell>
        </row>
        <row r="3283">
          <cell r="A3283" t="str">
            <v>99-17001</v>
          </cell>
          <cell r="E3283" t="str">
            <v>ESM SECADO RAPIDO BASE SOLVENT</v>
          </cell>
        </row>
        <row r="3284">
          <cell r="A3284" t="str">
            <v>99-17003</v>
          </cell>
          <cell r="E3284" t="str">
            <v>ESM SECADO RAPIDO BASE SOLVENT</v>
          </cell>
        </row>
        <row r="3285">
          <cell r="A3285" t="str">
            <v>99-17004</v>
          </cell>
          <cell r="E3285" t="str">
            <v>ESM SECADO RAPIDO BASE SOLVENT</v>
          </cell>
        </row>
        <row r="3286">
          <cell r="A3286" t="str">
            <v>99-17021</v>
          </cell>
          <cell r="E3286" t="str">
            <v>ESM SECADO RAPIDO BASE SOLVENT</v>
          </cell>
        </row>
        <row r="3287">
          <cell r="A3287" t="str">
            <v>99-17030</v>
          </cell>
          <cell r="E3287" t="str">
            <v>PINTURA PARA TRAFICO</v>
          </cell>
        </row>
        <row r="3288">
          <cell r="A3288" t="str">
            <v>99-17031</v>
          </cell>
          <cell r="E3288" t="str">
            <v>PINTURA PARA TRAFICO</v>
          </cell>
        </row>
        <row r="3289">
          <cell r="A3289" t="str">
            <v>99-17033</v>
          </cell>
          <cell r="E3289" t="str">
            <v>PINTURA PARA TRAFICO</v>
          </cell>
        </row>
        <row r="3290">
          <cell r="A3290" t="str">
            <v>99-17070</v>
          </cell>
          <cell r="E3290" t="str">
            <v>ESM SECADO RAPIDO BASE SOLVENT</v>
          </cell>
        </row>
        <row r="3291">
          <cell r="A3291" t="str">
            <v>99-17071</v>
          </cell>
          <cell r="E3291" t="str">
            <v>ESM SECADO RAPIDO BASE SOLVENT</v>
          </cell>
        </row>
        <row r="3292">
          <cell r="A3292" t="str">
            <v>99-17073</v>
          </cell>
          <cell r="E3292" t="str">
            <v>ESM SECADO RAPIDO BASE SOLVENT</v>
          </cell>
        </row>
        <row r="3293">
          <cell r="A3293" t="str">
            <v>99-17131</v>
          </cell>
          <cell r="E3293" t="str">
            <v>ESM SECADO RAPIDO BASE SOLVENT</v>
          </cell>
        </row>
        <row r="3294">
          <cell r="A3294" t="str">
            <v>99-17133</v>
          </cell>
          <cell r="E3294" t="str">
            <v>ESM SECADO RAPIDO BASE SOLVENT</v>
          </cell>
        </row>
        <row r="3295">
          <cell r="A3295" t="str">
            <v>99-17140</v>
          </cell>
          <cell r="E3295" t="str">
            <v>ESM SECADO RAPIDO BASE SOLVENT</v>
          </cell>
        </row>
        <row r="3296">
          <cell r="A3296" t="str">
            <v>99-17141</v>
          </cell>
          <cell r="E3296" t="str">
            <v>ESM SECADO RAPIDO BASE SOLVENT</v>
          </cell>
        </row>
        <row r="3297">
          <cell r="A3297" t="str">
            <v>99-17143</v>
          </cell>
          <cell r="E3297" t="str">
            <v>ESM SECADO RAPIDO BASE SOLVENT</v>
          </cell>
        </row>
        <row r="3298">
          <cell r="A3298" t="str">
            <v>99-17144</v>
          </cell>
          <cell r="E3298" t="str">
            <v>ESM SECADO RAPIDO BASE SOLVENT</v>
          </cell>
        </row>
        <row r="3299">
          <cell r="A3299" t="str">
            <v>99-17151</v>
          </cell>
          <cell r="E3299" t="str">
            <v>ESM SECADO RAPIDO BASE SOLVENT</v>
          </cell>
        </row>
        <row r="3300">
          <cell r="A3300" t="str">
            <v>99-17153</v>
          </cell>
          <cell r="E3300" t="str">
            <v>ESM SECADO RAPIDO BASE SOLVENT</v>
          </cell>
        </row>
        <row r="3301">
          <cell r="A3301" t="str">
            <v>99-17154</v>
          </cell>
          <cell r="E3301" t="str">
            <v>ESM SECADO RAPIDO BASE SOLVENT</v>
          </cell>
        </row>
        <row r="3302">
          <cell r="A3302" t="str">
            <v>99-17160</v>
          </cell>
          <cell r="E3302" t="str">
            <v>PINTURA PARA TRAFICO</v>
          </cell>
        </row>
        <row r="3303">
          <cell r="A3303" t="str">
            <v>99-17161</v>
          </cell>
          <cell r="E3303" t="str">
            <v>PINTURA PARA TRAFICO</v>
          </cell>
        </row>
        <row r="3304">
          <cell r="A3304" t="str">
            <v>99-17163</v>
          </cell>
          <cell r="E3304" t="str">
            <v>PINTURA PARA TRAFICO</v>
          </cell>
        </row>
        <row r="3305">
          <cell r="A3305" t="str">
            <v>99-17170</v>
          </cell>
          <cell r="E3305" t="str">
            <v>ESM SECADO RAPIDO BASE SOLVENT</v>
          </cell>
        </row>
        <row r="3306">
          <cell r="A3306" t="str">
            <v>99-17171</v>
          </cell>
          <cell r="E3306" t="str">
            <v>ESM SECADO RAPIDO BASE SOLVENT</v>
          </cell>
        </row>
        <row r="3307">
          <cell r="A3307" t="str">
            <v>99-17173</v>
          </cell>
          <cell r="E3307" t="str">
            <v>ESM SECADO RAPIDO BASE SOLVENT</v>
          </cell>
        </row>
        <row r="3308">
          <cell r="A3308" t="str">
            <v>99-17210</v>
          </cell>
          <cell r="E3308" t="str">
            <v>ESM SECADO RAPIDO BASE SOLVENT</v>
          </cell>
        </row>
        <row r="3309">
          <cell r="A3309" t="str">
            <v>99-17211</v>
          </cell>
          <cell r="E3309" t="str">
            <v>ESM SECADO RAPIDO BASE SOLVENT</v>
          </cell>
        </row>
        <row r="3310">
          <cell r="A3310" t="str">
            <v>99-17213</v>
          </cell>
          <cell r="E3310" t="str">
            <v>ESM SECADO RAPIDO BASE SOLVENT</v>
          </cell>
        </row>
        <row r="3311">
          <cell r="A3311" t="str">
            <v>99-17214</v>
          </cell>
          <cell r="E3311" t="str">
            <v>ESM SECADO RAPIDO BASE SOLVENT</v>
          </cell>
        </row>
        <row r="3312">
          <cell r="A3312" t="str">
            <v>99-17240</v>
          </cell>
          <cell r="E3312" t="str">
            <v>ESM SECADO RAPIDO BASE SOLVENT</v>
          </cell>
        </row>
        <row r="3313">
          <cell r="A3313" t="str">
            <v>99-17241</v>
          </cell>
          <cell r="E3313" t="str">
            <v>ESM SECADO RAPIDO BASE SOLVENT</v>
          </cell>
        </row>
        <row r="3314">
          <cell r="A3314" t="str">
            <v>99-17243</v>
          </cell>
          <cell r="E3314" t="str">
            <v>ESM SECADO RAPIDO BASE SOLVENT</v>
          </cell>
        </row>
        <row r="3315">
          <cell r="A3315" t="str">
            <v>99-17261</v>
          </cell>
          <cell r="E3315" t="str">
            <v>ESM SECADO RAPIDO BASE SOLVENT</v>
          </cell>
        </row>
        <row r="3316">
          <cell r="A3316" t="str">
            <v>99-17263</v>
          </cell>
          <cell r="E3316" t="str">
            <v>ESM SECADO RAPIDO BASE SOLVENT</v>
          </cell>
        </row>
        <row r="3317">
          <cell r="A3317" t="str">
            <v>99-17264</v>
          </cell>
          <cell r="E3317" t="str">
            <v>ESM SECADO RAPIDO BASE SOLVENT</v>
          </cell>
        </row>
        <row r="3318">
          <cell r="A3318" t="str">
            <v>99-17350</v>
          </cell>
          <cell r="E3318" t="str">
            <v>ESM SECADO RAPIDO BASE SOLVENT</v>
          </cell>
        </row>
        <row r="3319">
          <cell r="A3319" t="str">
            <v>99-17351</v>
          </cell>
          <cell r="E3319" t="str">
            <v>ESM SECADO RAPIDO BASE SOLVENT</v>
          </cell>
        </row>
        <row r="3320">
          <cell r="A3320" t="str">
            <v>99-17353</v>
          </cell>
          <cell r="E3320" t="str">
            <v>ESM SECADO RAPIDO BASE SOLVENT</v>
          </cell>
        </row>
        <row r="3321">
          <cell r="A3321" t="str">
            <v>99-17354</v>
          </cell>
          <cell r="E3321" t="str">
            <v>ESM SECADO RAPIDO BASE SOLVENT</v>
          </cell>
        </row>
        <row r="3322">
          <cell r="A3322" t="str">
            <v>99-17450</v>
          </cell>
          <cell r="E3322" t="str">
            <v>ESM SECADO RAPIDO BASE SOLVENT</v>
          </cell>
        </row>
        <row r="3323">
          <cell r="A3323" t="str">
            <v>99-17451</v>
          </cell>
          <cell r="E3323" t="str">
            <v>ESM SECADO RAPIDO BASE SOLVENT</v>
          </cell>
        </row>
        <row r="3324">
          <cell r="A3324" t="str">
            <v>99-17453</v>
          </cell>
          <cell r="E3324" t="str">
            <v>ESM SECADO RAPIDO BASE SOLVENT</v>
          </cell>
        </row>
        <row r="3325">
          <cell r="A3325" t="str">
            <v>99-17454</v>
          </cell>
          <cell r="E3325" t="str">
            <v>ESM SECADO RAPIDO BASE SOLVENT</v>
          </cell>
        </row>
        <row r="3326">
          <cell r="A3326" t="str">
            <v>99-17550</v>
          </cell>
          <cell r="E3326" t="str">
            <v>PINTURA PARA TRAFICO</v>
          </cell>
        </row>
        <row r="3327">
          <cell r="A3327" t="str">
            <v>99-17551</v>
          </cell>
          <cell r="E3327" t="str">
            <v>PINTURA PARA TRAFICO</v>
          </cell>
        </row>
        <row r="3328">
          <cell r="A3328" t="str">
            <v>99-17560</v>
          </cell>
          <cell r="E3328" t="str">
            <v>ESM SECADO RAPIDO BASE SOLVENT</v>
          </cell>
        </row>
        <row r="3329">
          <cell r="A3329" t="str">
            <v>99-17561</v>
          </cell>
          <cell r="E3329" t="str">
            <v>ESM SECADO RAPIDO BASE SOLVENT</v>
          </cell>
        </row>
        <row r="3330">
          <cell r="A3330" t="str">
            <v>99-17563</v>
          </cell>
          <cell r="E3330" t="str">
            <v>ESM SECADO RAPIDO BASE SOLVENT</v>
          </cell>
        </row>
        <row r="3331">
          <cell r="A3331" t="str">
            <v>99-17564</v>
          </cell>
          <cell r="E3331" t="str">
            <v>ESM SECADO RAPIDO BASE SOLVENT</v>
          </cell>
        </row>
        <row r="3332">
          <cell r="A3332" t="str">
            <v>99-17581</v>
          </cell>
          <cell r="E3332" t="str">
            <v>ESM SECADO RAPIDO BASE SOLVENT</v>
          </cell>
        </row>
        <row r="3333">
          <cell r="A3333" t="str">
            <v>99-17583</v>
          </cell>
          <cell r="E3333" t="str">
            <v>ESM SECADO RAPIDO BASE SOLVENT</v>
          </cell>
        </row>
        <row r="3334">
          <cell r="A3334" t="str">
            <v>99-17640</v>
          </cell>
          <cell r="E3334" t="str">
            <v>ESM SECADO RAPIDO BASE SOLVENT</v>
          </cell>
        </row>
        <row r="3335">
          <cell r="A3335" t="str">
            <v>99-17641</v>
          </cell>
          <cell r="E3335" t="str">
            <v>ESM SECADO RAPIDO BASE SOLVENT</v>
          </cell>
        </row>
        <row r="3336">
          <cell r="A3336" t="str">
            <v>99-17643</v>
          </cell>
          <cell r="E3336" t="str">
            <v>ESM SECADO RAPIDO BASE SOLVENT</v>
          </cell>
        </row>
        <row r="3337">
          <cell r="A3337" t="str">
            <v>99-17644</v>
          </cell>
          <cell r="E3337" t="str">
            <v>ESM SECADO RAPIDO BASE SOLVENT</v>
          </cell>
        </row>
        <row r="3338">
          <cell r="A3338" t="str">
            <v>99-17650</v>
          </cell>
          <cell r="E3338" t="str">
            <v>ESM SECADO RAPIDO BASE SOLVENT</v>
          </cell>
        </row>
        <row r="3339">
          <cell r="A3339" t="str">
            <v>99-17651</v>
          </cell>
          <cell r="E3339" t="str">
            <v>ESM SECADO RAPIDO BASE SOLVENT</v>
          </cell>
        </row>
        <row r="3340">
          <cell r="A3340" t="str">
            <v>99-17653</v>
          </cell>
          <cell r="E3340" t="str">
            <v>ESM SECADO RAPIDO BASE SOLVENT</v>
          </cell>
        </row>
        <row r="3341">
          <cell r="A3341" t="str">
            <v>99-17690</v>
          </cell>
          <cell r="E3341" t="str">
            <v>ESM SECADO RAPIDO BASE SOLVENT</v>
          </cell>
        </row>
        <row r="3342">
          <cell r="A3342" t="str">
            <v>99-17691</v>
          </cell>
          <cell r="E3342" t="str">
            <v>ESM SECADO RAPIDO BASE SOLVENT</v>
          </cell>
        </row>
        <row r="3343">
          <cell r="A3343" t="str">
            <v>99-17693</v>
          </cell>
          <cell r="E3343" t="str">
            <v>ESM SECADO RAPIDO BASE SOLVENT</v>
          </cell>
        </row>
        <row r="3344">
          <cell r="A3344" t="str">
            <v>99-17694</v>
          </cell>
          <cell r="E3344" t="str">
            <v>ESM SECADO RAPIDO BASE SOLVENT</v>
          </cell>
        </row>
        <row r="3345">
          <cell r="A3345" t="str">
            <v>99-17721</v>
          </cell>
          <cell r="E3345" t="str">
            <v>ESM SECADO RAPIDO BASE SOLVENT</v>
          </cell>
        </row>
        <row r="3346">
          <cell r="A3346" t="str">
            <v>99-17723</v>
          </cell>
          <cell r="E3346" t="str">
            <v>ESM SECADO RAPIDO BASE SOLVENT</v>
          </cell>
        </row>
        <row r="3347">
          <cell r="A3347" t="str">
            <v>99-17724</v>
          </cell>
          <cell r="E3347" t="str">
            <v>ESM SECADO RAPIDO BASE SOLVENT</v>
          </cell>
        </row>
        <row r="3348">
          <cell r="A3348" t="str">
            <v>99-17740</v>
          </cell>
          <cell r="E3348" t="str">
            <v>ESM SECADO RAPIDO BASE SOLVENT</v>
          </cell>
        </row>
        <row r="3349">
          <cell r="A3349" t="str">
            <v>99-17741</v>
          </cell>
          <cell r="E3349" t="str">
            <v>ESM SECADO RAPIDO BASE SOLVENT</v>
          </cell>
        </row>
        <row r="3350">
          <cell r="A3350" t="str">
            <v>99-17743</v>
          </cell>
          <cell r="E3350" t="str">
            <v>ESM SECADO RAPIDO BASE SOLVENT</v>
          </cell>
        </row>
        <row r="3351">
          <cell r="A3351" t="str">
            <v>99-17790</v>
          </cell>
          <cell r="E3351" t="str">
            <v>ESM SECADO RAPIDO BASE SOLVENT</v>
          </cell>
        </row>
        <row r="3352">
          <cell r="A3352" t="str">
            <v>99-17791</v>
          </cell>
          <cell r="E3352" t="str">
            <v>ESM SECADO RAPIDO BASE SOLVENT</v>
          </cell>
        </row>
        <row r="3353">
          <cell r="A3353" t="str">
            <v>99-17793</v>
          </cell>
          <cell r="E3353" t="str">
            <v>ESM SECADO RAPIDO BASE SOLVENT</v>
          </cell>
        </row>
        <row r="3354">
          <cell r="A3354" t="str">
            <v>99-17794</v>
          </cell>
          <cell r="E3354" t="str">
            <v>ESM SECADO RAPIDO BASE SOLVENT</v>
          </cell>
        </row>
        <row r="3355">
          <cell r="A3355" t="str">
            <v>99-17800</v>
          </cell>
          <cell r="E3355" t="str">
            <v>BARNIZ DE SECADO RAPIDO SIGLO</v>
          </cell>
        </row>
        <row r="3356">
          <cell r="A3356" t="str">
            <v>99-17801</v>
          </cell>
          <cell r="E3356" t="str">
            <v>BARNIZ DE SECADO RAPIDO SIGLO</v>
          </cell>
        </row>
        <row r="3357">
          <cell r="A3357" t="str">
            <v>99-17803</v>
          </cell>
          <cell r="E3357" t="str">
            <v>BARNIZ DE SECADO RAPIDO SIGLO</v>
          </cell>
        </row>
        <row r="3358">
          <cell r="A3358" t="str">
            <v>99-17804</v>
          </cell>
          <cell r="E3358" t="str">
            <v>BARNIZ DE SECADO RAPIDO SIGLO</v>
          </cell>
        </row>
        <row r="3359">
          <cell r="A3359" t="str">
            <v>99-17820</v>
          </cell>
          <cell r="E3359" t="str">
            <v>ESM SECADO RAPIDO BASE SOLVENT</v>
          </cell>
        </row>
        <row r="3360">
          <cell r="A3360" t="str">
            <v>99-17821</v>
          </cell>
          <cell r="E3360" t="str">
            <v>ESM SECADO RAPIDO BASE SOLVENT</v>
          </cell>
        </row>
        <row r="3361">
          <cell r="A3361" t="str">
            <v>99-17823</v>
          </cell>
          <cell r="E3361" t="str">
            <v>ESM SECADO RAPIDO BASE SOLVENT</v>
          </cell>
        </row>
        <row r="3362">
          <cell r="A3362" t="str">
            <v>99-17911</v>
          </cell>
          <cell r="E3362" t="str">
            <v>ESM SECADO RAPIDO BASE SOLVENT</v>
          </cell>
        </row>
        <row r="3363">
          <cell r="A3363" t="str">
            <v>99-17913</v>
          </cell>
          <cell r="E3363" t="str">
            <v>ESM SECADO RAPIDO BASE SOLVENT</v>
          </cell>
        </row>
        <row r="3364">
          <cell r="A3364" t="str">
            <v>99-17920</v>
          </cell>
          <cell r="E3364" t="str">
            <v>ESM SECADO RAPIDO BASE SOLVENT</v>
          </cell>
        </row>
        <row r="3365">
          <cell r="A3365" t="str">
            <v>99-17921</v>
          </cell>
          <cell r="E3365" t="str">
            <v>ESM SECADO RAPIDO BASE SOLVENT</v>
          </cell>
        </row>
        <row r="3366">
          <cell r="A3366" t="str">
            <v>99-17923</v>
          </cell>
          <cell r="E3366" t="str">
            <v>ESM SECADO RAPIDO BASE SOLVENT</v>
          </cell>
        </row>
        <row r="3367">
          <cell r="A3367" t="str">
            <v>99-17930</v>
          </cell>
          <cell r="E3367" t="str">
            <v>ESM SECADO RAPIDO BASE SOLVENT</v>
          </cell>
        </row>
        <row r="3368">
          <cell r="A3368" t="str">
            <v>99-17931</v>
          </cell>
          <cell r="E3368" t="str">
            <v>ESM SECADO RAPIDO BASE SOLVENT</v>
          </cell>
        </row>
        <row r="3369">
          <cell r="A3369" t="str">
            <v>99-17933</v>
          </cell>
          <cell r="E3369" t="str">
            <v>ESM SECADO RAPIDO BASE SOLVENT</v>
          </cell>
        </row>
        <row r="3370">
          <cell r="A3370" t="str">
            <v>99-17934</v>
          </cell>
          <cell r="E3370" t="str">
            <v>ESM SECADO RAPIDO BASE SOLVENT</v>
          </cell>
        </row>
        <row r="3371">
          <cell r="A3371" t="str">
            <v>99-17970</v>
          </cell>
          <cell r="E3371" t="str">
            <v>PINTURA PARA TRAFICO</v>
          </cell>
        </row>
        <row r="3372">
          <cell r="A3372" t="str">
            <v>99-17971</v>
          </cell>
          <cell r="E3372" t="str">
            <v>PINTURA PARA TRAFICO</v>
          </cell>
        </row>
        <row r="3373">
          <cell r="A3373" t="str">
            <v>99-17980</v>
          </cell>
          <cell r="E3373" t="str">
            <v>ESM SECADO RAPIDO BASE SOLVENT</v>
          </cell>
        </row>
        <row r="3374">
          <cell r="A3374" t="str">
            <v>99-17981</v>
          </cell>
          <cell r="E3374" t="str">
            <v>ESM SECADO RAPIDO BASE SOLVENT</v>
          </cell>
        </row>
        <row r="3375">
          <cell r="A3375" t="str">
            <v>99-17983</v>
          </cell>
          <cell r="E3375" t="str">
            <v>ESM SECADO RAPIDO BASE SOLVENT</v>
          </cell>
        </row>
        <row r="3376">
          <cell r="A3376" t="str">
            <v>99-17990</v>
          </cell>
          <cell r="E3376" t="str">
            <v>ESM SECADO RAPIDO BASE SOLVENT</v>
          </cell>
        </row>
        <row r="3377">
          <cell r="A3377" t="str">
            <v>99-17991</v>
          </cell>
          <cell r="E3377" t="str">
            <v>ESM SECADO RAPIDO BASE SOLVENT</v>
          </cell>
        </row>
        <row r="3378">
          <cell r="A3378" t="str">
            <v>99-17993</v>
          </cell>
          <cell r="E3378" t="str">
            <v>ESM SECADO RAPIDO BASE SOLVENT</v>
          </cell>
        </row>
        <row r="3379">
          <cell r="A3379" t="str">
            <v>99-17994</v>
          </cell>
          <cell r="E3379" t="str">
            <v>ESM SECADO RAPIDO BASE SOLVENT</v>
          </cell>
        </row>
        <row r="3380">
          <cell r="A3380" t="str">
            <v>99-18090</v>
          </cell>
          <cell r="E3380" t="str">
            <v>SICLA Y DIPLOMADO</v>
          </cell>
        </row>
        <row r="3381">
          <cell r="A3381" t="str">
            <v>99-18190</v>
          </cell>
          <cell r="E3381" t="str">
            <v>SICLA Y DIPLOMADO</v>
          </cell>
        </row>
        <row r="3382">
          <cell r="A3382" t="str">
            <v>9918-28</v>
          </cell>
          <cell r="E3382" t="str">
            <v>SELLADORES ACRILICOS</v>
          </cell>
        </row>
        <row r="3383">
          <cell r="A3383" t="str">
            <v>99-18321</v>
          </cell>
          <cell r="E3383" t="str">
            <v>FONDO CURADO ULTRAVIOLETA</v>
          </cell>
        </row>
        <row r="3384">
          <cell r="A3384" t="str">
            <v>9919-28</v>
          </cell>
          <cell r="E3384" t="str">
            <v>SELLADORES ACRILICOS</v>
          </cell>
        </row>
        <row r="3385">
          <cell r="A3385" t="str">
            <v>99-19670</v>
          </cell>
          <cell r="E3385" t="str">
            <v>ACABADO MARTILLADO  SR</v>
          </cell>
        </row>
        <row r="3386">
          <cell r="A3386" t="str">
            <v>99-19671</v>
          </cell>
          <cell r="E3386" t="str">
            <v>ACABADO MARTILLADO  SR</v>
          </cell>
        </row>
        <row r="3387">
          <cell r="A3387" t="str">
            <v>99-19673</v>
          </cell>
          <cell r="E3387" t="str">
            <v>ACABADO MARTILLADO  SR</v>
          </cell>
        </row>
        <row r="3388">
          <cell r="A3388" t="str">
            <v>99-19674</v>
          </cell>
          <cell r="E3388" t="str">
            <v>ACABADO MARTILLADO  SR</v>
          </cell>
        </row>
        <row r="3389">
          <cell r="A3389" t="str">
            <v>99-19730</v>
          </cell>
          <cell r="E3389" t="str">
            <v>ACABADO MARTILLADO  SR</v>
          </cell>
        </row>
        <row r="3390">
          <cell r="A3390" t="str">
            <v>99-19731</v>
          </cell>
          <cell r="E3390" t="str">
            <v>ACABADO MARTILLADO  SR</v>
          </cell>
        </row>
        <row r="3391">
          <cell r="A3391" t="str">
            <v>99-19733</v>
          </cell>
          <cell r="E3391" t="str">
            <v>ACABADO MARTILLADO  SR</v>
          </cell>
        </row>
        <row r="3392">
          <cell r="A3392" t="str">
            <v>99-19734</v>
          </cell>
          <cell r="E3392" t="str">
            <v>ACABADO MARTILLADO  SR</v>
          </cell>
        </row>
        <row r="3393">
          <cell r="A3393" t="str">
            <v>99-19750</v>
          </cell>
          <cell r="E3393" t="str">
            <v>ACABADO MARTILLADO  SR</v>
          </cell>
        </row>
        <row r="3394">
          <cell r="A3394" t="str">
            <v>99-19751</v>
          </cell>
          <cell r="E3394" t="str">
            <v>ACABADO MARTILLADO  SR</v>
          </cell>
        </row>
        <row r="3395">
          <cell r="A3395" t="str">
            <v>99-19753</v>
          </cell>
          <cell r="E3395" t="str">
            <v>ACABADO MARTILLADO  SR</v>
          </cell>
        </row>
        <row r="3396">
          <cell r="A3396" t="str">
            <v>99-19754</v>
          </cell>
          <cell r="E3396" t="str">
            <v>ACABADO MARTILLADO  SR</v>
          </cell>
        </row>
        <row r="3397">
          <cell r="A3397" t="str">
            <v>99-19771</v>
          </cell>
          <cell r="E3397" t="str">
            <v>ACABADO MARTILLADO  SR</v>
          </cell>
        </row>
        <row r="3398">
          <cell r="A3398" t="str">
            <v>99-19773</v>
          </cell>
          <cell r="E3398" t="str">
            <v>ACABADO MARTILLADO  SR</v>
          </cell>
        </row>
        <row r="3399">
          <cell r="A3399" t="str">
            <v>99-19774</v>
          </cell>
          <cell r="E3399" t="str">
            <v>ACABADO MARTILLADO  SR</v>
          </cell>
        </row>
        <row r="3400">
          <cell r="A3400" t="str">
            <v>99-19930</v>
          </cell>
          <cell r="E3400" t="str">
            <v>ACABADO MARTILLADO  SR</v>
          </cell>
        </row>
        <row r="3401">
          <cell r="A3401" t="str">
            <v>99-19931</v>
          </cell>
          <cell r="E3401" t="str">
            <v>ACABADO MARTILLADO  SR</v>
          </cell>
        </row>
        <row r="3402">
          <cell r="A3402" t="str">
            <v>99-19933</v>
          </cell>
          <cell r="E3402" t="str">
            <v>ACABADO MARTILLADO  SR</v>
          </cell>
        </row>
        <row r="3403">
          <cell r="A3403" t="str">
            <v>99-19934</v>
          </cell>
          <cell r="E3403" t="str">
            <v>ACABADO MARTILLADO  SR</v>
          </cell>
        </row>
        <row r="3404">
          <cell r="A3404" t="str">
            <v>99-20001</v>
          </cell>
          <cell r="E3404" t="str">
            <v>ESMALTE - COLOREX</v>
          </cell>
        </row>
        <row r="3405">
          <cell r="A3405" t="str">
            <v>99-20003</v>
          </cell>
          <cell r="E3405" t="str">
            <v>ESMALTE - COLOREX</v>
          </cell>
        </row>
        <row r="3406">
          <cell r="A3406" t="str">
            <v>99-20004</v>
          </cell>
          <cell r="E3406" t="str">
            <v>ESMALTE - COLOREX</v>
          </cell>
        </row>
        <row r="3407">
          <cell r="A3407" t="str">
            <v>99-20041</v>
          </cell>
          <cell r="E3407" t="str">
            <v>ESMALTE - COLOREX</v>
          </cell>
        </row>
        <row r="3408">
          <cell r="A3408" t="str">
            <v>99-20043</v>
          </cell>
          <cell r="E3408" t="str">
            <v>ESMALTE - COLOREX</v>
          </cell>
        </row>
        <row r="3409">
          <cell r="A3409" t="str">
            <v>99-20044</v>
          </cell>
          <cell r="E3409" t="str">
            <v>ESMALTE - COLOREX</v>
          </cell>
        </row>
        <row r="3410">
          <cell r="A3410" t="str">
            <v>99-20071</v>
          </cell>
          <cell r="E3410" t="str">
            <v>ESMALTE - COLOREX</v>
          </cell>
        </row>
        <row r="3411">
          <cell r="A3411" t="str">
            <v>99-20073</v>
          </cell>
          <cell r="E3411" t="str">
            <v>ESMALTE - COLOREX</v>
          </cell>
        </row>
        <row r="3412">
          <cell r="A3412" t="str">
            <v>99-20074</v>
          </cell>
          <cell r="E3412" t="str">
            <v>ESMALTE - COLOREX</v>
          </cell>
        </row>
        <row r="3413">
          <cell r="A3413" t="str">
            <v>99-20081</v>
          </cell>
          <cell r="E3413" t="str">
            <v>ESMALTE - COLOREX</v>
          </cell>
        </row>
        <row r="3414">
          <cell r="A3414" t="str">
            <v>99-20083</v>
          </cell>
          <cell r="E3414" t="str">
            <v>ESMALTE - COLOREX</v>
          </cell>
        </row>
        <row r="3415">
          <cell r="A3415" t="str">
            <v>99-20084</v>
          </cell>
          <cell r="E3415" t="str">
            <v>ESMALTE - COLOREX</v>
          </cell>
        </row>
        <row r="3416">
          <cell r="A3416" t="str">
            <v>9920-200</v>
          </cell>
          <cell r="E3416" t="str">
            <v>ACCESORIOS PARA PREPARACION DE</v>
          </cell>
        </row>
        <row r="3417">
          <cell r="A3417" t="str">
            <v>9920-50</v>
          </cell>
          <cell r="E3417" t="str">
            <v>ACCESORIOS PARA PREPARACION DE</v>
          </cell>
        </row>
        <row r="3418">
          <cell r="A3418" t="str">
            <v>9920-75</v>
          </cell>
          <cell r="E3418" t="str">
            <v>ACCESORIOS PARA PREPARACION DE</v>
          </cell>
        </row>
        <row r="3419">
          <cell r="A3419" t="str">
            <v>99-20991</v>
          </cell>
          <cell r="E3419" t="str">
            <v>ESMALTE - COLOREX</v>
          </cell>
        </row>
        <row r="3420">
          <cell r="A3420" t="str">
            <v>99-20993</v>
          </cell>
          <cell r="E3420" t="str">
            <v>ESMALTE - COLOREX</v>
          </cell>
        </row>
        <row r="3421">
          <cell r="A3421" t="str">
            <v>9920-Z</v>
          </cell>
          <cell r="E3421" t="str">
            <v>ACCESORIOS PARA PREPARACION DE</v>
          </cell>
        </row>
        <row r="3422">
          <cell r="A3422" t="str">
            <v>99-21000</v>
          </cell>
          <cell r="E3422" t="str">
            <v>ESMALTE - MILCO</v>
          </cell>
        </row>
        <row r="3423">
          <cell r="A3423" t="str">
            <v>99-21001</v>
          </cell>
          <cell r="E3423" t="str">
            <v>ESMALTE - MILCO</v>
          </cell>
        </row>
        <row r="3424">
          <cell r="A3424" t="str">
            <v>99-21003</v>
          </cell>
          <cell r="E3424" t="str">
            <v>ESMALTE - MILCO</v>
          </cell>
        </row>
        <row r="3425">
          <cell r="A3425" t="str">
            <v>99-21004</v>
          </cell>
          <cell r="E3425" t="str">
            <v>ESMALTE - MILCO</v>
          </cell>
        </row>
        <row r="3426">
          <cell r="A3426" t="str">
            <v>99-21005</v>
          </cell>
          <cell r="E3426" t="str">
            <v>ESMALTE - MILCO</v>
          </cell>
        </row>
        <row r="3427">
          <cell r="A3427" t="str">
            <v>99-21006</v>
          </cell>
          <cell r="E3427" t="str">
            <v>ESMALTE - MILCO</v>
          </cell>
        </row>
        <row r="3428">
          <cell r="A3428" t="str">
            <v>99-21010</v>
          </cell>
          <cell r="E3428" t="str">
            <v>ESMALTE - MILCO</v>
          </cell>
        </row>
        <row r="3429">
          <cell r="A3429" t="str">
            <v>99-21011</v>
          </cell>
          <cell r="E3429" t="str">
            <v>ESMALTE - MILCO</v>
          </cell>
        </row>
        <row r="3430">
          <cell r="A3430" t="str">
            <v>99-21013</v>
          </cell>
          <cell r="E3430" t="str">
            <v>ESMALTE - MILCO</v>
          </cell>
        </row>
        <row r="3431">
          <cell r="A3431" t="str">
            <v>99-21014</v>
          </cell>
          <cell r="E3431" t="str">
            <v>ESMALTE - MILCO</v>
          </cell>
        </row>
        <row r="3432">
          <cell r="A3432" t="str">
            <v>99-21016</v>
          </cell>
          <cell r="E3432" t="str">
            <v>ESMALTE - MILCO</v>
          </cell>
        </row>
        <row r="3433">
          <cell r="A3433" t="str">
            <v>99-21031</v>
          </cell>
          <cell r="E3433" t="str">
            <v>ESMALTE - MILCO</v>
          </cell>
        </row>
        <row r="3434">
          <cell r="A3434" t="str">
            <v>99-21033</v>
          </cell>
          <cell r="E3434" t="str">
            <v>ESMALTE - MILCO</v>
          </cell>
        </row>
        <row r="3435">
          <cell r="A3435" t="str">
            <v>99-21034</v>
          </cell>
          <cell r="E3435" t="str">
            <v>ESMALTE - MILCO</v>
          </cell>
        </row>
        <row r="3436">
          <cell r="A3436" t="str">
            <v>99-21036</v>
          </cell>
          <cell r="E3436" t="str">
            <v>ESMALTE - MILCO</v>
          </cell>
        </row>
        <row r="3437">
          <cell r="A3437" t="str">
            <v>99-21050</v>
          </cell>
          <cell r="E3437" t="str">
            <v>ESMALTE - MILCO</v>
          </cell>
        </row>
        <row r="3438">
          <cell r="A3438" t="str">
            <v>99-21051</v>
          </cell>
          <cell r="E3438" t="str">
            <v>ESMALTE - MILCO</v>
          </cell>
        </row>
        <row r="3439">
          <cell r="A3439" t="str">
            <v>99-21053</v>
          </cell>
          <cell r="E3439" t="str">
            <v>ESMALTE - MILCO</v>
          </cell>
        </row>
        <row r="3440">
          <cell r="A3440" t="str">
            <v>99-21054</v>
          </cell>
          <cell r="E3440" t="str">
            <v>ESMALTE - MILCO</v>
          </cell>
        </row>
        <row r="3441">
          <cell r="A3441" t="str">
            <v>99-21056</v>
          </cell>
          <cell r="E3441" t="str">
            <v>ESMALTE - MILCO</v>
          </cell>
        </row>
        <row r="3442">
          <cell r="A3442" t="str">
            <v>99-21091</v>
          </cell>
          <cell r="E3442" t="str">
            <v>ESMALTE - MILCO</v>
          </cell>
        </row>
        <row r="3443">
          <cell r="A3443" t="str">
            <v>99-21093</v>
          </cell>
          <cell r="E3443" t="str">
            <v>ESMALTE - MILCO</v>
          </cell>
        </row>
        <row r="3444">
          <cell r="A3444" t="str">
            <v>99-21094</v>
          </cell>
          <cell r="E3444" t="str">
            <v>ESMALTE - MILCO</v>
          </cell>
        </row>
        <row r="3445">
          <cell r="A3445" t="str">
            <v>99-21095</v>
          </cell>
          <cell r="E3445" t="str">
            <v>ESMALTE - MILCO</v>
          </cell>
        </row>
        <row r="3446">
          <cell r="A3446" t="str">
            <v>99-21096</v>
          </cell>
          <cell r="E3446" t="str">
            <v>ESMALTE - MILCO</v>
          </cell>
        </row>
        <row r="3447">
          <cell r="A3447" t="str">
            <v>99-21131</v>
          </cell>
          <cell r="E3447" t="str">
            <v>ESMALTE - MILCO</v>
          </cell>
        </row>
        <row r="3448">
          <cell r="A3448" t="str">
            <v>99-21133</v>
          </cell>
          <cell r="E3448" t="str">
            <v>ESMALTE - MILCO</v>
          </cell>
        </row>
        <row r="3449">
          <cell r="A3449" t="str">
            <v>99-21134</v>
          </cell>
          <cell r="E3449" t="str">
            <v>ESMALTE - MILCO</v>
          </cell>
        </row>
        <row r="3450">
          <cell r="A3450" t="str">
            <v>99-21136</v>
          </cell>
          <cell r="E3450" t="str">
            <v>ESMALTE - MILCO</v>
          </cell>
        </row>
        <row r="3451">
          <cell r="A3451" t="str">
            <v>99-21150</v>
          </cell>
          <cell r="E3451" t="str">
            <v>ESMALTE - MILCO</v>
          </cell>
        </row>
        <row r="3452">
          <cell r="A3452" t="str">
            <v>99-21151</v>
          </cell>
          <cell r="E3452" t="str">
            <v>ESMALTE - MILCO</v>
          </cell>
        </row>
        <row r="3453">
          <cell r="A3453" t="str">
            <v>99-21153</v>
          </cell>
          <cell r="E3453" t="str">
            <v>ESMALTE - MILCO</v>
          </cell>
        </row>
        <row r="3454">
          <cell r="A3454" t="str">
            <v>99-21154</v>
          </cell>
          <cell r="E3454" t="str">
            <v>ESMALTE - MILCO</v>
          </cell>
        </row>
        <row r="3455">
          <cell r="A3455" t="str">
            <v>99-21156</v>
          </cell>
          <cell r="E3455" t="str">
            <v>ESMALTE - MILCO</v>
          </cell>
        </row>
        <row r="3456">
          <cell r="A3456" t="str">
            <v>99-21210</v>
          </cell>
          <cell r="E3456" t="str">
            <v>ESMALTE - MILCO</v>
          </cell>
        </row>
        <row r="3457">
          <cell r="A3457" t="str">
            <v>99-21211</v>
          </cell>
          <cell r="E3457" t="str">
            <v>ESMALTE - MILCO</v>
          </cell>
        </row>
        <row r="3458">
          <cell r="A3458" t="str">
            <v>99-21213</v>
          </cell>
          <cell r="E3458" t="str">
            <v>ESMALTE - MILCO</v>
          </cell>
        </row>
        <row r="3459">
          <cell r="A3459" t="str">
            <v>99-21214</v>
          </cell>
          <cell r="E3459" t="str">
            <v>ESMALTE - MILCO</v>
          </cell>
        </row>
        <row r="3460">
          <cell r="A3460" t="str">
            <v>99-21216</v>
          </cell>
          <cell r="E3460" t="str">
            <v>ESMALTE - MILCO</v>
          </cell>
        </row>
        <row r="3461">
          <cell r="A3461" t="str">
            <v>99-21241</v>
          </cell>
          <cell r="E3461" t="str">
            <v>ESMALTE - MILCO</v>
          </cell>
        </row>
        <row r="3462">
          <cell r="A3462" t="str">
            <v>99-21243</v>
          </cell>
          <cell r="E3462" t="str">
            <v>ESMALTE - MILCO</v>
          </cell>
        </row>
        <row r="3463">
          <cell r="A3463" t="str">
            <v>99-21244</v>
          </cell>
          <cell r="E3463" t="str">
            <v>ESMALTE - MILCO</v>
          </cell>
        </row>
        <row r="3464">
          <cell r="A3464" t="str">
            <v>99-21246</v>
          </cell>
          <cell r="E3464" t="str">
            <v>ESMALTE - MILCO</v>
          </cell>
        </row>
        <row r="3465">
          <cell r="A3465" t="str">
            <v>99-21253</v>
          </cell>
          <cell r="E3465" t="str">
            <v>ESMALTE - MILCO</v>
          </cell>
        </row>
        <row r="3466">
          <cell r="A3466" t="str">
            <v>99-21254</v>
          </cell>
          <cell r="E3466" t="str">
            <v>ESMALTE - MILCO</v>
          </cell>
        </row>
        <row r="3467">
          <cell r="A3467" t="str">
            <v>99-21261</v>
          </cell>
          <cell r="E3467" t="str">
            <v>ESMALTE - MILCO</v>
          </cell>
        </row>
        <row r="3468">
          <cell r="A3468" t="str">
            <v>99-21263</v>
          </cell>
          <cell r="E3468" t="str">
            <v>ESMALTE - MILCO</v>
          </cell>
        </row>
        <row r="3469">
          <cell r="A3469" t="str">
            <v>99-21264</v>
          </cell>
          <cell r="E3469" t="str">
            <v>ESMALTE - MILCO</v>
          </cell>
        </row>
        <row r="3470">
          <cell r="A3470" t="str">
            <v>99-21266</v>
          </cell>
          <cell r="E3470" t="str">
            <v>ESMALTE - MILCO</v>
          </cell>
        </row>
        <row r="3471">
          <cell r="A3471" t="str">
            <v>99-21301</v>
          </cell>
          <cell r="E3471" t="str">
            <v>ESMALTE - MILCO</v>
          </cell>
        </row>
        <row r="3472">
          <cell r="A3472" t="str">
            <v>99-21303</v>
          </cell>
          <cell r="E3472" t="str">
            <v>ESMALTE - MILCO</v>
          </cell>
        </row>
        <row r="3473">
          <cell r="A3473" t="str">
            <v>99-21304</v>
          </cell>
          <cell r="E3473" t="str">
            <v>ESMALTE - MILCO</v>
          </cell>
        </row>
        <row r="3474">
          <cell r="A3474" t="str">
            <v>99-21306</v>
          </cell>
          <cell r="E3474" t="str">
            <v>ESMALTE - MILCO</v>
          </cell>
        </row>
        <row r="3475">
          <cell r="A3475" t="str">
            <v>99-21351</v>
          </cell>
          <cell r="E3475" t="str">
            <v>ESMALTE - MILCO</v>
          </cell>
        </row>
        <row r="3476">
          <cell r="A3476" t="str">
            <v>99-21353</v>
          </cell>
          <cell r="E3476" t="str">
            <v>ESMALTE - MILCO</v>
          </cell>
        </row>
        <row r="3477">
          <cell r="A3477" t="str">
            <v>99-21354</v>
          </cell>
          <cell r="E3477" t="str">
            <v>ESMALTE - MILCO</v>
          </cell>
        </row>
        <row r="3478">
          <cell r="A3478" t="str">
            <v>99-21356</v>
          </cell>
          <cell r="E3478" t="str">
            <v>ESMALTE - MILCO</v>
          </cell>
        </row>
        <row r="3479">
          <cell r="A3479" t="str">
            <v>99-21421</v>
          </cell>
          <cell r="E3479" t="str">
            <v>ESMALTE - MILCO</v>
          </cell>
        </row>
        <row r="3480">
          <cell r="A3480" t="str">
            <v>99-21423</v>
          </cell>
          <cell r="E3480" t="str">
            <v>ESMALTE - MILCO</v>
          </cell>
        </row>
        <row r="3481">
          <cell r="A3481" t="str">
            <v>99-21424</v>
          </cell>
          <cell r="E3481" t="str">
            <v>ESMALTE - MILCO</v>
          </cell>
        </row>
        <row r="3482">
          <cell r="A3482" t="str">
            <v>99-21426</v>
          </cell>
          <cell r="E3482" t="str">
            <v>ESMALTE - MILCO</v>
          </cell>
        </row>
        <row r="3483">
          <cell r="A3483" t="str">
            <v>99-21441</v>
          </cell>
          <cell r="E3483" t="str">
            <v>ESMALTE - MILCO</v>
          </cell>
        </row>
        <row r="3484">
          <cell r="A3484" t="str">
            <v>99-21443</v>
          </cell>
          <cell r="E3484" t="str">
            <v>ESMALTE - MILCO</v>
          </cell>
        </row>
        <row r="3485">
          <cell r="A3485" t="str">
            <v>99-21444</v>
          </cell>
          <cell r="E3485" t="str">
            <v>ESMALTE - MILCO</v>
          </cell>
        </row>
        <row r="3486">
          <cell r="A3486" t="str">
            <v>99-21446</v>
          </cell>
          <cell r="E3486" t="str">
            <v>ESMALTE - MILCO</v>
          </cell>
        </row>
        <row r="3487">
          <cell r="A3487" t="str">
            <v>99-21451</v>
          </cell>
          <cell r="E3487" t="str">
            <v>ESMALTE - MILCO</v>
          </cell>
        </row>
        <row r="3488">
          <cell r="A3488" t="str">
            <v>99-21453</v>
          </cell>
          <cell r="E3488" t="str">
            <v>ESMALTE - MILCO</v>
          </cell>
        </row>
        <row r="3489">
          <cell r="A3489" t="str">
            <v>99-21454</v>
          </cell>
          <cell r="E3489" t="str">
            <v>ESMALTE - MILCO</v>
          </cell>
        </row>
        <row r="3490">
          <cell r="A3490" t="str">
            <v>99-21455</v>
          </cell>
          <cell r="E3490" t="str">
            <v>ESMALTE - MILCO</v>
          </cell>
        </row>
        <row r="3491">
          <cell r="A3491" t="str">
            <v>99-21456</v>
          </cell>
          <cell r="E3491" t="str">
            <v>ESMALTE - MILCO</v>
          </cell>
        </row>
        <row r="3492">
          <cell r="A3492" t="str">
            <v>99-21493</v>
          </cell>
          <cell r="E3492" t="str">
            <v>ESMALTE - MILCO</v>
          </cell>
        </row>
        <row r="3493">
          <cell r="A3493" t="str">
            <v>99-21494</v>
          </cell>
          <cell r="E3493" t="str">
            <v>ESMALTE - MILCO</v>
          </cell>
        </row>
        <row r="3494">
          <cell r="A3494" t="str">
            <v>99-21496</v>
          </cell>
          <cell r="E3494" t="str">
            <v>ESMALTE - MILCO</v>
          </cell>
        </row>
        <row r="3495">
          <cell r="A3495" t="str">
            <v>99-21561</v>
          </cell>
          <cell r="E3495" t="str">
            <v>ESMALTE - MILCO</v>
          </cell>
        </row>
        <row r="3496">
          <cell r="A3496" t="str">
            <v>99-21563</v>
          </cell>
          <cell r="E3496" t="str">
            <v>ESMALTE - MILCO</v>
          </cell>
        </row>
        <row r="3497">
          <cell r="A3497" t="str">
            <v>99-21564</v>
          </cell>
          <cell r="E3497" t="str">
            <v>ESMALTE - MILCO</v>
          </cell>
        </row>
        <row r="3498">
          <cell r="A3498" t="str">
            <v>99-21566</v>
          </cell>
          <cell r="E3498" t="str">
            <v>ESMALTE - MILCO</v>
          </cell>
        </row>
        <row r="3499">
          <cell r="A3499" t="str">
            <v>99-21571</v>
          </cell>
          <cell r="E3499" t="str">
            <v>ESMALTE - MILCO</v>
          </cell>
        </row>
        <row r="3500">
          <cell r="A3500" t="str">
            <v>99-21573</v>
          </cell>
          <cell r="E3500" t="str">
            <v>ESMALTE - MILCO</v>
          </cell>
        </row>
        <row r="3501">
          <cell r="A3501" t="str">
            <v>99-21574</v>
          </cell>
          <cell r="E3501" t="str">
            <v>ESMALTE - MILCO</v>
          </cell>
        </row>
        <row r="3502">
          <cell r="A3502" t="str">
            <v>99-21576</v>
          </cell>
          <cell r="E3502" t="str">
            <v>ESMALTE - MILCO</v>
          </cell>
        </row>
        <row r="3503">
          <cell r="A3503" t="str">
            <v>99-21581</v>
          </cell>
          <cell r="E3503" t="str">
            <v>ESMALTE - MILCO</v>
          </cell>
        </row>
        <row r="3504">
          <cell r="A3504" t="str">
            <v>99-21583</v>
          </cell>
          <cell r="E3504" t="str">
            <v>ESMALTE - MILCO</v>
          </cell>
        </row>
        <row r="3505">
          <cell r="A3505" t="str">
            <v>99-21584</v>
          </cell>
          <cell r="E3505" t="str">
            <v>ESMALTE - MILCO</v>
          </cell>
        </row>
        <row r="3506">
          <cell r="A3506" t="str">
            <v>99-21586</v>
          </cell>
          <cell r="E3506" t="str">
            <v>ESMALTE - MILCO</v>
          </cell>
        </row>
        <row r="3507">
          <cell r="A3507" t="str">
            <v>99-21631</v>
          </cell>
          <cell r="E3507" t="str">
            <v>ESMALTE - MILCO</v>
          </cell>
        </row>
        <row r="3508">
          <cell r="A3508" t="str">
            <v>99-21633</v>
          </cell>
          <cell r="E3508" t="str">
            <v>ESMALTE - MILCO</v>
          </cell>
        </row>
        <row r="3509">
          <cell r="A3509" t="str">
            <v>99-21634</v>
          </cell>
          <cell r="E3509" t="str">
            <v>ESMALTE - MILCO</v>
          </cell>
        </row>
        <row r="3510">
          <cell r="A3510" t="str">
            <v>99-21636</v>
          </cell>
          <cell r="E3510" t="str">
            <v>ESMALTE - MILCO</v>
          </cell>
        </row>
        <row r="3511">
          <cell r="A3511" t="str">
            <v>99-21640</v>
          </cell>
          <cell r="E3511" t="str">
            <v>ESMALTE - MILCO</v>
          </cell>
        </row>
        <row r="3512">
          <cell r="A3512" t="str">
            <v>99-21641</v>
          </cell>
          <cell r="E3512" t="str">
            <v>ESMALTE - MILCO</v>
          </cell>
        </row>
        <row r="3513">
          <cell r="A3513" t="str">
            <v>99-21643</v>
          </cell>
          <cell r="E3513" t="str">
            <v>ESMALTE - MILCO</v>
          </cell>
        </row>
        <row r="3514">
          <cell r="A3514" t="str">
            <v>99-21644</v>
          </cell>
          <cell r="E3514" t="str">
            <v>ESMALTE - MILCO</v>
          </cell>
        </row>
        <row r="3515">
          <cell r="A3515" t="str">
            <v>99-21646</v>
          </cell>
          <cell r="E3515" t="str">
            <v>ESMALTE - MILCO</v>
          </cell>
        </row>
        <row r="3516">
          <cell r="A3516" t="str">
            <v>99-21651</v>
          </cell>
          <cell r="E3516" t="str">
            <v>ESMALTE - MILCO</v>
          </cell>
        </row>
        <row r="3517">
          <cell r="A3517" t="str">
            <v>99-21653</v>
          </cell>
          <cell r="E3517" t="str">
            <v>ESMALTE - MILCO</v>
          </cell>
        </row>
        <row r="3518">
          <cell r="A3518" t="str">
            <v>99-21654</v>
          </cell>
          <cell r="E3518" t="str">
            <v>ESMALTE - MILCO</v>
          </cell>
        </row>
        <row r="3519">
          <cell r="A3519" t="str">
            <v>99-21655</v>
          </cell>
          <cell r="E3519" t="str">
            <v>ESMALTE - MILCO</v>
          </cell>
        </row>
        <row r="3520">
          <cell r="A3520" t="str">
            <v>99-21656</v>
          </cell>
          <cell r="E3520" t="str">
            <v>ESMALTE - MILCO</v>
          </cell>
        </row>
        <row r="3521">
          <cell r="A3521" t="str">
            <v>99-21711</v>
          </cell>
          <cell r="E3521" t="str">
            <v>ESMALTE - MILCO</v>
          </cell>
        </row>
        <row r="3522">
          <cell r="A3522" t="str">
            <v>99-21713</v>
          </cell>
          <cell r="E3522" t="str">
            <v>ESMALTE - MILCO</v>
          </cell>
        </row>
        <row r="3523">
          <cell r="A3523" t="str">
            <v>99-21714</v>
          </cell>
          <cell r="E3523" t="str">
            <v>ESMALTE - MILCO</v>
          </cell>
        </row>
        <row r="3524">
          <cell r="A3524" t="str">
            <v>99-21716</v>
          </cell>
          <cell r="E3524" t="str">
            <v>ESMALTE - MILCO</v>
          </cell>
        </row>
        <row r="3525">
          <cell r="A3525" t="str">
            <v>99-21751</v>
          </cell>
          <cell r="E3525" t="str">
            <v>ESMALTE - MILCO</v>
          </cell>
        </row>
        <row r="3526">
          <cell r="A3526" t="str">
            <v>99-21753</v>
          </cell>
          <cell r="E3526" t="str">
            <v>ESMALTE - MILCO</v>
          </cell>
        </row>
        <row r="3527">
          <cell r="A3527" t="str">
            <v>99-21754</v>
          </cell>
          <cell r="E3527" t="str">
            <v>ESMALTE - MILCO</v>
          </cell>
        </row>
        <row r="3528">
          <cell r="A3528" t="str">
            <v>99-21756</v>
          </cell>
          <cell r="E3528" t="str">
            <v>ESMALTE - MILCO</v>
          </cell>
        </row>
        <row r="3529">
          <cell r="A3529" t="str">
            <v>99-21770</v>
          </cell>
          <cell r="E3529" t="str">
            <v>ESMALTE - MILCO</v>
          </cell>
        </row>
        <row r="3530">
          <cell r="A3530" t="str">
            <v>99-21771</v>
          </cell>
          <cell r="E3530" t="str">
            <v>ESMALTE - MILCO</v>
          </cell>
        </row>
        <row r="3531">
          <cell r="A3531" t="str">
            <v>99-21773</v>
          </cell>
          <cell r="E3531" t="str">
            <v>ESMALTE - MILCO</v>
          </cell>
        </row>
        <row r="3532">
          <cell r="A3532" t="str">
            <v>99-21774</v>
          </cell>
          <cell r="E3532" t="str">
            <v>ESMALTE - MILCO</v>
          </cell>
        </row>
        <row r="3533">
          <cell r="A3533" t="str">
            <v>99-21776</v>
          </cell>
          <cell r="E3533" t="str">
            <v>ESMALTE - MILCO</v>
          </cell>
        </row>
        <row r="3534">
          <cell r="A3534" t="str">
            <v>99-21783</v>
          </cell>
          <cell r="E3534" t="str">
            <v>ESMALTE - OTROS</v>
          </cell>
        </row>
        <row r="3535">
          <cell r="A3535" t="str">
            <v>99-21784</v>
          </cell>
          <cell r="E3535" t="str">
            <v>ESMALTE - OTROS</v>
          </cell>
        </row>
        <row r="3536">
          <cell r="A3536" t="str">
            <v>99-21901</v>
          </cell>
          <cell r="E3536" t="str">
            <v>ESMALTE - MILCO</v>
          </cell>
        </row>
        <row r="3537">
          <cell r="A3537" t="str">
            <v>99-21903</v>
          </cell>
          <cell r="E3537" t="str">
            <v>ESMALTE - MILCO</v>
          </cell>
        </row>
        <row r="3538">
          <cell r="A3538" t="str">
            <v>99-21904</v>
          </cell>
          <cell r="E3538" t="str">
            <v>ESMALTE - MILCO</v>
          </cell>
        </row>
        <row r="3539">
          <cell r="A3539" t="str">
            <v>99-21905</v>
          </cell>
          <cell r="E3539" t="str">
            <v>ESMALTE - MILCO</v>
          </cell>
        </row>
        <row r="3540">
          <cell r="A3540" t="str">
            <v>99-21906</v>
          </cell>
          <cell r="E3540" t="str">
            <v>ESMALTE - MILCO</v>
          </cell>
        </row>
        <row r="3541">
          <cell r="A3541" t="str">
            <v>99-21913</v>
          </cell>
          <cell r="E3541" t="str">
            <v>ESMALTE - MILCO</v>
          </cell>
        </row>
        <row r="3542">
          <cell r="A3542" t="str">
            <v>99-21914</v>
          </cell>
          <cell r="E3542" t="str">
            <v>ESMALTE - MILCO</v>
          </cell>
        </row>
        <row r="3543">
          <cell r="A3543" t="str">
            <v>99-21916</v>
          </cell>
          <cell r="E3543" t="str">
            <v>ESMALTE - MILCO</v>
          </cell>
        </row>
        <row r="3544">
          <cell r="A3544" t="str">
            <v>99-21921</v>
          </cell>
          <cell r="E3544" t="str">
            <v>ESMALTE - MILCO</v>
          </cell>
        </row>
        <row r="3545">
          <cell r="A3545" t="str">
            <v>99-21923</v>
          </cell>
          <cell r="E3545" t="str">
            <v>ESMALTE - MILCO</v>
          </cell>
        </row>
        <row r="3546">
          <cell r="A3546" t="str">
            <v>99-21924</v>
          </cell>
          <cell r="E3546" t="str">
            <v>ESMALTE - MILCO</v>
          </cell>
        </row>
        <row r="3547">
          <cell r="A3547" t="str">
            <v>99-21926</v>
          </cell>
          <cell r="E3547" t="str">
            <v>ESMALTE - MILCO</v>
          </cell>
        </row>
        <row r="3548">
          <cell r="A3548" t="str">
            <v>99-21980</v>
          </cell>
          <cell r="E3548" t="str">
            <v>ESMALTE - MILCO</v>
          </cell>
        </row>
        <row r="3549">
          <cell r="A3549" t="str">
            <v>99-21981</v>
          </cell>
          <cell r="E3549" t="str">
            <v>ESMALTE - MILCO</v>
          </cell>
        </row>
        <row r="3550">
          <cell r="A3550" t="str">
            <v>99-21983</v>
          </cell>
          <cell r="E3550" t="str">
            <v>ESMALTE - MILCO</v>
          </cell>
        </row>
        <row r="3551">
          <cell r="A3551" t="str">
            <v>99-21984</v>
          </cell>
          <cell r="E3551" t="str">
            <v>ESMALTE - MILCO</v>
          </cell>
        </row>
        <row r="3552">
          <cell r="A3552" t="str">
            <v>99-21986</v>
          </cell>
          <cell r="E3552" t="str">
            <v>ESMALTE - MILCO</v>
          </cell>
        </row>
        <row r="3553">
          <cell r="A3553" t="str">
            <v>99-21991</v>
          </cell>
          <cell r="E3553" t="str">
            <v>ESMALTE - MILCO</v>
          </cell>
        </row>
        <row r="3554">
          <cell r="A3554" t="str">
            <v>99-21993</v>
          </cell>
          <cell r="E3554" t="str">
            <v>ESMALTE - MILCO</v>
          </cell>
        </row>
        <row r="3555">
          <cell r="A3555" t="str">
            <v>99-21994</v>
          </cell>
          <cell r="E3555" t="str">
            <v>ESMALTE - MILCO</v>
          </cell>
        </row>
        <row r="3556">
          <cell r="A3556" t="str">
            <v>99-21995</v>
          </cell>
          <cell r="E3556" t="str">
            <v>ESMALTE - MILCO</v>
          </cell>
        </row>
        <row r="3557">
          <cell r="A3557" t="str">
            <v>99-21996</v>
          </cell>
          <cell r="E3557" t="str">
            <v>ESMALTE - MILCO</v>
          </cell>
        </row>
        <row r="3558">
          <cell r="A3558" t="str">
            <v>99-22000</v>
          </cell>
          <cell r="E3558" t="str">
            <v>ESMALTE - KITOX</v>
          </cell>
        </row>
        <row r="3559">
          <cell r="A3559" t="str">
            <v>99-22001</v>
          </cell>
          <cell r="E3559" t="str">
            <v>ESMALTE - KITOX</v>
          </cell>
        </row>
        <row r="3560">
          <cell r="A3560" t="str">
            <v>99-22003</v>
          </cell>
          <cell r="E3560" t="str">
            <v>ESMALTE - KITOX</v>
          </cell>
        </row>
        <row r="3561">
          <cell r="A3561" t="str">
            <v>99-22004</v>
          </cell>
          <cell r="E3561" t="str">
            <v>ESMALTE - KITOX</v>
          </cell>
        </row>
        <row r="3562">
          <cell r="A3562" t="str">
            <v>99-22005</v>
          </cell>
          <cell r="E3562" t="str">
            <v>ESMALTE - KITOX</v>
          </cell>
        </row>
        <row r="3563">
          <cell r="A3563" t="str">
            <v>99-22006</v>
          </cell>
          <cell r="E3563" t="str">
            <v>ESMALTE - KITOX</v>
          </cell>
        </row>
        <row r="3564">
          <cell r="A3564" t="str">
            <v>99-22150</v>
          </cell>
          <cell r="E3564" t="str">
            <v>ESMALTE - KITOX</v>
          </cell>
        </row>
        <row r="3565">
          <cell r="A3565" t="str">
            <v>99-22151</v>
          </cell>
          <cell r="E3565" t="str">
            <v>ESMALTE - KITOX</v>
          </cell>
        </row>
        <row r="3566">
          <cell r="A3566" t="str">
            <v>99-22153</v>
          </cell>
          <cell r="E3566" t="str">
            <v>ESMALTE - KITOX</v>
          </cell>
        </row>
        <row r="3567">
          <cell r="A3567" t="str">
            <v>99-22154</v>
          </cell>
          <cell r="E3567" t="str">
            <v>ESMALTE - KITOX</v>
          </cell>
        </row>
        <row r="3568">
          <cell r="A3568" t="str">
            <v>99-22155</v>
          </cell>
          <cell r="E3568" t="str">
            <v>ESMALTE - KITOX</v>
          </cell>
        </row>
        <row r="3569">
          <cell r="A3569" t="str">
            <v>99-22156</v>
          </cell>
          <cell r="E3569" t="str">
            <v>ESMALTE - KITOX</v>
          </cell>
        </row>
        <row r="3570">
          <cell r="A3570" t="str">
            <v>99-22210</v>
          </cell>
          <cell r="E3570" t="str">
            <v>ESMALTE - KITOX</v>
          </cell>
        </row>
        <row r="3571">
          <cell r="A3571" t="str">
            <v>99-22211</v>
          </cell>
          <cell r="E3571" t="str">
            <v>ESMALTE - KITOX</v>
          </cell>
        </row>
        <row r="3572">
          <cell r="A3572" t="str">
            <v>99-22213</v>
          </cell>
          <cell r="E3572" t="str">
            <v>ESMALTE - KITOX</v>
          </cell>
        </row>
        <row r="3573">
          <cell r="A3573" t="str">
            <v>99-22214</v>
          </cell>
          <cell r="E3573" t="str">
            <v>ESMALTE - KITOX</v>
          </cell>
        </row>
        <row r="3574">
          <cell r="A3574" t="str">
            <v>99-22215</v>
          </cell>
          <cell r="E3574" t="str">
            <v>ESMALTE - KITOX</v>
          </cell>
        </row>
        <row r="3575">
          <cell r="A3575" t="str">
            <v>99-22216</v>
          </cell>
          <cell r="E3575" t="str">
            <v>ESMALTE - KITOX</v>
          </cell>
        </row>
        <row r="3576">
          <cell r="A3576" t="str">
            <v>99-22261</v>
          </cell>
          <cell r="E3576" t="str">
            <v>ESMALTE - KITOX</v>
          </cell>
        </row>
        <row r="3577">
          <cell r="A3577" t="str">
            <v>99-22263</v>
          </cell>
          <cell r="E3577" t="str">
            <v>ESMALTE - KITOX</v>
          </cell>
        </row>
        <row r="3578">
          <cell r="A3578" t="str">
            <v>99-22264</v>
          </cell>
          <cell r="E3578" t="str">
            <v>ESMALTE - KITOX</v>
          </cell>
        </row>
        <row r="3579">
          <cell r="A3579" t="str">
            <v>99-22266</v>
          </cell>
          <cell r="E3579" t="str">
            <v>ESMALTE - KITOX</v>
          </cell>
        </row>
        <row r="3580">
          <cell r="A3580" t="str">
            <v>99-22351</v>
          </cell>
          <cell r="E3580" t="str">
            <v>ESMALTE - KITOX</v>
          </cell>
        </row>
        <row r="3581">
          <cell r="A3581" t="str">
            <v>99-22353</v>
          </cell>
          <cell r="E3581" t="str">
            <v>ESMALTE - KITOX</v>
          </cell>
        </row>
        <row r="3582">
          <cell r="A3582" t="str">
            <v>99-22354</v>
          </cell>
          <cell r="E3582" t="str">
            <v>ESMALTE - KITOX</v>
          </cell>
        </row>
        <row r="3583">
          <cell r="A3583" t="str">
            <v>99-22355</v>
          </cell>
          <cell r="E3583" t="str">
            <v>ESMALTE - KITOX</v>
          </cell>
        </row>
        <row r="3584">
          <cell r="A3584" t="str">
            <v>99-22356</v>
          </cell>
          <cell r="E3584" t="str">
            <v>ESMALTE - KITOX</v>
          </cell>
        </row>
        <row r="3585">
          <cell r="A3585" t="str">
            <v>99-22441</v>
          </cell>
          <cell r="E3585" t="str">
            <v>ESMALTE - KITOX</v>
          </cell>
        </row>
        <row r="3586">
          <cell r="A3586" t="str">
            <v>99-22443</v>
          </cell>
          <cell r="E3586" t="str">
            <v>ESMALTE - KITOX</v>
          </cell>
        </row>
        <row r="3587">
          <cell r="A3587" t="str">
            <v>99-22444</v>
          </cell>
          <cell r="E3587" t="str">
            <v>ESMALTE - KITOX</v>
          </cell>
        </row>
        <row r="3588">
          <cell r="A3588" t="str">
            <v>99-22445</v>
          </cell>
          <cell r="E3588" t="str">
            <v>ESMALTE - KITOX</v>
          </cell>
        </row>
        <row r="3589">
          <cell r="A3589" t="str">
            <v>99-22446</v>
          </cell>
          <cell r="E3589" t="str">
            <v>ESMALTE - KITOX</v>
          </cell>
        </row>
        <row r="3590">
          <cell r="A3590" t="str">
            <v>99-22451</v>
          </cell>
          <cell r="E3590" t="str">
            <v>ESMALTE - KITOX</v>
          </cell>
        </row>
        <row r="3591">
          <cell r="A3591" t="str">
            <v>99-22453</v>
          </cell>
          <cell r="E3591" t="str">
            <v>ESMALTE - KITOX</v>
          </cell>
        </row>
        <row r="3592">
          <cell r="A3592" t="str">
            <v>99-22454</v>
          </cell>
          <cell r="E3592" t="str">
            <v>ESMALTE - KITOX</v>
          </cell>
        </row>
        <row r="3593">
          <cell r="A3593" t="str">
            <v>99-22455</v>
          </cell>
          <cell r="E3593" t="str">
            <v>ESMALTE - KITOX</v>
          </cell>
        </row>
        <row r="3594">
          <cell r="A3594" t="str">
            <v>99-22456</v>
          </cell>
          <cell r="E3594" t="str">
            <v>ESMALTE - KITOX</v>
          </cell>
        </row>
        <row r="3595">
          <cell r="A3595" t="str">
            <v>99-22560</v>
          </cell>
          <cell r="E3595" t="str">
            <v>ESMALTE - KITOX</v>
          </cell>
        </row>
        <row r="3596">
          <cell r="A3596" t="str">
            <v>99-22561</v>
          </cell>
          <cell r="E3596" t="str">
            <v>ESMALTE - KITOX</v>
          </cell>
        </row>
        <row r="3597">
          <cell r="A3597" t="str">
            <v>99-22563</v>
          </cell>
          <cell r="E3597" t="str">
            <v>ESMALTE - KITOX</v>
          </cell>
        </row>
        <row r="3598">
          <cell r="A3598" t="str">
            <v>99-22564</v>
          </cell>
          <cell r="E3598" t="str">
            <v>ESMALTE - KITOX</v>
          </cell>
        </row>
        <row r="3599">
          <cell r="A3599" t="str">
            <v>99-22565</v>
          </cell>
          <cell r="E3599" t="str">
            <v>ESMALTE - KITOX</v>
          </cell>
        </row>
        <row r="3600">
          <cell r="A3600" t="str">
            <v>99-22566</v>
          </cell>
          <cell r="E3600" t="str">
            <v>ESMALTE - KITOX</v>
          </cell>
        </row>
        <row r="3601">
          <cell r="A3601" t="str">
            <v>99-22581</v>
          </cell>
          <cell r="E3601" t="str">
            <v>ESMALTE - KITOX</v>
          </cell>
        </row>
        <row r="3602">
          <cell r="A3602" t="str">
            <v>99-22583</v>
          </cell>
          <cell r="E3602" t="str">
            <v>ESMALTE - KITOX</v>
          </cell>
        </row>
        <row r="3603">
          <cell r="A3603" t="str">
            <v>99-22584</v>
          </cell>
          <cell r="E3603" t="str">
            <v>ESMALTE - KITOX</v>
          </cell>
        </row>
        <row r="3604">
          <cell r="A3604" t="str">
            <v>99-22585</v>
          </cell>
          <cell r="E3604" t="str">
            <v>ESMALTE - KITOX</v>
          </cell>
        </row>
        <row r="3605">
          <cell r="A3605" t="str">
            <v>99-22586</v>
          </cell>
          <cell r="E3605" t="str">
            <v>ESMALTE - KITOX</v>
          </cell>
        </row>
        <row r="3606">
          <cell r="A3606" t="str">
            <v>99-22631</v>
          </cell>
          <cell r="E3606" t="str">
            <v>ESMALTE - KITOX</v>
          </cell>
        </row>
        <row r="3607">
          <cell r="A3607" t="str">
            <v>99-22633</v>
          </cell>
          <cell r="E3607" t="str">
            <v>ESMALTE - KITOX</v>
          </cell>
        </row>
        <row r="3608">
          <cell r="A3608" t="str">
            <v>99-22634</v>
          </cell>
          <cell r="E3608" t="str">
            <v>ESMALTE - KITOX</v>
          </cell>
        </row>
        <row r="3609">
          <cell r="A3609" t="str">
            <v>99-22635</v>
          </cell>
          <cell r="E3609" t="str">
            <v>ESMALTE - KITOX</v>
          </cell>
        </row>
        <row r="3610">
          <cell r="A3610" t="str">
            <v>99-22636</v>
          </cell>
          <cell r="E3610" t="str">
            <v>ESMALTE - KITOX</v>
          </cell>
        </row>
        <row r="3611">
          <cell r="A3611" t="str">
            <v>99-22641</v>
          </cell>
          <cell r="E3611" t="str">
            <v>ESMALTE - KITOX</v>
          </cell>
        </row>
        <row r="3612">
          <cell r="A3612" t="str">
            <v>99-22643</v>
          </cell>
          <cell r="E3612" t="str">
            <v>ESMALTE - KITOX</v>
          </cell>
        </row>
        <row r="3613">
          <cell r="A3613" t="str">
            <v>99-22644</v>
          </cell>
          <cell r="E3613" t="str">
            <v>ESMALTE - KITOX</v>
          </cell>
        </row>
        <row r="3614">
          <cell r="A3614" t="str">
            <v>99-22645</v>
          </cell>
          <cell r="E3614" t="str">
            <v>ESMALTE - KITOX</v>
          </cell>
        </row>
        <row r="3615">
          <cell r="A3615" t="str">
            <v>99-22646</v>
          </cell>
          <cell r="E3615" t="str">
            <v>ESMALTE - KITOX</v>
          </cell>
        </row>
        <row r="3616">
          <cell r="A3616" t="str">
            <v>99-22650</v>
          </cell>
          <cell r="E3616" t="str">
            <v>ESMALTE - KITOX</v>
          </cell>
        </row>
        <row r="3617">
          <cell r="A3617" t="str">
            <v>99-22651</v>
          </cell>
          <cell r="E3617" t="str">
            <v>ESMALTE - KITOX</v>
          </cell>
        </row>
        <row r="3618">
          <cell r="A3618" t="str">
            <v>99-22653</v>
          </cell>
          <cell r="E3618" t="str">
            <v>ESMALTE - KITOX</v>
          </cell>
        </row>
        <row r="3619">
          <cell r="A3619" t="str">
            <v>99-22654</v>
          </cell>
          <cell r="E3619" t="str">
            <v>ESMALTE - KITOX</v>
          </cell>
        </row>
        <row r="3620">
          <cell r="A3620" t="str">
            <v>99-22655</v>
          </cell>
          <cell r="E3620" t="str">
            <v>ESMALTE - KITOX</v>
          </cell>
        </row>
        <row r="3621">
          <cell r="A3621" t="str">
            <v>99-22656</v>
          </cell>
          <cell r="E3621" t="str">
            <v>ESMALTE - KITOX</v>
          </cell>
        </row>
        <row r="3622">
          <cell r="A3622" t="str">
            <v>99-22661</v>
          </cell>
          <cell r="E3622" t="str">
            <v>ESMALTE - KITOX</v>
          </cell>
        </row>
        <row r="3623">
          <cell r="A3623" t="str">
            <v>99-22663</v>
          </cell>
          <cell r="E3623" t="str">
            <v>ESMALTE - KITOX</v>
          </cell>
        </row>
        <row r="3624">
          <cell r="A3624" t="str">
            <v>99-22664</v>
          </cell>
          <cell r="E3624" t="str">
            <v>ESMALTE - KITOX</v>
          </cell>
        </row>
        <row r="3625">
          <cell r="A3625" t="str">
            <v>99-22665</v>
          </cell>
          <cell r="E3625" t="str">
            <v>ESMALTE - KITOX</v>
          </cell>
        </row>
        <row r="3626">
          <cell r="A3626" t="str">
            <v>99-22666</v>
          </cell>
          <cell r="E3626" t="str">
            <v>ESMALTE - KITOX</v>
          </cell>
        </row>
        <row r="3627">
          <cell r="A3627" t="str">
            <v>99-22751</v>
          </cell>
          <cell r="E3627" t="str">
            <v>ESMALTE - KITOX</v>
          </cell>
        </row>
        <row r="3628">
          <cell r="A3628" t="str">
            <v>99-22753</v>
          </cell>
          <cell r="E3628" t="str">
            <v>ESMALTE - KITOX</v>
          </cell>
        </row>
        <row r="3629">
          <cell r="A3629" t="str">
            <v>99-22754</v>
          </cell>
          <cell r="E3629" t="str">
            <v>ESMALTE - KITOX</v>
          </cell>
        </row>
        <row r="3630">
          <cell r="A3630" t="str">
            <v>99-22755</v>
          </cell>
          <cell r="E3630" t="str">
            <v>ESMALTE - KITOX</v>
          </cell>
        </row>
        <row r="3631">
          <cell r="A3631" t="str">
            <v>99-22756</v>
          </cell>
          <cell r="E3631" t="str">
            <v>ESMALTE - KITOX</v>
          </cell>
        </row>
        <row r="3632">
          <cell r="A3632" t="str">
            <v>99-22771</v>
          </cell>
          <cell r="E3632" t="str">
            <v>ESMALTE - KITOX</v>
          </cell>
        </row>
        <row r="3633">
          <cell r="A3633" t="str">
            <v>99-22773</v>
          </cell>
          <cell r="E3633" t="str">
            <v>ESMALTE - KITOX</v>
          </cell>
        </row>
        <row r="3634">
          <cell r="A3634" t="str">
            <v>99-22774</v>
          </cell>
          <cell r="E3634" t="str">
            <v>ESMALTE - KITOX</v>
          </cell>
        </row>
        <row r="3635">
          <cell r="A3635" t="str">
            <v>99-22775</v>
          </cell>
          <cell r="E3635" t="str">
            <v>ESMALTE - KITOX</v>
          </cell>
        </row>
        <row r="3636">
          <cell r="A3636" t="str">
            <v>99-22776</v>
          </cell>
          <cell r="E3636" t="str">
            <v>ESMALTE - KITOX</v>
          </cell>
        </row>
        <row r="3637">
          <cell r="A3637" t="str">
            <v>99-22901</v>
          </cell>
          <cell r="E3637" t="str">
            <v>ESMALTE - KITOX</v>
          </cell>
        </row>
        <row r="3638">
          <cell r="A3638" t="str">
            <v>99-22930</v>
          </cell>
          <cell r="E3638" t="str">
            <v>ESMALTE - KITOX</v>
          </cell>
        </row>
        <row r="3639">
          <cell r="A3639" t="str">
            <v>99-22931</v>
          </cell>
          <cell r="E3639" t="str">
            <v>ESMALTE - KITOX</v>
          </cell>
        </row>
        <row r="3640">
          <cell r="A3640" t="str">
            <v>99-22933</v>
          </cell>
          <cell r="E3640" t="str">
            <v>ESMALTE - KITOX</v>
          </cell>
        </row>
        <row r="3641">
          <cell r="A3641" t="str">
            <v>99-22934</v>
          </cell>
          <cell r="E3641" t="str">
            <v>ESMALTE - KITOX</v>
          </cell>
        </row>
        <row r="3642">
          <cell r="A3642" t="str">
            <v>99-22935</v>
          </cell>
          <cell r="E3642" t="str">
            <v>ESMALTE - KITOX</v>
          </cell>
        </row>
        <row r="3643">
          <cell r="A3643" t="str">
            <v>99-22936</v>
          </cell>
          <cell r="E3643" t="str">
            <v>ESMALTE - KITOX</v>
          </cell>
        </row>
        <row r="3644">
          <cell r="A3644" t="str">
            <v>99-22991</v>
          </cell>
          <cell r="E3644" t="str">
            <v>ESMALTE - KITOX</v>
          </cell>
        </row>
        <row r="3645">
          <cell r="A3645" t="str">
            <v>99-22993</v>
          </cell>
          <cell r="E3645" t="str">
            <v>ESMALTE - KITOX</v>
          </cell>
        </row>
        <row r="3646">
          <cell r="A3646" t="str">
            <v>99-22994</v>
          </cell>
          <cell r="E3646" t="str">
            <v>ESMALTE - KITOX</v>
          </cell>
        </row>
        <row r="3647">
          <cell r="A3647" t="str">
            <v>99-22995</v>
          </cell>
          <cell r="E3647" t="str">
            <v>ESMALTE - KITOX</v>
          </cell>
        </row>
        <row r="3648">
          <cell r="A3648" t="str">
            <v>99-22996</v>
          </cell>
          <cell r="E3648" t="str">
            <v>ESMALTE - KITOX</v>
          </cell>
        </row>
        <row r="3649">
          <cell r="A3649" t="str">
            <v>99-2300</v>
          </cell>
          <cell r="E3649" t="str">
            <v>AEROSOLES PRISA</v>
          </cell>
        </row>
        <row r="3650">
          <cell r="A3650" t="str">
            <v>99-2301</v>
          </cell>
          <cell r="E3650" t="str">
            <v>AEROSOLES PRISA</v>
          </cell>
        </row>
        <row r="3651">
          <cell r="A3651" t="str">
            <v>99-2314</v>
          </cell>
          <cell r="E3651" t="str">
            <v>AEROSOLES PRISA</v>
          </cell>
        </row>
        <row r="3652">
          <cell r="A3652" t="str">
            <v>99-2315</v>
          </cell>
          <cell r="E3652" t="str">
            <v>AEROSOLES PRISA</v>
          </cell>
        </row>
        <row r="3653">
          <cell r="A3653" t="str">
            <v>99-2316</v>
          </cell>
          <cell r="E3653" t="str">
            <v>AEROSOLES PRISA</v>
          </cell>
        </row>
        <row r="3654">
          <cell r="A3654" t="str">
            <v>99-2317</v>
          </cell>
          <cell r="E3654" t="str">
            <v>AEROSOLES PRISA</v>
          </cell>
        </row>
        <row r="3655">
          <cell r="A3655" t="str">
            <v>99-2322</v>
          </cell>
          <cell r="E3655" t="str">
            <v>AEROSOLES PRISA</v>
          </cell>
        </row>
        <row r="3656">
          <cell r="A3656" t="str">
            <v>99-2324</v>
          </cell>
          <cell r="E3656" t="str">
            <v>AEROSOLES PRISA</v>
          </cell>
        </row>
        <row r="3657">
          <cell r="A3657" t="str">
            <v>99-2335</v>
          </cell>
          <cell r="E3657" t="str">
            <v>AEROSOLES PRISA</v>
          </cell>
        </row>
        <row r="3658">
          <cell r="A3658" t="str">
            <v>99-2343</v>
          </cell>
          <cell r="E3658" t="str">
            <v>AEROSOLES PRISA</v>
          </cell>
        </row>
        <row r="3659">
          <cell r="A3659" t="str">
            <v>99-2344</v>
          </cell>
          <cell r="E3659" t="str">
            <v>AEROSOLES PRISA</v>
          </cell>
        </row>
        <row r="3660">
          <cell r="A3660" t="str">
            <v>99-2345</v>
          </cell>
          <cell r="E3660" t="str">
            <v>AEROSOLES PRISA</v>
          </cell>
        </row>
        <row r="3661">
          <cell r="A3661" t="str">
            <v>99-2356</v>
          </cell>
          <cell r="E3661" t="str">
            <v>AEROSOLES PRISA</v>
          </cell>
        </row>
        <row r="3662">
          <cell r="A3662" t="str">
            <v>99-2358</v>
          </cell>
          <cell r="E3662" t="str">
            <v>AEROSOLES PRISA</v>
          </cell>
        </row>
        <row r="3663">
          <cell r="A3663" t="str">
            <v>99-2364</v>
          </cell>
          <cell r="E3663" t="str">
            <v>AEROSOLES PRISA</v>
          </cell>
        </row>
        <row r="3664">
          <cell r="A3664" t="str">
            <v>99-2365</v>
          </cell>
          <cell r="E3664" t="str">
            <v>AEROSOLES PRISA</v>
          </cell>
        </row>
        <row r="3665">
          <cell r="A3665" t="str">
            <v>99-2366</v>
          </cell>
          <cell r="E3665" t="str">
            <v>AEROSOLES PRISA</v>
          </cell>
        </row>
        <row r="3666">
          <cell r="A3666" t="str">
            <v>99-2367</v>
          </cell>
          <cell r="E3666" t="str">
            <v>AEROSOLES PRISA</v>
          </cell>
        </row>
        <row r="3667">
          <cell r="A3667" t="str">
            <v>99-2373</v>
          </cell>
          <cell r="E3667" t="str">
            <v>AEROSOLES PRISA</v>
          </cell>
        </row>
        <row r="3668">
          <cell r="A3668" t="str">
            <v>99-2375</v>
          </cell>
          <cell r="E3668" t="str">
            <v>AEROSOLES PRISA</v>
          </cell>
        </row>
        <row r="3669">
          <cell r="A3669" t="str">
            <v>99-2376</v>
          </cell>
          <cell r="E3669" t="str">
            <v>AEROSOLES PRISA</v>
          </cell>
        </row>
        <row r="3670">
          <cell r="A3670" t="str">
            <v>99-2380</v>
          </cell>
          <cell r="E3670" t="str">
            <v>AEROSOLES PRISA</v>
          </cell>
        </row>
        <row r="3671">
          <cell r="A3671" t="str">
            <v>99-2381</v>
          </cell>
          <cell r="E3671" t="str">
            <v>AEROSOLES PRISA</v>
          </cell>
        </row>
        <row r="3672">
          <cell r="A3672" t="str">
            <v>99-2390</v>
          </cell>
          <cell r="E3672" t="str">
            <v>AEROSOLES PRISA</v>
          </cell>
        </row>
        <row r="3673">
          <cell r="A3673" t="str">
            <v>99-2393</v>
          </cell>
          <cell r="E3673" t="str">
            <v>AEROSOLES PRISA</v>
          </cell>
        </row>
        <row r="3674">
          <cell r="A3674" t="str">
            <v>99-2396</v>
          </cell>
          <cell r="E3674" t="str">
            <v>AEROSOLES PRISA</v>
          </cell>
        </row>
        <row r="3675">
          <cell r="A3675" t="str">
            <v>99-2397</v>
          </cell>
          <cell r="E3675" t="str">
            <v>AEROSOLES PRISA</v>
          </cell>
        </row>
        <row r="3676">
          <cell r="A3676" t="str">
            <v>99-2398</v>
          </cell>
          <cell r="E3676" t="str">
            <v>AEROSOLES PRISA</v>
          </cell>
        </row>
        <row r="3677">
          <cell r="A3677" t="str">
            <v>99-2399</v>
          </cell>
          <cell r="E3677" t="str">
            <v>AEROSOLES PRISA</v>
          </cell>
        </row>
        <row r="3678">
          <cell r="A3678" t="str">
            <v>99-2411</v>
          </cell>
          <cell r="E3678" t="str">
            <v>AEROSOLES PRISA</v>
          </cell>
        </row>
        <row r="3679">
          <cell r="A3679" t="str">
            <v>99-2413</v>
          </cell>
          <cell r="E3679" t="str">
            <v>AEROSOLES PRISA</v>
          </cell>
        </row>
        <row r="3680">
          <cell r="A3680" t="str">
            <v>99-2414</v>
          </cell>
          <cell r="E3680" t="str">
            <v>AEROSOLES PRISA</v>
          </cell>
        </row>
        <row r="3681">
          <cell r="A3681" t="str">
            <v>99-2417</v>
          </cell>
          <cell r="E3681" t="str">
            <v>AEROSOLES PRISA</v>
          </cell>
        </row>
        <row r="3682">
          <cell r="A3682" t="str">
            <v>99-2451</v>
          </cell>
          <cell r="E3682" t="str">
            <v>AEROSOLES PRISA</v>
          </cell>
        </row>
        <row r="3683">
          <cell r="A3683" t="str">
            <v>99-2454</v>
          </cell>
          <cell r="E3683" t="str">
            <v>AEROSOLES PRISA</v>
          </cell>
        </row>
        <row r="3684">
          <cell r="A3684" t="str">
            <v>99-2461</v>
          </cell>
          <cell r="E3684" t="str">
            <v>AEROSOLES PRISA</v>
          </cell>
        </row>
        <row r="3685">
          <cell r="A3685" t="str">
            <v>99-2462</v>
          </cell>
          <cell r="E3685" t="str">
            <v>AEROSOLES PRISA</v>
          </cell>
        </row>
        <row r="3686">
          <cell r="A3686" t="str">
            <v>99-2463</v>
          </cell>
          <cell r="E3686" t="str">
            <v>AEROSOLES PRISA</v>
          </cell>
        </row>
        <row r="3687">
          <cell r="A3687" t="str">
            <v>99-2497</v>
          </cell>
          <cell r="E3687" t="str">
            <v>AEROSOLES PRISA</v>
          </cell>
        </row>
        <row r="3688">
          <cell r="A3688" t="str">
            <v>99-25000</v>
          </cell>
          <cell r="E3688" t="str">
            <v>ESMALTE ACRILICO</v>
          </cell>
        </row>
        <row r="3689">
          <cell r="A3689" t="str">
            <v>99-25001</v>
          </cell>
          <cell r="E3689" t="str">
            <v>ESMALTE ACRILICO</v>
          </cell>
        </row>
        <row r="3690">
          <cell r="A3690" t="str">
            <v>99-25003</v>
          </cell>
          <cell r="E3690" t="str">
            <v>ESMALTE ACRILICO</v>
          </cell>
        </row>
        <row r="3691">
          <cell r="A3691" t="str">
            <v>99-25004</v>
          </cell>
          <cell r="E3691" t="str">
            <v>ESMALTE ACRILICO</v>
          </cell>
        </row>
        <row r="3692">
          <cell r="A3692" t="str">
            <v>99-25014</v>
          </cell>
          <cell r="E3692" t="str">
            <v>ESMALTE ACRILICO</v>
          </cell>
        </row>
        <row r="3693">
          <cell r="A3693" t="str">
            <v>99-25133</v>
          </cell>
          <cell r="E3693" t="str">
            <v>ESMALTE ACRILICO</v>
          </cell>
        </row>
        <row r="3694">
          <cell r="A3694" t="str">
            <v>99-25143</v>
          </cell>
          <cell r="E3694" t="str">
            <v>ESMALTE ACRILICO</v>
          </cell>
        </row>
        <row r="3695">
          <cell r="A3695" t="str">
            <v>99-25151</v>
          </cell>
          <cell r="E3695" t="str">
            <v>ESMALTE ACRILICO</v>
          </cell>
        </row>
        <row r="3696">
          <cell r="A3696" t="str">
            <v>99-25153</v>
          </cell>
          <cell r="E3696" t="str">
            <v>ESMALTE ACRILICO</v>
          </cell>
        </row>
        <row r="3697">
          <cell r="A3697" t="str">
            <v>99-25181</v>
          </cell>
          <cell r="E3697" t="str">
            <v>ESMALTE ACRILICO</v>
          </cell>
        </row>
        <row r="3698">
          <cell r="A3698" t="str">
            <v>99-25183</v>
          </cell>
          <cell r="E3698" t="str">
            <v>ESMALTE ACRILICO</v>
          </cell>
        </row>
        <row r="3699">
          <cell r="A3699" t="str">
            <v>99-25193</v>
          </cell>
          <cell r="E3699" t="str">
            <v>ESMALTE ACRILICO</v>
          </cell>
        </row>
        <row r="3700">
          <cell r="A3700" t="str">
            <v>99-25204</v>
          </cell>
          <cell r="E3700" t="str">
            <v>ESMALTE ACRILICO</v>
          </cell>
        </row>
        <row r="3701">
          <cell r="A3701" t="str">
            <v>99-25263</v>
          </cell>
          <cell r="E3701" t="str">
            <v>ESMALTE ACRILICO</v>
          </cell>
        </row>
        <row r="3702">
          <cell r="A3702" t="str">
            <v>99-25353</v>
          </cell>
          <cell r="E3702" t="str">
            <v>ESMALTE ACRILICO</v>
          </cell>
        </row>
        <row r="3703">
          <cell r="A3703" t="str">
            <v>99-25433</v>
          </cell>
          <cell r="E3703" t="str">
            <v>ESMALTE ACRILICO</v>
          </cell>
        </row>
        <row r="3704">
          <cell r="A3704" t="str">
            <v>99-25443</v>
          </cell>
          <cell r="E3704" t="str">
            <v>ESMALTE ACRILICO</v>
          </cell>
        </row>
        <row r="3705">
          <cell r="A3705" t="str">
            <v>99-25451</v>
          </cell>
          <cell r="E3705" t="str">
            <v>ESMALTE ACRILICO</v>
          </cell>
        </row>
        <row r="3706">
          <cell r="A3706" t="str">
            <v>99-25453</v>
          </cell>
          <cell r="E3706" t="str">
            <v>ESMALTE ACRILICO</v>
          </cell>
        </row>
        <row r="3707">
          <cell r="A3707" t="str">
            <v>99-25473</v>
          </cell>
          <cell r="E3707" t="str">
            <v>ESMALTE ACRILICO</v>
          </cell>
        </row>
        <row r="3708">
          <cell r="A3708" t="str">
            <v>99-25481</v>
          </cell>
          <cell r="E3708" t="str">
            <v>ESMALTE ACRILICO</v>
          </cell>
        </row>
        <row r="3709">
          <cell r="A3709" t="str">
            <v>99-25483</v>
          </cell>
          <cell r="E3709" t="str">
            <v>ESMALTE ACRILICO</v>
          </cell>
        </row>
        <row r="3710">
          <cell r="A3710" t="str">
            <v>99-25534</v>
          </cell>
          <cell r="E3710" t="str">
            <v>ESMALTE ACRILICO</v>
          </cell>
        </row>
        <row r="3711">
          <cell r="A3711" t="str">
            <v>99-25563</v>
          </cell>
          <cell r="E3711" t="str">
            <v>ESMALTE ACRILICO</v>
          </cell>
        </row>
        <row r="3712">
          <cell r="A3712" t="str">
            <v>99-25634</v>
          </cell>
          <cell r="E3712" t="str">
            <v>ESMALTE ACRILICO</v>
          </cell>
        </row>
        <row r="3713">
          <cell r="A3713" t="str">
            <v>99-25643</v>
          </cell>
          <cell r="E3713" t="str">
            <v>ESMALTE ACRILICO</v>
          </cell>
        </row>
        <row r="3714">
          <cell r="A3714" t="str">
            <v>99-25653</v>
          </cell>
          <cell r="E3714" t="str">
            <v>ESMALTE ACRILICO</v>
          </cell>
        </row>
        <row r="3715">
          <cell r="A3715" t="str">
            <v>99-25671</v>
          </cell>
          <cell r="E3715" t="str">
            <v>ESMALTE ACRILICO</v>
          </cell>
        </row>
        <row r="3716">
          <cell r="A3716" t="str">
            <v>99-25673</v>
          </cell>
          <cell r="E3716" t="str">
            <v>ESMALTE ACRILICO</v>
          </cell>
        </row>
        <row r="3717">
          <cell r="A3717" t="str">
            <v>99-25683</v>
          </cell>
          <cell r="E3717" t="str">
            <v>ESMALTE ACRILICO</v>
          </cell>
        </row>
        <row r="3718">
          <cell r="A3718" t="str">
            <v>99-25693</v>
          </cell>
          <cell r="E3718" t="str">
            <v>ESMALTE ACRILICO</v>
          </cell>
        </row>
        <row r="3719">
          <cell r="A3719" t="str">
            <v>99-25704</v>
          </cell>
          <cell r="E3719" t="str">
            <v>ESMALTE ACRILICO</v>
          </cell>
        </row>
        <row r="3720">
          <cell r="A3720" t="str">
            <v>99-25734</v>
          </cell>
          <cell r="E3720" t="str">
            <v>ESMALTE ACRILICO</v>
          </cell>
        </row>
        <row r="3721">
          <cell r="A3721" t="str">
            <v>99-25753</v>
          </cell>
          <cell r="E3721" t="str">
            <v>ESMALTE ACRILICO</v>
          </cell>
        </row>
        <row r="3722">
          <cell r="A3722" t="str">
            <v>99-25801</v>
          </cell>
          <cell r="E3722" t="str">
            <v>ESMALTE ACRILICO</v>
          </cell>
        </row>
        <row r="3723">
          <cell r="A3723" t="str">
            <v>99-25803</v>
          </cell>
          <cell r="E3723" t="str">
            <v>ESMALTE ACRILICO</v>
          </cell>
        </row>
        <row r="3724">
          <cell r="A3724" t="str">
            <v>99-25913</v>
          </cell>
          <cell r="E3724" t="str">
            <v>ESMALTE ACRILICO</v>
          </cell>
        </row>
        <row r="3725">
          <cell r="A3725" t="str">
            <v>99-25921</v>
          </cell>
          <cell r="E3725" t="str">
            <v>ESMALTE ACRILICO</v>
          </cell>
        </row>
        <row r="3726">
          <cell r="A3726" t="str">
            <v>99-25923</v>
          </cell>
          <cell r="E3726" t="str">
            <v>ESMALTE ACRILICO</v>
          </cell>
        </row>
        <row r="3727">
          <cell r="A3727" t="str">
            <v>99-25931</v>
          </cell>
          <cell r="E3727" t="str">
            <v>ESMALTE ACRILICO</v>
          </cell>
        </row>
        <row r="3728">
          <cell r="A3728" t="str">
            <v>99-25933</v>
          </cell>
          <cell r="E3728" t="str">
            <v>ESMALTE ACRILICO</v>
          </cell>
        </row>
        <row r="3729">
          <cell r="A3729" t="str">
            <v>99-25943</v>
          </cell>
          <cell r="E3729" t="str">
            <v>ESMALTE ACRILICO</v>
          </cell>
        </row>
        <row r="3730">
          <cell r="A3730" t="str">
            <v>99-25953</v>
          </cell>
          <cell r="E3730" t="str">
            <v>ESMALTE ACRILICO</v>
          </cell>
        </row>
        <row r="3731">
          <cell r="A3731" t="str">
            <v>99-25961</v>
          </cell>
          <cell r="E3731" t="str">
            <v>ESMALTE ACRILICO</v>
          </cell>
        </row>
        <row r="3732">
          <cell r="A3732" t="str">
            <v>99-25963</v>
          </cell>
          <cell r="E3732" t="str">
            <v>ESMALTE ACRILICO</v>
          </cell>
        </row>
        <row r="3733">
          <cell r="A3733" t="str">
            <v>99-25973</v>
          </cell>
          <cell r="E3733" t="str">
            <v>ESMALTE ACRILICO</v>
          </cell>
        </row>
        <row r="3734">
          <cell r="A3734" t="str">
            <v>99-25983</v>
          </cell>
          <cell r="E3734" t="str">
            <v>ESMALTE ACRILICO</v>
          </cell>
        </row>
        <row r="3735">
          <cell r="A3735" t="str">
            <v>99-25991</v>
          </cell>
          <cell r="E3735" t="str">
            <v>ESMALTE ACRILICO</v>
          </cell>
        </row>
        <row r="3736">
          <cell r="A3736" t="str">
            <v>99-25993</v>
          </cell>
          <cell r="E3736" t="str">
            <v>ESMALTE ACRILICO</v>
          </cell>
        </row>
        <row r="3737">
          <cell r="A3737" t="str">
            <v>99-25994</v>
          </cell>
          <cell r="E3737" t="str">
            <v>ESMALTE ACRILICO</v>
          </cell>
        </row>
        <row r="3738">
          <cell r="A3738" t="str">
            <v>99-26991</v>
          </cell>
          <cell r="E3738" t="str">
            <v>LACA ACRILICA</v>
          </cell>
        </row>
        <row r="3739">
          <cell r="A3739" t="str">
            <v>99-27801</v>
          </cell>
          <cell r="E3739" t="str">
            <v>BARNIZ ALQUIDALICO SIGLO</v>
          </cell>
        </row>
        <row r="3740">
          <cell r="A3740" t="str">
            <v>99-27803</v>
          </cell>
          <cell r="E3740" t="str">
            <v>BARNIZ ALQUIDALICO SIGLO</v>
          </cell>
        </row>
        <row r="3741">
          <cell r="A3741" t="str">
            <v>99-27804</v>
          </cell>
          <cell r="E3741" t="str">
            <v>BARNIZ ALQUIDALICO SIGLO</v>
          </cell>
        </row>
        <row r="3742">
          <cell r="A3742" t="str">
            <v>99-27813</v>
          </cell>
          <cell r="E3742" t="str">
            <v>BARNIZ ALQUIDALICO SIGLO</v>
          </cell>
        </row>
        <row r="3743">
          <cell r="A3743" t="str">
            <v>99-28001</v>
          </cell>
          <cell r="E3743" t="str">
            <v>ESMALTE - BRILLON</v>
          </cell>
        </row>
        <row r="3744">
          <cell r="A3744" t="str">
            <v>99-28003</v>
          </cell>
          <cell r="E3744" t="str">
            <v>ESMALTE - BRILLON</v>
          </cell>
        </row>
        <row r="3745">
          <cell r="A3745" t="str">
            <v>99-28004</v>
          </cell>
          <cell r="E3745" t="str">
            <v>ESMALTE - BRILLON</v>
          </cell>
        </row>
        <row r="3746">
          <cell r="A3746" t="str">
            <v>99-28005</v>
          </cell>
          <cell r="E3746" t="str">
            <v>ESMALTE - BRILLON</v>
          </cell>
        </row>
        <row r="3747">
          <cell r="A3747" t="str">
            <v>99-28006</v>
          </cell>
          <cell r="E3747" t="str">
            <v>ESMALTE - BRILLON</v>
          </cell>
        </row>
        <row r="3748">
          <cell r="A3748" t="str">
            <v>99-28011</v>
          </cell>
          <cell r="E3748" t="str">
            <v>ESMALTE - BRILLON</v>
          </cell>
        </row>
        <row r="3749">
          <cell r="A3749" t="str">
            <v>99-28013</v>
          </cell>
          <cell r="E3749" t="str">
            <v>ESMALTE - BRILLON</v>
          </cell>
        </row>
        <row r="3750">
          <cell r="A3750" t="str">
            <v>99-28014</v>
          </cell>
          <cell r="E3750" t="str">
            <v>ESMALTE - BRILLON</v>
          </cell>
        </row>
        <row r="3751">
          <cell r="A3751" t="str">
            <v>99-28015</v>
          </cell>
          <cell r="E3751" t="str">
            <v>ESMALTE - BRILLON</v>
          </cell>
        </row>
        <row r="3752">
          <cell r="A3752" t="str">
            <v>99-28016</v>
          </cell>
          <cell r="E3752" t="str">
            <v>ESMALTE - BRILLON</v>
          </cell>
        </row>
        <row r="3753">
          <cell r="A3753" t="str">
            <v>99-28031</v>
          </cell>
          <cell r="E3753" t="str">
            <v>ESMALTE - BRILLON</v>
          </cell>
        </row>
        <row r="3754">
          <cell r="A3754" t="str">
            <v>99-28033</v>
          </cell>
          <cell r="E3754" t="str">
            <v>ESMALTE - BRILLON</v>
          </cell>
        </row>
        <row r="3755">
          <cell r="A3755" t="str">
            <v>99-28034</v>
          </cell>
          <cell r="E3755" t="str">
            <v>ESMALTE - BRILLON</v>
          </cell>
        </row>
        <row r="3756">
          <cell r="A3756" t="str">
            <v>99-28035</v>
          </cell>
          <cell r="E3756" t="str">
            <v>ESMALTE - BRILLON</v>
          </cell>
        </row>
        <row r="3757">
          <cell r="A3757" t="str">
            <v>99-28036</v>
          </cell>
          <cell r="E3757" t="str">
            <v>ESMALTE - BRILLON</v>
          </cell>
        </row>
        <row r="3758">
          <cell r="A3758" t="str">
            <v>99-28051</v>
          </cell>
          <cell r="E3758" t="str">
            <v>ESMALTE - BRILLON</v>
          </cell>
        </row>
        <row r="3759">
          <cell r="A3759" t="str">
            <v>99-28053</v>
          </cell>
          <cell r="E3759" t="str">
            <v>ESMALTE - BRILLON</v>
          </cell>
        </row>
        <row r="3760">
          <cell r="A3760" t="str">
            <v>99-28054</v>
          </cell>
          <cell r="E3760" t="str">
            <v>ESMALTE - BRILLON</v>
          </cell>
        </row>
        <row r="3761">
          <cell r="A3761" t="str">
            <v>99-28055</v>
          </cell>
          <cell r="E3761" t="str">
            <v>ESMALTE - BRILLON</v>
          </cell>
        </row>
        <row r="3762">
          <cell r="A3762" t="str">
            <v>99-28056</v>
          </cell>
          <cell r="E3762" t="str">
            <v>ESMALTE - BRILLON</v>
          </cell>
        </row>
        <row r="3763">
          <cell r="A3763" t="str">
            <v>99-28093</v>
          </cell>
          <cell r="E3763" t="str">
            <v>ESMALTE - BRILLON</v>
          </cell>
        </row>
        <row r="3764">
          <cell r="A3764" t="str">
            <v>99-28094</v>
          </cell>
          <cell r="E3764" t="str">
            <v>ESMALTE - BRILLON</v>
          </cell>
        </row>
        <row r="3765">
          <cell r="A3765" t="str">
            <v>99-28095</v>
          </cell>
          <cell r="E3765" t="str">
            <v>ESMALTE - BRILLON</v>
          </cell>
        </row>
        <row r="3766">
          <cell r="A3766" t="str">
            <v>99-28096</v>
          </cell>
          <cell r="E3766" t="str">
            <v>ESMALTE - BRILLON</v>
          </cell>
        </row>
        <row r="3767">
          <cell r="A3767" t="str">
            <v>99-28101</v>
          </cell>
          <cell r="E3767" t="str">
            <v>ESMALTE - BRILLON</v>
          </cell>
        </row>
        <row r="3768">
          <cell r="A3768" t="str">
            <v>99-28103</v>
          </cell>
          <cell r="E3768" t="str">
            <v>ESMALTE - BRILLON</v>
          </cell>
        </row>
        <row r="3769">
          <cell r="A3769" t="str">
            <v>99-28104</v>
          </cell>
          <cell r="E3769" t="str">
            <v>ESMALTE - BRILLON</v>
          </cell>
        </row>
        <row r="3770">
          <cell r="A3770" t="str">
            <v>99-28105</v>
          </cell>
          <cell r="E3770" t="str">
            <v>ESMALTE - BRILLON</v>
          </cell>
        </row>
        <row r="3771">
          <cell r="A3771" t="str">
            <v>99-28106</v>
          </cell>
          <cell r="E3771" t="str">
            <v>ESMALTE - BRILLON</v>
          </cell>
        </row>
        <row r="3772">
          <cell r="A3772" t="str">
            <v>99-28131</v>
          </cell>
          <cell r="E3772" t="str">
            <v>ESMALTE - BRILLON</v>
          </cell>
        </row>
        <row r="3773">
          <cell r="A3773" t="str">
            <v>99-28133</v>
          </cell>
          <cell r="E3773" t="str">
            <v>ESMALTE - BRILLON</v>
          </cell>
        </row>
        <row r="3774">
          <cell r="A3774" t="str">
            <v>99-28134</v>
          </cell>
          <cell r="E3774" t="str">
            <v>ESMALTE - BRILLON</v>
          </cell>
        </row>
        <row r="3775">
          <cell r="A3775" t="str">
            <v>99-28135</v>
          </cell>
          <cell r="E3775" t="str">
            <v>ESMALTE - BRILLON</v>
          </cell>
        </row>
        <row r="3776">
          <cell r="A3776" t="str">
            <v>99-28136</v>
          </cell>
          <cell r="E3776" t="str">
            <v>ESMALTE - BRILLON</v>
          </cell>
        </row>
        <row r="3777">
          <cell r="A3777" t="str">
            <v>99-28151</v>
          </cell>
          <cell r="E3777" t="str">
            <v>ESMALTE - BRILLON</v>
          </cell>
        </row>
        <row r="3778">
          <cell r="A3778" t="str">
            <v>99-28153</v>
          </cell>
          <cell r="E3778" t="str">
            <v>ESMALTE - BRILLON</v>
          </cell>
        </row>
        <row r="3779">
          <cell r="A3779" t="str">
            <v>99-28154</v>
          </cell>
          <cell r="E3779" t="str">
            <v>ESMALTE - BRILLON</v>
          </cell>
        </row>
        <row r="3780">
          <cell r="A3780" t="str">
            <v>99-28155</v>
          </cell>
          <cell r="E3780" t="str">
            <v>ESMALTE - BRILLON</v>
          </cell>
        </row>
        <row r="3781">
          <cell r="A3781" t="str">
            <v>99-28156</v>
          </cell>
          <cell r="E3781" t="str">
            <v>ESMALTE - BRILLON</v>
          </cell>
        </row>
        <row r="3782">
          <cell r="A3782" t="str">
            <v>99-28211</v>
          </cell>
          <cell r="E3782" t="str">
            <v>ESMALTE - BRILLON</v>
          </cell>
        </row>
        <row r="3783">
          <cell r="A3783" t="str">
            <v>99-28213</v>
          </cell>
          <cell r="E3783" t="str">
            <v>ESMALTE - BRILLON</v>
          </cell>
        </row>
        <row r="3784">
          <cell r="A3784" t="str">
            <v>99-28214</v>
          </cell>
          <cell r="E3784" t="str">
            <v>ESMALTE - BRILLON</v>
          </cell>
        </row>
        <row r="3785">
          <cell r="A3785" t="str">
            <v>99-28215</v>
          </cell>
          <cell r="E3785" t="str">
            <v>ESMALTE - BRILLON</v>
          </cell>
        </row>
        <row r="3786">
          <cell r="A3786" t="str">
            <v>99-28216</v>
          </cell>
          <cell r="E3786" t="str">
            <v>ESMALTE - BRILLON</v>
          </cell>
        </row>
        <row r="3787">
          <cell r="A3787" t="str">
            <v>99-28241</v>
          </cell>
          <cell r="E3787" t="str">
            <v>ESMALTE - BRILLON</v>
          </cell>
        </row>
        <row r="3788">
          <cell r="A3788" t="str">
            <v>99-28243</v>
          </cell>
          <cell r="E3788" t="str">
            <v>ESMALTE - BRILLON</v>
          </cell>
        </row>
        <row r="3789">
          <cell r="A3789" t="str">
            <v>99-28244</v>
          </cell>
          <cell r="E3789" t="str">
            <v>ESMALTE - BRILLON</v>
          </cell>
        </row>
        <row r="3790">
          <cell r="A3790" t="str">
            <v>99-28245</v>
          </cell>
          <cell r="E3790" t="str">
            <v>ESMALTE - BRILLON</v>
          </cell>
        </row>
        <row r="3791">
          <cell r="A3791" t="str">
            <v>99-28246</v>
          </cell>
          <cell r="E3791" t="str">
            <v>ESMALTE - BRILLON</v>
          </cell>
        </row>
        <row r="3792">
          <cell r="A3792" t="str">
            <v>99-28261</v>
          </cell>
          <cell r="E3792" t="str">
            <v>ESMALTE - BRILLON</v>
          </cell>
        </row>
        <row r="3793">
          <cell r="A3793" t="str">
            <v>99-28263</v>
          </cell>
          <cell r="E3793" t="str">
            <v>ESMALTE - BRILLON</v>
          </cell>
        </row>
        <row r="3794">
          <cell r="A3794" t="str">
            <v>99-28264</v>
          </cell>
          <cell r="E3794" t="str">
            <v>ESMALTE - BRILLON</v>
          </cell>
        </row>
        <row r="3795">
          <cell r="A3795" t="str">
            <v>99-28265</v>
          </cell>
          <cell r="E3795" t="str">
            <v>ESMALTE - BRILLON</v>
          </cell>
        </row>
        <row r="3796">
          <cell r="A3796" t="str">
            <v>99-28266</v>
          </cell>
          <cell r="E3796" t="str">
            <v>ESMALTE - BRILLON</v>
          </cell>
        </row>
        <row r="3797">
          <cell r="A3797" t="str">
            <v>99-28301</v>
          </cell>
          <cell r="E3797" t="str">
            <v>ESMALTE - BRILLON</v>
          </cell>
        </row>
        <row r="3798">
          <cell r="A3798" t="str">
            <v>99-28303</v>
          </cell>
          <cell r="E3798" t="str">
            <v>ESMALTE - BRILLON</v>
          </cell>
        </row>
        <row r="3799">
          <cell r="A3799" t="str">
            <v>99-28304</v>
          </cell>
          <cell r="E3799" t="str">
            <v>ESMALTE - BRILLON</v>
          </cell>
        </row>
        <row r="3800">
          <cell r="A3800" t="str">
            <v>99-28305</v>
          </cell>
          <cell r="E3800" t="str">
            <v>ESMALTE - BRILLON</v>
          </cell>
        </row>
        <row r="3801">
          <cell r="A3801" t="str">
            <v>99-28306</v>
          </cell>
          <cell r="E3801" t="str">
            <v>ESMALTE - BRILLON</v>
          </cell>
        </row>
        <row r="3802">
          <cell r="A3802" t="str">
            <v>99-28351</v>
          </cell>
          <cell r="E3802" t="str">
            <v>ESMALTE - BRILLON</v>
          </cell>
        </row>
        <row r="3803">
          <cell r="A3803" t="str">
            <v>99-28353</v>
          </cell>
          <cell r="E3803" t="str">
            <v>ESMALTE - BRILLON</v>
          </cell>
        </row>
        <row r="3804">
          <cell r="A3804" t="str">
            <v>99-28354</v>
          </cell>
          <cell r="E3804" t="str">
            <v>ESMALTE - BRILLON</v>
          </cell>
        </row>
        <row r="3805">
          <cell r="A3805" t="str">
            <v>99-28355</v>
          </cell>
          <cell r="E3805" t="str">
            <v>ESMALTE - BRILLON</v>
          </cell>
        </row>
        <row r="3806">
          <cell r="A3806" t="str">
            <v>99-28356</v>
          </cell>
          <cell r="E3806" t="str">
            <v>ESMALTE - BRILLON</v>
          </cell>
        </row>
        <row r="3807">
          <cell r="A3807" t="str">
            <v>99-28421</v>
          </cell>
          <cell r="E3807" t="str">
            <v>ESMALTE - BRILLON</v>
          </cell>
        </row>
        <row r="3808">
          <cell r="A3808" t="str">
            <v>99-28423</v>
          </cell>
          <cell r="E3808" t="str">
            <v>ESMALTE - BRILLON</v>
          </cell>
        </row>
        <row r="3809">
          <cell r="A3809" t="str">
            <v>99-28424</v>
          </cell>
          <cell r="E3809" t="str">
            <v>ESMALTE - BRILLON</v>
          </cell>
        </row>
        <row r="3810">
          <cell r="A3810" t="str">
            <v>99-28426</v>
          </cell>
          <cell r="E3810" t="str">
            <v>ESMALTE - BRILLON</v>
          </cell>
        </row>
        <row r="3811">
          <cell r="A3811" t="str">
            <v>99-28441</v>
          </cell>
          <cell r="E3811" t="str">
            <v>ESMALTE - BRILLON</v>
          </cell>
        </row>
        <row r="3812">
          <cell r="A3812" t="str">
            <v>99-28443</v>
          </cell>
          <cell r="E3812" t="str">
            <v>ESMALTE - BRILLON</v>
          </cell>
        </row>
        <row r="3813">
          <cell r="A3813" t="str">
            <v>99-28444</v>
          </cell>
          <cell r="E3813" t="str">
            <v>ESMALTE - BRILLON</v>
          </cell>
        </row>
        <row r="3814">
          <cell r="A3814" t="str">
            <v>99-28445</v>
          </cell>
          <cell r="E3814" t="str">
            <v>ESMALTE - BRILLON</v>
          </cell>
        </row>
        <row r="3815">
          <cell r="A3815" t="str">
            <v>99-28446</v>
          </cell>
          <cell r="E3815" t="str">
            <v>ESMALTE - BRILLON</v>
          </cell>
        </row>
        <row r="3816">
          <cell r="A3816" t="str">
            <v>99-28451</v>
          </cell>
          <cell r="E3816" t="str">
            <v>ESMALTE - BRILLON</v>
          </cell>
        </row>
        <row r="3817">
          <cell r="A3817" t="str">
            <v>99-28453</v>
          </cell>
          <cell r="E3817" t="str">
            <v>ESMALTE - BRILLON</v>
          </cell>
        </row>
        <row r="3818">
          <cell r="A3818" t="str">
            <v>99-28454</v>
          </cell>
          <cell r="E3818" t="str">
            <v>ESMALTE - BRILLON</v>
          </cell>
        </row>
        <row r="3819">
          <cell r="A3819" t="str">
            <v>99-28455</v>
          </cell>
          <cell r="E3819" t="str">
            <v>ESMALTE - BRILLON</v>
          </cell>
        </row>
        <row r="3820">
          <cell r="A3820" t="str">
            <v>99-28456</v>
          </cell>
          <cell r="E3820" t="str">
            <v>ESMALTE - BRILLON</v>
          </cell>
        </row>
        <row r="3821">
          <cell r="A3821" t="str">
            <v>99-28491</v>
          </cell>
          <cell r="E3821" t="str">
            <v>ESMALTE - BRILLON</v>
          </cell>
        </row>
        <row r="3822">
          <cell r="A3822" t="str">
            <v>99-28493</v>
          </cell>
          <cell r="E3822" t="str">
            <v>ESMALTE - BRILLON</v>
          </cell>
        </row>
        <row r="3823">
          <cell r="A3823" t="str">
            <v>99-28494</v>
          </cell>
          <cell r="E3823" t="str">
            <v>ESMALTE - BRILLON</v>
          </cell>
        </row>
        <row r="3824">
          <cell r="A3824" t="str">
            <v>99-28495</v>
          </cell>
          <cell r="E3824" t="str">
            <v>ESMALTE - BRILLON</v>
          </cell>
        </row>
        <row r="3825">
          <cell r="A3825" t="str">
            <v>99-28496</v>
          </cell>
          <cell r="E3825" t="str">
            <v>ESMALTE - BRILLON</v>
          </cell>
        </row>
        <row r="3826">
          <cell r="A3826" t="str">
            <v>99-28561</v>
          </cell>
          <cell r="E3826" t="str">
            <v>ESMALTE - BRILLON</v>
          </cell>
        </row>
        <row r="3827">
          <cell r="A3827" t="str">
            <v>99-28563</v>
          </cell>
          <cell r="E3827" t="str">
            <v>ESMALTE - BRILLON</v>
          </cell>
        </row>
        <row r="3828">
          <cell r="A3828" t="str">
            <v>99-28564</v>
          </cell>
          <cell r="E3828" t="str">
            <v>ESMALTE - BRILLON</v>
          </cell>
        </row>
        <row r="3829">
          <cell r="A3829" t="str">
            <v>99-28565</v>
          </cell>
          <cell r="E3829" t="str">
            <v>ESMALTE - BRILLON</v>
          </cell>
        </row>
        <row r="3830">
          <cell r="A3830" t="str">
            <v>99-28566</v>
          </cell>
          <cell r="E3830" t="str">
            <v>ESMALTE - BRILLON</v>
          </cell>
        </row>
        <row r="3831">
          <cell r="A3831" t="str">
            <v>99-28571</v>
          </cell>
          <cell r="E3831" t="str">
            <v>ESMALTE - BRILLON</v>
          </cell>
        </row>
        <row r="3832">
          <cell r="A3832" t="str">
            <v>99-28573</v>
          </cell>
          <cell r="E3832" t="str">
            <v>ESMALTE - BRILLON</v>
          </cell>
        </row>
        <row r="3833">
          <cell r="A3833" t="str">
            <v>99-28574</v>
          </cell>
          <cell r="E3833" t="str">
            <v>ESMALTE - BRILLON</v>
          </cell>
        </row>
        <row r="3834">
          <cell r="A3834" t="str">
            <v>99-28575</v>
          </cell>
          <cell r="E3834" t="str">
            <v>ESMALTE - BRILLON</v>
          </cell>
        </row>
        <row r="3835">
          <cell r="A3835" t="str">
            <v>99-28576</v>
          </cell>
          <cell r="E3835" t="str">
            <v>ESMALTE - BRILLON</v>
          </cell>
        </row>
        <row r="3836">
          <cell r="A3836" t="str">
            <v>99-28581</v>
          </cell>
          <cell r="E3836" t="str">
            <v>ESMALTE - BRILLON</v>
          </cell>
        </row>
        <row r="3837">
          <cell r="A3837" t="str">
            <v>99-28583</v>
          </cell>
          <cell r="E3837" t="str">
            <v>ESMALTE - BRILLON</v>
          </cell>
        </row>
        <row r="3838">
          <cell r="A3838" t="str">
            <v>99-28584</v>
          </cell>
          <cell r="E3838" t="str">
            <v>ESMALTE - BRILLON</v>
          </cell>
        </row>
        <row r="3839">
          <cell r="A3839" t="str">
            <v>99-28585</v>
          </cell>
          <cell r="E3839" t="str">
            <v>ESMALTE - BRILLON</v>
          </cell>
        </row>
        <row r="3840">
          <cell r="A3840" t="str">
            <v>99-28586</v>
          </cell>
          <cell r="E3840" t="str">
            <v>ESMALTE - BRILLON</v>
          </cell>
        </row>
        <row r="3841">
          <cell r="A3841" t="str">
            <v>99-28631</v>
          </cell>
          <cell r="E3841" t="str">
            <v>ESMALTE - BRILLON</v>
          </cell>
        </row>
        <row r="3842">
          <cell r="A3842" t="str">
            <v>99-28633</v>
          </cell>
          <cell r="E3842" t="str">
            <v>ESMALTE - BRILLON</v>
          </cell>
        </row>
        <row r="3843">
          <cell r="A3843" t="str">
            <v>99-28634</v>
          </cell>
          <cell r="E3843" t="str">
            <v>ESMALTE - BRILLON</v>
          </cell>
        </row>
        <row r="3844">
          <cell r="A3844" t="str">
            <v>99-28636</v>
          </cell>
          <cell r="E3844" t="str">
            <v>ESMALTE - BRILLON</v>
          </cell>
        </row>
        <row r="3845">
          <cell r="A3845" t="str">
            <v>99-28641</v>
          </cell>
          <cell r="E3845" t="str">
            <v>ESMALTE - BRILLON</v>
          </cell>
        </row>
        <row r="3846">
          <cell r="A3846" t="str">
            <v>99-28643</v>
          </cell>
          <cell r="E3846" t="str">
            <v>ESMALTE - BRILLON</v>
          </cell>
        </row>
        <row r="3847">
          <cell r="A3847" t="str">
            <v>99-28644</v>
          </cell>
          <cell r="E3847" t="str">
            <v>ESMALTE - BRILLON</v>
          </cell>
        </row>
        <row r="3848">
          <cell r="A3848" t="str">
            <v>99-28645</v>
          </cell>
          <cell r="E3848" t="str">
            <v>ESMALTE - BRILLON</v>
          </cell>
        </row>
        <row r="3849">
          <cell r="A3849" t="str">
            <v>99-28646</v>
          </cell>
          <cell r="E3849" t="str">
            <v>ESMALTE - BRILLON</v>
          </cell>
        </row>
        <row r="3850">
          <cell r="A3850" t="str">
            <v>99-28651</v>
          </cell>
          <cell r="E3850" t="str">
            <v>ESMALTE - BRILLON</v>
          </cell>
        </row>
        <row r="3851">
          <cell r="A3851" t="str">
            <v>99-28653</v>
          </cell>
          <cell r="E3851" t="str">
            <v>ESMALTE - BRILLON</v>
          </cell>
        </row>
        <row r="3852">
          <cell r="A3852" t="str">
            <v>99-28654</v>
          </cell>
          <cell r="E3852" t="str">
            <v>ESMALTE - BRILLON</v>
          </cell>
        </row>
        <row r="3853">
          <cell r="A3853" t="str">
            <v>99-28655</v>
          </cell>
          <cell r="E3853" t="str">
            <v>ESMALTE - BRILLON</v>
          </cell>
        </row>
        <row r="3854">
          <cell r="A3854" t="str">
            <v>99-28656</v>
          </cell>
          <cell r="E3854" t="str">
            <v>ESMALTE - BRILLON</v>
          </cell>
        </row>
        <row r="3855">
          <cell r="A3855" t="str">
            <v>99-28661</v>
          </cell>
          <cell r="E3855" t="str">
            <v>ESMALTE - BRILLON</v>
          </cell>
        </row>
        <row r="3856">
          <cell r="A3856" t="str">
            <v>99-28663</v>
          </cell>
          <cell r="E3856" t="str">
            <v>ESMALTE - BRILLON</v>
          </cell>
        </row>
        <row r="3857">
          <cell r="A3857" t="str">
            <v>99-28664</v>
          </cell>
          <cell r="E3857" t="str">
            <v>ESMALTE - BRILLON</v>
          </cell>
        </row>
        <row r="3858">
          <cell r="A3858" t="str">
            <v>99-28665</v>
          </cell>
          <cell r="E3858" t="str">
            <v>ESMALTE - BRILLON</v>
          </cell>
        </row>
        <row r="3859">
          <cell r="A3859" t="str">
            <v>99-28666</v>
          </cell>
          <cell r="E3859" t="str">
            <v>ESMALTE - BRILLON</v>
          </cell>
        </row>
        <row r="3860">
          <cell r="A3860" t="str">
            <v>99-28711</v>
          </cell>
          <cell r="E3860" t="str">
            <v>ESMALTE - BRILLON</v>
          </cell>
        </row>
        <row r="3861">
          <cell r="A3861" t="str">
            <v>99-28713</v>
          </cell>
          <cell r="E3861" t="str">
            <v>ESMALTE - BRILLON</v>
          </cell>
        </row>
        <row r="3862">
          <cell r="A3862" t="str">
            <v>99-28714</v>
          </cell>
          <cell r="E3862" t="str">
            <v>ESMALTE - BRILLON</v>
          </cell>
        </row>
        <row r="3863">
          <cell r="A3863" t="str">
            <v>99-28716</v>
          </cell>
          <cell r="E3863" t="str">
            <v>ESMALTE - BRILLON</v>
          </cell>
        </row>
        <row r="3864">
          <cell r="A3864" t="str">
            <v>99-28751</v>
          </cell>
          <cell r="E3864" t="str">
            <v>ESMALTE - BRILLON</v>
          </cell>
        </row>
        <row r="3865">
          <cell r="A3865" t="str">
            <v>99-28753</v>
          </cell>
          <cell r="E3865" t="str">
            <v>ESMALTE - BRILLON</v>
          </cell>
        </row>
        <row r="3866">
          <cell r="A3866" t="str">
            <v>99-28754</v>
          </cell>
          <cell r="E3866" t="str">
            <v>ESMALTE - BRILLON</v>
          </cell>
        </row>
        <row r="3867">
          <cell r="A3867" t="str">
            <v>99-28755</v>
          </cell>
          <cell r="E3867" t="str">
            <v>ESMALTE - BRILLON</v>
          </cell>
        </row>
        <row r="3868">
          <cell r="A3868" t="str">
            <v>99-28756</v>
          </cell>
          <cell r="E3868" t="str">
            <v>ESMALTE - BRILLON</v>
          </cell>
        </row>
        <row r="3869">
          <cell r="A3869" t="str">
            <v>99-28771</v>
          </cell>
          <cell r="E3869" t="str">
            <v>ESMALTE - BRILLON</v>
          </cell>
        </row>
        <row r="3870">
          <cell r="A3870" t="str">
            <v>99-28773</v>
          </cell>
          <cell r="E3870" t="str">
            <v>ESMALTE - BRILLON</v>
          </cell>
        </row>
        <row r="3871">
          <cell r="A3871" t="str">
            <v>99-28774</v>
          </cell>
          <cell r="E3871" t="str">
            <v>ESMALTE - BRILLON</v>
          </cell>
        </row>
        <row r="3872">
          <cell r="A3872" t="str">
            <v>99-28775</v>
          </cell>
          <cell r="E3872" t="str">
            <v>ESMALTE - BRILLON</v>
          </cell>
        </row>
        <row r="3873">
          <cell r="A3873" t="str">
            <v>99-28776</v>
          </cell>
          <cell r="E3873" t="str">
            <v>ESMALTE - BRILLON</v>
          </cell>
        </row>
        <row r="3874">
          <cell r="A3874" t="str">
            <v>99-28800</v>
          </cell>
          <cell r="E3874" t="str">
            <v>BARNIZ ALQUIDALICO SIGLO</v>
          </cell>
        </row>
        <row r="3875">
          <cell r="A3875" t="str">
            <v>99-28801</v>
          </cell>
          <cell r="E3875" t="str">
            <v>BARNIZ ALQUIDALICO SIGLO</v>
          </cell>
        </row>
        <row r="3876">
          <cell r="A3876" t="str">
            <v>99-28803</v>
          </cell>
          <cell r="E3876" t="str">
            <v>BARNIZ ALQUIDALICO SIGLO</v>
          </cell>
        </row>
        <row r="3877">
          <cell r="A3877" t="str">
            <v>99-28804</v>
          </cell>
          <cell r="E3877" t="str">
            <v>BARNIZ ALQUIDALICO SIGLO</v>
          </cell>
        </row>
        <row r="3878">
          <cell r="A3878" t="str">
            <v>99-28806</v>
          </cell>
          <cell r="E3878" t="str">
            <v>BARNIZ ALQUIDALICO SIGLO</v>
          </cell>
        </row>
        <row r="3879">
          <cell r="A3879" t="str">
            <v>99-28814</v>
          </cell>
          <cell r="E3879" t="str">
            <v>BARNIZ ALQUIDALICO SIGLO</v>
          </cell>
        </row>
        <row r="3880">
          <cell r="A3880" t="str">
            <v>99-28823</v>
          </cell>
          <cell r="E3880" t="str">
            <v>BARNIZ ALQUIDALICO SIGLO</v>
          </cell>
        </row>
        <row r="3881">
          <cell r="A3881" t="str">
            <v>99-28824</v>
          </cell>
          <cell r="E3881" t="str">
            <v>BARNIZ ALQUIDALICO SIGLO</v>
          </cell>
        </row>
        <row r="3882">
          <cell r="A3882" t="str">
            <v>99-28826</v>
          </cell>
          <cell r="E3882" t="str">
            <v>BARNIZ ALQUIDALICO SIGLO</v>
          </cell>
        </row>
        <row r="3883">
          <cell r="A3883" t="str">
            <v>99-28833</v>
          </cell>
          <cell r="E3883" t="str">
            <v>BARNIZ ALQUIDALICO SIGLO</v>
          </cell>
        </row>
        <row r="3884">
          <cell r="A3884" t="str">
            <v>99-28834</v>
          </cell>
          <cell r="E3884" t="str">
            <v>BARNIZ ALQUIDALICO SIGLO</v>
          </cell>
        </row>
        <row r="3885">
          <cell r="A3885" t="str">
            <v>99-28836</v>
          </cell>
          <cell r="E3885" t="str">
            <v>BARNIZ ALQUIDALICO SIGLO</v>
          </cell>
        </row>
        <row r="3886">
          <cell r="A3886" t="str">
            <v>99-28843</v>
          </cell>
          <cell r="E3886" t="str">
            <v>BARNIZ ALQUIDALICO SIGLO</v>
          </cell>
        </row>
        <row r="3887">
          <cell r="A3887" t="str">
            <v>99-28844</v>
          </cell>
          <cell r="E3887" t="str">
            <v>BARNIZ ALQUIDALICO SIGLO</v>
          </cell>
        </row>
        <row r="3888">
          <cell r="A3888" t="str">
            <v>99-28846</v>
          </cell>
          <cell r="E3888" t="str">
            <v>BARNIZ ALQUIDALICO SIGLO</v>
          </cell>
        </row>
        <row r="3889">
          <cell r="A3889" t="str">
            <v>99-28853</v>
          </cell>
          <cell r="E3889" t="str">
            <v>BARNIZ ALQUIDALICO SIGLO</v>
          </cell>
        </row>
        <row r="3890">
          <cell r="A3890" t="str">
            <v>99-28854</v>
          </cell>
          <cell r="E3890" t="str">
            <v>BARNIZ ALQUIDALICO SIGLO</v>
          </cell>
        </row>
        <row r="3891">
          <cell r="A3891" t="str">
            <v>99-28856</v>
          </cell>
          <cell r="E3891" t="str">
            <v>BARNIZ ALQUIDALICO SIGLO</v>
          </cell>
        </row>
        <row r="3892">
          <cell r="A3892" t="str">
            <v>99-28863</v>
          </cell>
          <cell r="E3892" t="str">
            <v>BARNIZ ALQUIDALICO SIGLO</v>
          </cell>
        </row>
        <row r="3893">
          <cell r="A3893" t="str">
            <v>99-28864</v>
          </cell>
          <cell r="E3893" t="str">
            <v>BARNIZ ALQUIDALICO SIGLO</v>
          </cell>
        </row>
        <row r="3894">
          <cell r="A3894" t="str">
            <v>99-28866</v>
          </cell>
          <cell r="E3894" t="str">
            <v>BARNIZ ALQUIDALICO SIGLO</v>
          </cell>
        </row>
        <row r="3895">
          <cell r="A3895" t="str">
            <v>99-28873</v>
          </cell>
          <cell r="E3895" t="str">
            <v>BARNIZ ALQUIDALICO SIGLO</v>
          </cell>
        </row>
        <row r="3896">
          <cell r="A3896" t="str">
            <v>99-28883</v>
          </cell>
          <cell r="E3896" t="str">
            <v>BARNIZ ALQUIDALICO SIGLO</v>
          </cell>
        </row>
        <row r="3897">
          <cell r="A3897" t="str">
            <v>99-28884</v>
          </cell>
          <cell r="E3897" t="str">
            <v>BARNIZ ALQUIDALICO SIGLO</v>
          </cell>
        </row>
        <row r="3898">
          <cell r="A3898" t="str">
            <v>99-28886</v>
          </cell>
          <cell r="E3898" t="str">
            <v>BARNIZ ALQUIDALICO SIGLO</v>
          </cell>
        </row>
        <row r="3899">
          <cell r="A3899" t="str">
            <v>99-28893</v>
          </cell>
          <cell r="E3899" t="str">
            <v>BARNIZ ALQUIDALICO SIGLO</v>
          </cell>
        </row>
        <row r="3900">
          <cell r="A3900" t="str">
            <v>99-28894</v>
          </cell>
          <cell r="E3900" t="str">
            <v>BARNIZ ALQUIDALICO SIGLO</v>
          </cell>
        </row>
        <row r="3901">
          <cell r="A3901" t="str">
            <v>99-28896</v>
          </cell>
          <cell r="E3901" t="str">
            <v>BARNIZ ALQUIDALICO SIGLO</v>
          </cell>
        </row>
        <row r="3902">
          <cell r="A3902" t="str">
            <v>99-28903</v>
          </cell>
          <cell r="E3902" t="str">
            <v>BARNIZ ALQUIDALICO SIGLO</v>
          </cell>
        </row>
        <row r="3903">
          <cell r="A3903" t="str">
            <v>99-28904</v>
          </cell>
          <cell r="E3903" t="str">
            <v>BARNIZ ALQUIDALICO SIGLO</v>
          </cell>
        </row>
        <row r="3904">
          <cell r="A3904" t="str">
            <v>99-28906</v>
          </cell>
          <cell r="E3904" t="str">
            <v>BARNIZ ALQUIDALICO SIGLO</v>
          </cell>
        </row>
        <row r="3905">
          <cell r="A3905" t="str">
            <v>99-28913</v>
          </cell>
          <cell r="E3905" t="str">
            <v>ESMALTE - BRILLON</v>
          </cell>
        </row>
        <row r="3906">
          <cell r="A3906" t="str">
            <v>99-28914</v>
          </cell>
          <cell r="E3906" t="str">
            <v>ESMALTE - BRILLON</v>
          </cell>
        </row>
        <row r="3907">
          <cell r="A3907" t="str">
            <v>99-28915</v>
          </cell>
          <cell r="E3907" t="str">
            <v>ESMALTE - BRILLON</v>
          </cell>
        </row>
        <row r="3908">
          <cell r="A3908" t="str">
            <v>99-28916</v>
          </cell>
          <cell r="E3908" t="str">
            <v>ESMALTE - BRILLON</v>
          </cell>
        </row>
        <row r="3909">
          <cell r="A3909" t="str">
            <v>99-28923</v>
          </cell>
          <cell r="E3909" t="str">
            <v>ESMALTE - OTROS</v>
          </cell>
        </row>
        <row r="3910">
          <cell r="A3910" t="str">
            <v>99-28924</v>
          </cell>
          <cell r="E3910" t="str">
            <v>ESMALTE - OTROS</v>
          </cell>
        </row>
        <row r="3911">
          <cell r="A3911" t="str">
            <v>99-28931</v>
          </cell>
          <cell r="E3911" t="str">
            <v>ESMALTE - BRILLON</v>
          </cell>
        </row>
        <row r="3912">
          <cell r="A3912" t="str">
            <v>99-28933</v>
          </cell>
          <cell r="E3912" t="str">
            <v>ESMALTE - BRILLON</v>
          </cell>
        </row>
        <row r="3913">
          <cell r="A3913" t="str">
            <v>99-28934</v>
          </cell>
          <cell r="E3913" t="str">
            <v>ESMALTE - BRILLON</v>
          </cell>
        </row>
        <row r="3914">
          <cell r="A3914" t="str">
            <v>99-28935</v>
          </cell>
          <cell r="E3914" t="str">
            <v>ESMALTE - BRILLON</v>
          </cell>
        </row>
        <row r="3915">
          <cell r="A3915" t="str">
            <v>99-28936</v>
          </cell>
          <cell r="E3915" t="str">
            <v>ESMALTE - BRILLON</v>
          </cell>
        </row>
        <row r="3916">
          <cell r="A3916" t="str">
            <v>99-28943</v>
          </cell>
          <cell r="E3916" t="str">
            <v>BARNIZ ALQUIDALICO SIGLO</v>
          </cell>
        </row>
        <row r="3917">
          <cell r="A3917" t="str">
            <v>99-28944</v>
          </cell>
          <cell r="E3917" t="str">
            <v>BARNIZ ALQUIDALICO SIGLO</v>
          </cell>
        </row>
        <row r="3918">
          <cell r="A3918" t="str">
            <v>99-28946</v>
          </cell>
          <cell r="E3918" t="str">
            <v>BARNIZ ALQUIDALICO SIGLO</v>
          </cell>
        </row>
        <row r="3919">
          <cell r="A3919" t="str">
            <v>99-28953</v>
          </cell>
          <cell r="E3919" t="str">
            <v>BARNIZ ALQUIDALICO SIGLO</v>
          </cell>
        </row>
        <row r="3920">
          <cell r="A3920" t="str">
            <v>99-28954</v>
          </cell>
          <cell r="E3920" t="str">
            <v>BARNIZ ALQUIDALICO SIGLO</v>
          </cell>
        </row>
        <row r="3921">
          <cell r="A3921" t="str">
            <v>99-28961</v>
          </cell>
          <cell r="E3921" t="str">
            <v>ESMALTE - BRILLON</v>
          </cell>
        </row>
        <row r="3922">
          <cell r="A3922" t="str">
            <v>99-28963</v>
          </cell>
          <cell r="E3922" t="str">
            <v>ESMALTE - BRILLON</v>
          </cell>
        </row>
        <row r="3923">
          <cell r="A3923" t="str">
            <v>99-28964</v>
          </cell>
          <cell r="E3923" t="str">
            <v>ESMALTE - BRILLON</v>
          </cell>
        </row>
        <row r="3924">
          <cell r="A3924" t="str">
            <v>99-28965</v>
          </cell>
          <cell r="E3924" t="str">
            <v>ESMALTE - BRILLON</v>
          </cell>
        </row>
        <row r="3925">
          <cell r="A3925" t="str">
            <v>99-28966</v>
          </cell>
          <cell r="E3925" t="str">
            <v>ESMALTE - BRILLON</v>
          </cell>
        </row>
        <row r="3926">
          <cell r="A3926" t="str">
            <v>99-28981</v>
          </cell>
          <cell r="E3926" t="str">
            <v>ESMALTE - BRILLON</v>
          </cell>
        </row>
        <row r="3927">
          <cell r="A3927" t="str">
            <v>99-28983</v>
          </cell>
          <cell r="E3927" t="str">
            <v>ESMALTE - BRILLON</v>
          </cell>
        </row>
        <row r="3928">
          <cell r="A3928" t="str">
            <v>99-28984</v>
          </cell>
          <cell r="E3928" t="str">
            <v>ESMALTE - BRILLON</v>
          </cell>
        </row>
        <row r="3929">
          <cell r="A3929" t="str">
            <v>99-28985</v>
          </cell>
          <cell r="E3929" t="str">
            <v>ESMALTE - BRILLON</v>
          </cell>
        </row>
        <row r="3930">
          <cell r="A3930" t="str">
            <v>99-28986</v>
          </cell>
          <cell r="E3930" t="str">
            <v>ESMALTE - BRILLON</v>
          </cell>
        </row>
        <row r="3931">
          <cell r="A3931" t="str">
            <v>99-28993</v>
          </cell>
          <cell r="E3931" t="str">
            <v>BARNIZ ALQUIDALICO SIGLO</v>
          </cell>
        </row>
        <row r="3932">
          <cell r="A3932" t="str">
            <v>99-28994</v>
          </cell>
          <cell r="E3932" t="str">
            <v>BARNIZ ALQUIDALICO SIGLO</v>
          </cell>
        </row>
        <row r="3933">
          <cell r="A3933" t="str">
            <v>99-29003</v>
          </cell>
          <cell r="E3933" t="str">
            <v>PASTA RELLENADORA</v>
          </cell>
        </row>
        <row r="3934">
          <cell r="A3934" t="str">
            <v>99-29004</v>
          </cell>
          <cell r="E3934" t="str">
            <v>PASTA RELLENADORA</v>
          </cell>
        </row>
        <row r="3935">
          <cell r="A3935" t="str">
            <v>99-29013</v>
          </cell>
          <cell r="E3935" t="str">
            <v>PASTA RELLENADORA</v>
          </cell>
        </row>
        <row r="3936">
          <cell r="A3936" t="str">
            <v>99-29014</v>
          </cell>
          <cell r="E3936" t="str">
            <v>PASTA RELLENADORA</v>
          </cell>
        </row>
        <row r="3937">
          <cell r="A3937" t="str">
            <v>99-29213</v>
          </cell>
          <cell r="E3937" t="str">
            <v>FONDO UNIVERSAL</v>
          </cell>
        </row>
        <row r="3938">
          <cell r="A3938" t="str">
            <v>99-29214</v>
          </cell>
          <cell r="E3938" t="str">
            <v>FONDO UNIVERSAL</v>
          </cell>
        </row>
        <row r="3939">
          <cell r="A3939" t="str">
            <v>99-29253</v>
          </cell>
          <cell r="E3939" t="str">
            <v>FONDO UNIVERSAL</v>
          </cell>
        </row>
        <row r="3940">
          <cell r="A3940" t="str">
            <v>99-29254</v>
          </cell>
          <cell r="E3940" t="str">
            <v>FONDO UNIVERSAL</v>
          </cell>
        </row>
        <row r="3941">
          <cell r="A3941" t="str">
            <v>99-29293</v>
          </cell>
          <cell r="E3941" t="str">
            <v>FONDO UNIVERSAL</v>
          </cell>
        </row>
        <row r="3942">
          <cell r="A3942" t="str">
            <v>99-29294</v>
          </cell>
          <cell r="E3942" t="str">
            <v>FONDO UNIVERSAL</v>
          </cell>
        </row>
        <row r="3943">
          <cell r="A3943" t="str">
            <v>99-29300</v>
          </cell>
          <cell r="E3943" t="str">
            <v>FONDO DE NITRO AUTOMOTRIZ</v>
          </cell>
        </row>
        <row r="3944">
          <cell r="A3944" t="str">
            <v>99-29301</v>
          </cell>
          <cell r="E3944" t="str">
            <v>FONDO DE NITRO AUTOMOTRIZ</v>
          </cell>
        </row>
        <row r="3945">
          <cell r="A3945" t="str">
            <v>99-29303</v>
          </cell>
          <cell r="E3945" t="str">
            <v>FONDO DE NITRO AUTOMOTRIZ</v>
          </cell>
        </row>
        <row r="3946">
          <cell r="A3946" t="str">
            <v>99-29304</v>
          </cell>
          <cell r="E3946" t="str">
            <v>FONDO DE NITRO AUTOMOTRIZ</v>
          </cell>
        </row>
        <row r="3947">
          <cell r="A3947" t="str">
            <v>99-29305</v>
          </cell>
          <cell r="E3947" t="str">
            <v>FONDO DE NITRO AUTOMOTRIZ</v>
          </cell>
        </row>
        <row r="3948">
          <cell r="A3948" t="str">
            <v>99-29311</v>
          </cell>
          <cell r="E3948" t="str">
            <v>FONDO DE NITRO AUTOMOTRIZ</v>
          </cell>
        </row>
        <row r="3949">
          <cell r="A3949" t="str">
            <v>99-29313</v>
          </cell>
          <cell r="E3949" t="str">
            <v>FONDO DE NITRO AUTOMOTRIZ</v>
          </cell>
        </row>
        <row r="3950">
          <cell r="A3950" t="str">
            <v>99-29314</v>
          </cell>
          <cell r="E3950" t="str">
            <v>FONDO DE NITRO AUTOMOTRIZ</v>
          </cell>
        </row>
        <row r="3951">
          <cell r="A3951" t="str">
            <v>99-29321</v>
          </cell>
          <cell r="E3951" t="str">
            <v>FONDO UNIVERSAL</v>
          </cell>
        </row>
        <row r="3952">
          <cell r="A3952" t="str">
            <v>99-29323</v>
          </cell>
          <cell r="E3952" t="str">
            <v>FONDO UNIVERSAL</v>
          </cell>
        </row>
        <row r="3953">
          <cell r="A3953" t="str">
            <v>99-29324</v>
          </cell>
          <cell r="E3953" t="str">
            <v>FONDO UNIVERSAL</v>
          </cell>
        </row>
        <row r="3954">
          <cell r="A3954" t="str">
            <v>99-29331</v>
          </cell>
          <cell r="E3954" t="str">
            <v>FONDO DE NITRO AUTOMOTRIZ</v>
          </cell>
        </row>
        <row r="3955">
          <cell r="A3955" t="str">
            <v>99-29333</v>
          </cell>
          <cell r="E3955" t="str">
            <v>FONDO DE NITRO AUTOMOTRIZ</v>
          </cell>
        </row>
        <row r="3956">
          <cell r="A3956" t="str">
            <v>99-29334</v>
          </cell>
          <cell r="E3956" t="str">
            <v>FONDO DE NITRO AUTOMOTRIZ</v>
          </cell>
        </row>
        <row r="3957">
          <cell r="A3957" t="str">
            <v>99-29351</v>
          </cell>
          <cell r="E3957" t="str">
            <v>FONDO DE NITRO AUTOMOTRIZ</v>
          </cell>
        </row>
        <row r="3958">
          <cell r="A3958" t="str">
            <v>99-29353</v>
          </cell>
          <cell r="E3958" t="str">
            <v>FONDO DE NITRO AUTOMOTRIZ</v>
          </cell>
        </row>
        <row r="3959">
          <cell r="A3959" t="str">
            <v>99-29354</v>
          </cell>
          <cell r="E3959" t="str">
            <v>FONDO DE NITRO AUTOMOTRIZ</v>
          </cell>
        </row>
        <row r="3960">
          <cell r="A3960" t="str">
            <v>99-29355</v>
          </cell>
          <cell r="E3960" t="str">
            <v>FONDO DE NITRO AUTOMOTRIZ</v>
          </cell>
        </row>
        <row r="3961">
          <cell r="A3961" t="str">
            <v>99-29381</v>
          </cell>
          <cell r="E3961" t="str">
            <v>FONDO DE NITRO AUTOMOTRIZ</v>
          </cell>
        </row>
        <row r="3962">
          <cell r="A3962" t="str">
            <v>99-29383</v>
          </cell>
          <cell r="E3962" t="str">
            <v>FONDO DE NITRO AUTOMOTRIZ</v>
          </cell>
        </row>
        <row r="3963">
          <cell r="A3963" t="str">
            <v>99-29384</v>
          </cell>
          <cell r="E3963" t="str">
            <v>FONDO DE NITRO AUTOMOTRIZ</v>
          </cell>
        </row>
        <row r="3964">
          <cell r="A3964" t="str">
            <v>99-29385</v>
          </cell>
          <cell r="E3964" t="str">
            <v>FONDO DE NITRO AUTOMOTRIZ</v>
          </cell>
        </row>
        <row r="3965">
          <cell r="A3965" t="str">
            <v>99-29391</v>
          </cell>
          <cell r="E3965" t="str">
            <v>FONDO DE NITRO AUTOMOTRIZ</v>
          </cell>
        </row>
        <row r="3966">
          <cell r="A3966" t="str">
            <v>99-29393</v>
          </cell>
          <cell r="E3966" t="str">
            <v>FONDO DE NITRO AUTOMOTRIZ</v>
          </cell>
        </row>
        <row r="3967">
          <cell r="A3967" t="str">
            <v>99-29394</v>
          </cell>
          <cell r="E3967" t="str">
            <v>FONDO DE NITRO AUTOMOTRIZ</v>
          </cell>
        </row>
        <row r="3968">
          <cell r="A3968" t="str">
            <v>99-29395</v>
          </cell>
          <cell r="E3968" t="str">
            <v>FONDO DE NITRO AUTOMOTRIZ</v>
          </cell>
        </row>
        <row r="3969">
          <cell r="A3969" t="str">
            <v>99-29401</v>
          </cell>
          <cell r="E3969" t="str">
            <v>PLASTE</v>
          </cell>
        </row>
        <row r="3970">
          <cell r="A3970" t="str">
            <v>99-29403</v>
          </cell>
          <cell r="E3970" t="str">
            <v>PLASTE</v>
          </cell>
        </row>
        <row r="3971">
          <cell r="A3971" t="str">
            <v>99-29404</v>
          </cell>
          <cell r="E3971" t="str">
            <v>PLASTE</v>
          </cell>
        </row>
        <row r="3972">
          <cell r="A3972" t="str">
            <v>99-29405</v>
          </cell>
          <cell r="E3972" t="str">
            <v>PLASTE</v>
          </cell>
        </row>
        <row r="3973">
          <cell r="A3973" t="str">
            <v>99-29471</v>
          </cell>
          <cell r="E3973" t="str">
            <v>PLASTE</v>
          </cell>
        </row>
        <row r="3974">
          <cell r="A3974" t="str">
            <v>99-29473</v>
          </cell>
          <cell r="E3974" t="str">
            <v>PLASTE</v>
          </cell>
        </row>
        <row r="3975">
          <cell r="A3975" t="str">
            <v>99-29474</v>
          </cell>
          <cell r="E3975" t="str">
            <v>PLASTE</v>
          </cell>
        </row>
        <row r="3976">
          <cell r="A3976" t="str">
            <v>99-29475</v>
          </cell>
          <cell r="E3976" t="str">
            <v>PLASTE</v>
          </cell>
        </row>
        <row r="3977">
          <cell r="A3977" t="str">
            <v>99-29481</v>
          </cell>
          <cell r="E3977" t="str">
            <v>PLASTE</v>
          </cell>
        </row>
        <row r="3978">
          <cell r="A3978" t="str">
            <v>99-29483</v>
          </cell>
          <cell r="E3978" t="str">
            <v>PLASTE</v>
          </cell>
        </row>
        <row r="3979">
          <cell r="A3979" t="str">
            <v>99-29484</v>
          </cell>
          <cell r="E3979" t="str">
            <v>PLASTE</v>
          </cell>
        </row>
        <row r="3980">
          <cell r="A3980" t="str">
            <v>99-29485</v>
          </cell>
          <cell r="E3980" t="str">
            <v>PLASTE</v>
          </cell>
        </row>
        <row r="3981">
          <cell r="A3981" t="str">
            <v>99-29491</v>
          </cell>
          <cell r="E3981" t="str">
            <v>PLASTE</v>
          </cell>
        </row>
        <row r="3982">
          <cell r="A3982" t="str">
            <v>99-29493</v>
          </cell>
          <cell r="E3982" t="str">
            <v>PLASTE</v>
          </cell>
        </row>
        <row r="3983">
          <cell r="A3983" t="str">
            <v>99-29494</v>
          </cell>
          <cell r="E3983" t="str">
            <v>PLASTE</v>
          </cell>
        </row>
        <row r="3984">
          <cell r="A3984" t="str">
            <v>99-29495</v>
          </cell>
          <cell r="E3984" t="str">
            <v>PLASTE</v>
          </cell>
        </row>
        <row r="3985">
          <cell r="A3985" t="str">
            <v>99-29501</v>
          </cell>
          <cell r="E3985" t="str">
            <v>PULIMENTO</v>
          </cell>
        </row>
        <row r="3986">
          <cell r="A3986" t="str">
            <v>99-29503</v>
          </cell>
          <cell r="E3986" t="str">
            <v>PULIMENTO</v>
          </cell>
        </row>
        <row r="3987">
          <cell r="A3987" t="str">
            <v>99-29504</v>
          </cell>
          <cell r="E3987" t="str">
            <v>PULIMENTO</v>
          </cell>
        </row>
        <row r="3988">
          <cell r="A3988" t="str">
            <v>99-29505</v>
          </cell>
          <cell r="E3988" t="str">
            <v>PULIMENTO</v>
          </cell>
        </row>
        <row r="3989">
          <cell r="A3989" t="str">
            <v>99-29506</v>
          </cell>
          <cell r="E3989" t="str">
            <v>PULIMENTO</v>
          </cell>
        </row>
        <row r="3990">
          <cell r="A3990" t="str">
            <v>99-29591</v>
          </cell>
          <cell r="E3990" t="str">
            <v>PULIMENTO</v>
          </cell>
        </row>
        <row r="3991">
          <cell r="A3991" t="str">
            <v>99-29593</v>
          </cell>
          <cell r="E3991" t="str">
            <v>PULIMENTO</v>
          </cell>
        </row>
        <row r="3992">
          <cell r="A3992" t="str">
            <v>99-29594</v>
          </cell>
          <cell r="E3992" t="str">
            <v>PULIMENTO</v>
          </cell>
        </row>
        <row r="3993">
          <cell r="A3993" t="str">
            <v>99-29595</v>
          </cell>
          <cell r="E3993" t="str">
            <v>PULIMENTO</v>
          </cell>
        </row>
        <row r="3994">
          <cell r="A3994" t="str">
            <v>99-29596</v>
          </cell>
          <cell r="E3994" t="str">
            <v>PULIMENTO</v>
          </cell>
        </row>
        <row r="3995">
          <cell r="A3995" t="str">
            <v>99-29600</v>
          </cell>
          <cell r="E3995" t="str">
            <v>BICAPA TRANSPARENTE</v>
          </cell>
        </row>
        <row r="3996">
          <cell r="A3996" t="str">
            <v>99-29603</v>
          </cell>
          <cell r="E3996" t="str">
            <v>ESMALTE ACRILICO</v>
          </cell>
        </row>
        <row r="3997">
          <cell r="A3997" t="str">
            <v>99-29604</v>
          </cell>
          <cell r="E3997" t="str">
            <v>ESMALTE ACRILICO</v>
          </cell>
        </row>
        <row r="3998">
          <cell r="A3998" t="str">
            <v>99-29613</v>
          </cell>
          <cell r="E3998" t="str">
            <v>BICAPA TRANSPARENTE</v>
          </cell>
        </row>
        <row r="3999">
          <cell r="A3999" t="str">
            <v>99-29614</v>
          </cell>
          <cell r="E3999" t="str">
            <v>BICAPA TRANSPARENTE</v>
          </cell>
        </row>
        <row r="4000">
          <cell r="A4000" t="str">
            <v>99-29631</v>
          </cell>
          <cell r="E4000" t="str">
            <v>CATALIZADOR UNIVERSAL</v>
          </cell>
        </row>
        <row r="4001">
          <cell r="A4001" t="str">
            <v>99-29643</v>
          </cell>
          <cell r="E4001" t="str">
            <v>FONDO UNIVERSAL</v>
          </cell>
        </row>
        <row r="4002">
          <cell r="A4002" t="str">
            <v>99-29644</v>
          </cell>
          <cell r="E4002" t="str">
            <v>CATALIZADOR UNIVERSAL</v>
          </cell>
        </row>
        <row r="4003">
          <cell r="A4003" t="str">
            <v>99-29645</v>
          </cell>
          <cell r="E4003" t="str">
            <v>CATALIZADOR UNIVERSAL</v>
          </cell>
        </row>
        <row r="4004">
          <cell r="A4004" t="str">
            <v>99-29646</v>
          </cell>
          <cell r="E4004" t="str">
            <v>CATALIZADOR UNIVERSAL</v>
          </cell>
        </row>
        <row r="4005">
          <cell r="A4005" t="str">
            <v>99-29655</v>
          </cell>
          <cell r="E4005" t="str">
            <v>ENDURECEDORES PARA BICAPA</v>
          </cell>
        </row>
        <row r="4006">
          <cell r="A4006" t="str">
            <v>99-29657</v>
          </cell>
          <cell r="E4006" t="str">
            <v>ENDURECEDORES PARA BICAPA</v>
          </cell>
        </row>
        <row r="4007">
          <cell r="A4007" t="str">
            <v>99-29664</v>
          </cell>
          <cell r="E4007" t="str">
            <v>ENDURECEDORES PARA ESMALTE ACR</v>
          </cell>
        </row>
        <row r="4008">
          <cell r="A4008" t="str">
            <v>99-29665</v>
          </cell>
          <cell r="E4008" t="str">
            <v>ESMALTE ACRILICO</v>
          </cell>
        </row>
        <row r="4009">
          <cell r="A4009" t="str">
            <v>99-29675</v>
          </cell>
          <cell r="E4009" t="str">
            <v>ENDURECEDORES PARA BICAPA</v>
          </cell>
        </row>
        <row r="4010">
          <cell r="A4010" t="str">
            <v>99-29677</v>
          </cell>
          <cell r="E4010" t="str">
            <v>ENDURECEDORES PARA BICAPA</v>
          </cell>
        </row>
        <row r="4011">
          <cell r="A4011" t="str">
            <v>99-29711</v>
          </cell>
          <cell r="E4011" t="str">
            <v>ACCESORIOS PARA PREPARACION DE</v>
          </cell>
        </row>
        <row r="4012">
          <cell r="A4012" t="str">
            <v>99-29713</v>
          </cell>
          <cell r="E4012" t="str">
            <v>ACCESORIOS PARA PREPARACION DE</v>
          </cell>
        </row>
        <row r="4013">
          <cell r="A4013" t="str">
            <v>99-29714</v>
          </cell>
          <cell r="E4013" t="str">
            <v>ACCESORIOS PARA PREPARACION DE</v>
          </cell>
        </row>
        <row r="4014">
          <cell r="A4014" t="str">
            <v>99-29716</v>
          </cell>
          <cell r="E4014" t="str">
            <v>ACCESORIOS PARA PREPARACION DE</v>
          </cell>
        </row>
        <row r="4015">
          <cell r="A4015" t="str">
            <v>99-30000</v>
          </cell>
          <cell r="E4015" t="str">
            <v>VINILICA - POLIPRISA</v>
          </cell>
        </row>
        <row r="4016">
          <cell r="A4016" t="str">
            <v>99-30001</v>
          </cell>
          <cell r="E4016" t="str">
            <v>VINILICA - POLIPRISA</v>
          </cell>
        </row>
        <row r="4017">
          <cell r="A4017" t="str">
            <v>99-30003</v>
          </cell>
          <cell r="E4017" t="str">
            <v>VINILICA - POLIPRISA</v>
          </cell>
        </row>
        <row r="4018">
          <cell r="A4018" t="str">
            <v>99-30004</v>
          </cell>
          <cell r="E4018" t="str">
            <v>VINILICA - POLIPRISA</v>
          </cell>
        </row>
        <row r="4019">
          <cell r="A4019" t="str">
            <v>99-30041</v>
          </cell>
          <cell r="E4019" t="str">
            <v>VINILICA - POLIPRISA</v>
          </cell>
        </row>
        <row r="4020">
          <cell r="A4020" t="str">
            <v>99-30043</v>
          </cell>
          <cell r="E4020" t="str">
            <v>VINILICA - POLIPRISA</v>
          </cell>
        </row>
        <row r="4021">
          <cell r="A4021" t="str">
            <v>99-30044</v>
          </cell>
          <cell r="E4021" t="str">
            <v>VINILICA - POLIPRISA</v>
          </cell>
        </row>
        <row r="4022">
          <cell r="A4022" t="str">
            <v>99-30051</v>
          </cell>
          <cell r="E4022" t="str">
            <v>VINILICA - POLIPRISA</v>
          </cell>
        </row>
        <row r="4023">
          <cell r="A4023" t="str">
            <v>99-30053</v>
          </cell>
          <cell r="E4023" t="str">
            <v>VINILICA - POLIPRISA</v>
          </cell>
        </row>
        <row r="4024">
          <cell r="A4024" t="str">
            <v>99-30054</v>
          </cell>
          <cell r="E4024" t="str">
            <v>VINILICA - POLIPRISA</v>
          </cell>
        </row>
        <row r="4025">
          <cell r="A4025" t="str">
            <v>99-30071</v>
          </cell>
          <cell r="E4025" t="str">
            <v>VINILICA - POLIPRISA</v>
          </cell>
        </row>
        <row r="4026">
          <cell r="A4026" t="str">
            <v>99-30073</v>
          </cell>
          <cell r="E4026" t="str">
            <v>VINILICA - POLIPRISA</v>
          </cell>
        </row>
        <row r="4027">
          <cell r="A4027" t="str">
            <v>99-30074</v>
          </cell>
          <cell r="E4027" t="str">
            <v>VINILICA - POLIPRISA</v>
          </cell>
        </row>
        <row r="4028">
          <cell r="A4028" t="str">
            <v>99-30081</v>
          </cell>
          <cell r="E4028" t="str">
            <v>VINILICA - POLIPRISA</v>
          </cell>
        </row>
        <row r="4029">
          <cell r="A4029" t="str">
            <v>99-30083</v>
          </cell>
          <cell r="E4029" t="str">
            <v>VINILICA - POLIPRISA</v>
          </cell>
        </row>
        <row r="4030">
          <cell r="A4030" t="str">
            <v>99-30084</v>
          </cell>
          <cell r="E4030" t="str">
            <v>VINILICA - POLIPRISA</v>
          </cell>
        </row>
        <row r="4031">
          <cell r="A4031" t="str">
            <v>99-30151</v>
          </cell>
          <cell r="E4031" t="str">
            <v>VINILICA - POLIPRISA</v>
          </cell>
        </row>
        <row r="4032">
          <cell r="A4032" t="str">
            <v>99-30153</v>
          </cell>
          <cell r="E4032" t="str">
            <v>VINILICA - POLIPRISA</v>
          </cell>
        </row>
        <row r="4033">
          <cell r="A4033" t="str">
            <v>99-30154</v>
          </cell>
          <cell r="E4033" t="str">
            <v>VINILICA - POLIPRISA</v>
          </cell>
        </row>
        <row r="4034">
          <cell r="A4034" t="str">
            <v>99-30161</v>
          </cell>
          <cell r="E4034" t="str">
            <v>VINILICA - POLIPRISA</v>
          </cell>
        </row>
        <row r="4035">
          <cell r="A4035" t="str">
            <v>99-30163</v>
          </cell>
          <cell r="E4035" t="str">
            <v>VINILICA - POLIPRISA</v>
          </cell>
        </row>
        <row r="4036">
          <cell r="A4036" t="str">
            <v>99-30164</v>
          </cell>
          <cell r="E4036" t="str">
            <v>VINILICA - POLIPRISA</v>
          </cell>
        </row>
        <row r="4037">
          <cell r="A4037" t="str">
            <v>99-30261</v>
          </cell>
          <cell r="E4037" t="str">
            <v>VINILICA - POLIPRISA</v>
          </cell>
        </row>
        <row r="4038">
          <cell r="A4038" t="str">
            <v>99-30263</v>
          </cell>
          <cell r="E4038" t="str">
            <v>VINILICA - POLIPRISA</v>
          </cell>
        </row>
        <row r="4039">
          <cell r="A4039" t="str">
            <v>99-30264</v>
          </cell>
          <cell r="E4039" t="str">
            <v>VINILICA - POLIPRISA</v>
          </cell>
        </row>
        <row r="4040">
          <cell r="A4040" t="str">
            <v>99-30351</v>
          </cell>
          <cell r="E4040" t="str">
            <v>VINILICA - POLIPRISA</v>
          </cell>
        </row>
        <row r="4041">
          <cell r="A4041" t="str">
            <v>99-30353</v>
          </cell>
          <cell r="E4041" t="str">
            <v>VINILICA - POLIPRISA</v>
          </cell>
        </row>
        <row r="4042">
          <cell r="A4042" t="str">
            <v>99-30354</v>
          </cell>
          <cell r="E4042" t="str">
            <v>VINILICA - POLIPRISA</v>
          </cell>
        </row>
        <row r="4043">
          <cell r="A4043" t="str">
            <v>99-30361</v>
          </cell>
          <cell r="E4043" t="str">
            <v>VINILICA - POLIPRISA</v>
          </cell>
        </row>
        <row r="4044">
          <cell r="A4044" t="str">
            <v>99-30363</v>
          </cell>
          <cell r="E4044" t="str">
            <v>VINILICA - POLIPRISA</v>
          </cell>
        </row>
        <row r="4045">
          <cell r="A4045" t="str">
            <v>99-30364</v>
          </cell>
          <cell r="E4045" t="str">
            <v>VINILICA - POLIPRISA</v>
          </cell>
        </row>
        <row r="4046">
          <cell r="A4046" t="str">
            <v>99-30381</v>
          </cell>
          <cell r="E4046" t="str">
            <v>VINILICA - POLIPRISA</v>
          </cell>
        </row>
        <row r="4047">
          <cell r="A4047" t="str">
            <v>99-30383</v>
          </cell>
          <cell r="E4047" t="str">
            <v>VINILICA - POLIPRISA</v>
          </cell>
        </row>
        <row r="4048">
          <cell r="A4048" t="str">
            <v>99-30384</v>
          </cell>
          <cell r="E4048" t="str">
            <v>VINILICA - POLIPRISA</v>
          </cell>
        </row>
        <row r="4049">
          <cell r="A4049" t="str">
            <v>99-30451</v>
          </cell>
          <cell r="E4049" t="str">
            <v>VINILICA - POLIPRISA</v>
          </cell>
        </row>
        <row r="4050">
          <cell r="A4050" t="str">
            <v>99-30453</v>
          </cell>
          <cell r="E4050" t="str">
            <v>VINILICA - POLIPRISA</v>
          </cell>
        </row>
        <row r="4051">
          <cell r="A4051" t="str">
            <v>99-30454</v>
          </cell>
          <cell r="E4051" t="str">
            <v>VINILICA - POLIPRISA</v>
          </cell>
        </row>
        <row r="4052">
          <cell r="A4052" t="str">
            <v>99-30571</v>
          </cell>
          <cell r="E4052" t="str">
            <v>VINILICA - POLIPRISA</v>
          </cell>
        </row>
        <row r="4053">
          <cell r="A4053" t="str">
            <v>99-30573</v>
          </cell>
          <cell r="E4053" t="str">
            <v>VINILICA - POLIPRISA</v>
          </cell>
        </row>
        <row r="4054">
          <cell r="A4054" t="str">
            <v>99-30574</v>
          </cell>
          <cell r="E4054" t="str">
            <v>VINILICA - POLIPRISA</v>
          </cell>
        </row>
        <row r="4055">
          <cell r="A4055" t="str">
            <v>99-30581</v>
          </cell>
          <cell r="E4055" t="str">
            <v>VINILICA - POLIPRISA</v>
          </cell>
        </row>
        <row r="4056">
          <cell r="A4056" t="str">
            <v>99-30584</v>
          </cell>
          <cell r="E4056" t="str">
            <v>VINILICA - POLIPRISA</v>
          </cell>
        </row>
        <row r="4057">
          <cell r="A4057" t="str">
            <v>99-30601</v>
          </cell>
          <cell r="E4057" t="str">
            <v>VINILICA - POLIPRISA</v>
          </cell>
        </row>
        <row r="4058">
          <cell r="A4058" t="str">
            <v>99-30603</v>
          </cell>
          <cell r="E4058" t="str">
            <v>VINILICA - POLIPRISA</v>
          </cell>
        </row>
        <row r="4059">
          <cell r="A4059" t="str">
            <v>99-30604</v>
          </cell>
          <cell r="E4059" t="str">
            <v>VINILICA - POLIPRISA</v>
          </cell>
        </row>
        <row r="4060">
          <cell r="A4060" t="str">
            <v>99-30651</v>
          </cell>
          <cell r="E4060" t="str">
            <v>VINILICA - POLIPRISA</v>
          </cell>
        </row>
        <row r="4061">
          <cell r="A4061" t="str">
            <v>99-30653</v>
          </cell>
          <cell r="E4061" t="str">
            <v>VINILICA - POLIPRISA</v>
          </cell>
        </row>
        <row r="4062">
          <cell r="A4062" t="str">
            <v>99-30654</v>
          </cell>
          <cell r="E4062" t="str">
            <v>VINILICA - POLIPRISA</v>
          </cell>
        </row>
        <row r="4063">
          <cell r="A4063" t="str">
            <v>99-30751</v>
          </cell>
          <cell r="E4063" t="str">
            <v>VINILICA - POLIPRISA</v>
          </cell>
        </row>
        <row r="4064">
          <cell r="A4064" t="str">
            <v>99-30753</v>
          </cell>
          <cell r="E4064" t="str">
            <v>VINILICA - POLIPRISA</v>
          </cell>
        </row>
        <row r="4065">
          <cell r="A4065" t="str">
            <v>99-30754</v>
          </cell>
          <cell r="E4065" t="str">
            <v>VINILICA - POLIPRISA</v>
          </cell>
        </row>
        <row r="4066">
          <cell r="A4066" t="str">
            <v>99-30791</v>
          </cell>
          <cell r="E4066" t="str">
            <v>VINILICA - POLIPRISA</v>
          </cell>
        </row>
        <row r="4067">
          <cell r="A4067" t="str">
            <v>99-30793</v>
          </cell>
          <cell r="E4067" t="str">
            <v>VINILICA - POLIPRISA</v>
          </cell>
        </row>
        <row r="4068">
          <cell r="A4068" t="str">
            <v>99-30991</v>
          </cell>
          <cell r="E4068" t="str">
            <v>VINILICA - POLIPRISA</v>
          </cell>
        </row>
        <row r="4069">
          <cell r="A4069" t="str">
            <v>99-30993</v>
          </cell>
          <cell r="E4069" t="str">
            <v>VINILICA - POLIPRISA</v>
          </cell>
        </row>
        <row r="4070">
          <cell r="A4070" t="str">
            <v>99-30994</v>
          </cell>
          <cell r="E4070" t="str">
            <v>VINILICA - POLIPRISA</v>
          </cell>
        </row>
        <row r="4071">
          <cell r="A4071" t="str">
            <v>99-31041</v>
          </cell>
          <cell r="E4071" t="str">
            <v>VINILICA - MAXIPRISA</v>
          </cell>
        </row>
        <row r="4072">
          <cell r="A4072" t="str">
            <v>99-31043</v>
          </cell>
          <cell r="E4072" t="str">
            <v>VINILICA - MAXIPRISA</v>
          </cell>
        </row>
        <row r="4073">
          <cell r="A4073" t="str">
            <v>99-31100</v>
          </cell>
          <cell r="E4073" t="str">
            <v>VINILICA - MAXIPRISA</v>
          </cell>
        </row>
        <row r="4074">
          <cell r="A4074" t="str">
            <v>99-31101</v>
          </cell>
          <cell r="E4074" t="str">
            <v>VINILICA - MAXIPRISA</v>
          </cell>
        </row>
        <row r="4075">
          <cell r="A4075" t="str">
            <v>99-31103</v>
          </cell>
          <cell r="E4075" t="str">
            <v>VINILICA - MAXIPRISA</v>
          </cell>
        </row>
        <row r="4076">
          <cell r="A4076" t="str">
            <v>99-31121</v>
          </cell>
          <cell r="E4076" t="str">
            <v>VINILICA - MAXIPRISA</v>
          </cell>
        </row>
        <row r="4077">
          <cell r="A4077" t="str">
            <v>99-31123</v>
          </cell>
          <cell r="E4077" t="str">
            <v>VINILICA - MAXIPRISA</v>
          </cell>
        </row>
        <row r="4078">
          <cell r="A4078" t="str">
            <v>99-31131</v>
          </cell>
          <cell r="E4078" t="str">
            <v>VINILICA - MAXIPRISA</v>
          </cell>
        </row>
        <row r="4079">
          <cell r="A4079" t="str">
            <v>99-31133</v>
          </cell>
          <cell r="E4079" t="str">
            <v>VINILICA - MAXIPRISA</v>
          </cell>
        </row>
        <row r="4080">
          <cell r="A4080" t="str">
            <v>99-31801</v>
          </cell>
          <cell r="E4080" t="str">
            <v>VINILICA - MAXIPRISA</v>
          </cell>
        </row>
        <row r="4081">
          <cell r="A4081" t="str">
            <v>99-31803</v>
          </cell>
          <cell r="E4081" t="str">
            <v>VINILICA - MAXIPRISA</v>
          </cell>
        </row>
        <row r="4082">
          <cell r="A4082" t="str">
            <v>99-31811</v>
          </cell>
          <cell r="E4082" t="str">
            <v>VINILICA - MAXIPRISA</v>
          </cell>
        </row>
        <row r="4083">
          <cell r="A4083" t="str">
            <v>99-31813</v>
          </cell>
          <cell r="E4083" t="str">
            <v>VINILICA - MAXIPRISA</v>
          </cell>
        </row>
        <row r="4084">
          <cell r="A4084" t="str">
            <v>99-31821</v>
          </cell>
          <cell r="E4084" t="str">
            <v>VINILICA - MAXIPRISA</v>
          </cell>
        </row>
        <row r="4085">
          <cell r="A4085" t="str">
            <v>99-31823</v>
          </cell>
          <cell r="E4085" t="str">
            <v>VINILICA - MAXIPRISA</v>
          </cell>
        </row>
        <row r="4086">
          <cell r="A4086" t="str">
            <v>99-31831</v>
          </cell>
          <cell r="E4086" t="str">
            <v>VINILICA - MAXIPRISA</v>
          </cell>
        </row>
        <row r="4087">
          <cell r="A4087" t="str">
            <v>99-31833</v>
          </cell>
          <cell r="E4087" t="str">
            <v>VINILICA - MAXIPRISA</v>
          </cell>
        </row>
        <row r="4088">
          <cell r="A4088" t="str">
            <v>99-31841</v>
          </cell>
          <cell r="E4088" t="str">
            <v>VINILICA - MAXIPRISA</v>
          </cell>
        </row>
        <row r="4089">
          <cell r="A4089" t="str">
            <v>99-31843</v>
          </cell>
          <cell r="E4089" t="str">
            <v>VINILICA - MAXIPRISA</v>
          </cell>
        </row>
        <row r="4090">
          <cell r="A4090" t="str">
            <v>99-31851</v>
          </cell>
          <cell r="E4090" t="str">
            <v>VINILICA - MAXIPRISA</v>
          </cell>
        </row>
        <row r="4091">
          <cell r="A4091" t="str">
            <v>99-31853</v>
          </cell>
          <cell r="E4091" t="str">
            <v>VINILICA - MAXIPRISA</v>
          </cell>
        </row>
        <row r="4092">
          <cell r="A4092" t="str">
            <v>99-31860</v>
          </cell>
          <cell r="E4092" t="str">
            <v>VINILICA - MAXIPRISA</v>
          </cell>
        </row>
        <row r="4093">
          <cell r="A4093" t="str">
            <v>99-31861</v>
          </cell>
          <cell r="E4093" t="str">
            <v>VINILICA - MAXIPRISA</v>
          </cell>
        </row>
        <row r="4094">
          <cell r="A4094" t="str">
            <v>99-31863</v>
          </cell>
          <cell r="E4094" t="str">
            <v>VINILICA - MAXIPRISA</v>
          </cell>
        </row>
        <row r="4095">
          <cell r="A4095" t="str">
            <v>99-31865</v>
          </cell>
          <cell r="E4095" t="str">
            <v>VINILICA - MAXIPRISA</v>
          </cell>
        </row>
        <row r="4096">
          <cell r="A4096" t="str">
            <v>99-31871</v>
          </cell>
          <cell r="E4096" t="str">
            <v>VINILICA - MAXIPRISA</v>
          </cell>
        </row>
        <row r="4097">
          <cell r="A4097" t="str">
            <v>99-31873</v>
          </cell>
          <cell r="E4097" t="str">
            <v>VINILICA - MAXIPRISA</v>
          </cell>
        </row>
        <row r="4098">
          <cell r="A4098" t="str">
            <v>99-31881</v>
          </cell>
          <cell r="E4098" t="str">
            <v>VINILICA - MAXIPRISA</v>
          </cell>
        </row>
        <row r="4099">
          <cell r="A4099" t="str">
            <v>99-31883</v>
          </cell>
          <cell r="E4099" t="str">
            <v>VINILICA - MAXIPRISA</v>
          </cell>
        </row>
        <row r="4100">
          <cell r="A4100" t="str">
            <v>99-31891</v>
          </cell>
          <cell r="E4100" t="str">
            <v>VINILICA - MAXIPRISA</v>
          </cell>
        </row>
        <row r="4101">
          <cell r="A4101" t="str">
            <v>99-31893</v>
          </cell>
          <cell r="E4101" t="str">
            <v>VINILICA - MAXIPRISA</v>
          </cell>
        </row>
        <row r="4102">
          <cell r="A4102" t="str">
            <v>99-31901</v>
          </cell>
          <cell r="E4102" t="str">
            <v>VINILICA - MAXIPRISA</v>
          </cell>
        </row>
        <row r="4103">
          <cell r="A4103" t="str">
            <v>99-31903</v>
          </cell>
          <cell r="E4103" t="str">
            <v>VINILICA - MAXIPRISA</v>
          </cell>
        </row>
        <row r="4104">
          <cell r="A4104" t="str">
            <v>99-31911</v>
          </cell>
          <cell r="E4104" t="str">
            <v>VINILICA - MAXIPRISA</v>
          </cell>
        </row>
        <row r="4105">
          <cell r="A4105" t="str">
            <v>99-31913</v>
          </cell>
          <cell r="E4105" t="str">
            <v>VINILICA - MAXIPRISA</v>
          </cell>
        </row>
        <row r="4106">
          <cell r="A4106" t="str">
            <v>99-31921</v>
          </cell>
          <cell r="E4106" t="str">
            <v>VINILICA - MAXIPRISA</v>
          </cell>
        </row>
        <row r="4107">
          <cell r="A4107" t="str">
            <v>99-31923</v>
          </cell>
          <cell r="E4107" t="str">
            <v>VINILICA - MAXIPRISA</v>
          </cell>
        </row>
        <row r="4108">
          <cell r="A4108" t="str">
            <v>99-31951</v>
          </cell>
          <cell r="E4108" t="str">
            <v>VINILICA - MAXIPRISA</v>
          </cell>
        </row>
        <row r="4109">
          <cell r="A4109" t="str">
            <v>99-31953</v>
          </cell>
          <cell r="E4109" t="str">
            <v>VINILICA - MAXIPRISA</v>
          </cell>
        </row>
        <row r="4110">
          <cell r="A4110" t="str">
            <v>99-31971</v>
          </cell>
          <cell r="E4110" t="str">
            <v>VINILICA - MAXIPRISA</v>
          </cell>
        </row>
        <row r="4111">
          <cell r="A4111" t="str">
            <v>99-31973</v>
          </cell>
          <cell r="E4111" t="str">
            <v>VINILICA - MAXIPRISA</v>
          </cell>
        </row>
        <row r="4112">
          <cell r="A4112" t="str">
            <v>99-32000</v>
          </cell>
          <cell r="E4112" t="str">
            <v>VINILICA - RIVINOL</v>
          </cell>
        </row>
        <row r="4113">
          <cell r="A4113" t="str">
            <v>99-32001</v>
          </cell>
          <cell r="E4113" t="str">
            <v>VINILICA - RIVINOL</v>
          </cell>
        </row>
        <row r="4114">
          <cell r="A4114" t="str">
            <v>99-32003</v>
          </cell>
          <cell r="E4114" t="str">
            <v>VINILICA - RIVINOL</v>
          </cell>
        </row>
        <row r="4115">
          <cell r="A4115" t="str">
            <v>99-32004</v>
          </cell>
          <cell r="E4115" t="str">
            <v>VINILICA - RIVINOL</v>
          </cell>
        </row>
        <row r="4116">
          <cell r="A4116" t="str">
            <v>99-32021</v>
          </cell>
          <cell r="E4116" t="str">
            <v>VINILICA - RIVINOL</v>
          </cell>
        </row>
        <row r="4117">
          <cell r="A4117" t="str">
            <v>99-32023</v>
          </cell>
          <cell r="E4117" t="str">
            <v>VINILICA - RIVINOL</v>
          </cell>
        </row>
        <row r="4118">
          <cell r="A4118" t="str">
            <v>99-32024</v>
          </cell>
          <cell r="E4118" t="str">
            <v>VINILICA - RIVINOL</v>
          </cell>
        </row>
        <row r="4119">
          <cell r="A4119" t="str">
            <v>99-32041</v>
          </cell>
          <cell r="E4119" t="str">
            <v>VINILICA - RIVINOL</v>
          </cell>
        </row>
        <row r="4120">
          <cell r="A4120" t="str">
            <v>99-32043</v>
          </cell>
          <cell r="E4120" t="str">
            <v>VINILICA - RIVINOL</v>
          </cell>
        </row>
        <row r="4121">
          <cell r="A4121" t="str">
            <v>99-32044</v>
          </cell>
          <cell r="E4121" t="str">
            <v>VINILICA - RIVINOL</v>
          </cell>
        </row>
        <row r="4122">
          <cell r="A4122" t="str">
            <v>99-32051</v>
          </cell>
          <cell r="E4122" t="str">
            <v>VINILICA - RIVINOL</v>
          </cell>
        </row>
        <row r="4123">
          <cell r="A4123" t="str">
            <v>99-32053</v>
          </cell>
          <cell r="E4123" t="str">
            <v>VINILICA - RIVINOL</v>
          </cell>
        </row>
        <row r="4124">
          <cell r="A4124" t="str">
            <v>99-32054</v>
          </cell>
          <cell r="E4124" t="str">
            <v>VINILICA - RIVINOL</v>
          </cell>
        </row>
        <row r="4125">
          <cell r="A4125" t="str">
            <v>99-32061</v>
          </cell>
          <cell r="E4125" t="str">
            <v>VINILICA - RIVINOL</v>
          </cell>
        </row>
        <row r="4126">
          <cell r="A4126" t="str">
            <v>99-32063</v>
          </cell>
          <cell r="E4126" t="str">
            <v>VINILICA - RIVINOL</v>
          </cell>
        </row>
        <row r="4127">
          <cell r="A4127" t="str">
            <v>99-32064</v>
          </cell>
          <cell r="E4127" t="str">
            <v>VINILICA - RIVINOL</v>
          </cell>
        </row>
        <row r="4128">
          <cell r="A4128" t="str">
            <v>99-32141</v>
          </cell>
          <cell r="E4128" t="str">
            <v>VINILICA - RIVINOL</v>
          </cell>
        </row>
        <row r="4129">
          <cell r="A4129" t="str">
            <v>99-32143</v>
          </cell>
          <cell r="E4129" t="str">
            <v>VINILICA - RIVINOL</v>
          </cell>
        </row>
        <row r="4130">
          <cell r="A4130" t="str">
            <v>99-32144</v>
          </cell>
          <cell r="E4130" t="str">
            <v>VINILICA - RIVINOL</v>
          </cell>
        </row>
        <row r="4131">
          <cell r="A4131" t="str">
            <v>99-32151</v>
          </cell>
          <cell r="E4131" t="str">
            <v>VINILICA - RIVINOL</v>
          </cell>
        </row>
        <row r="4132">
          <cell r="A4132" t="str">
            <v>99-32153</v>
          </cell>
          <cell r="E4132" t="str">
            <v>VINILICA - RIVINOL</v>
          </cell>
        </row>
        <row r="4133">
          <cell r="A4133" t="str">
            <v>99-32154</v>
          </cell>
          <cell r="E4133" t="str">
            <v>VINILICA - RIVINOL</v>
          </cell>
        </row>
        <row r="4134">
          <cell r="A4134" t="str">
            <v>99-32161</v>
          </cell>
          <cell r="E4134" t="str">
            <v>VINILICA - RIVINOL</v>
          </cell>
        </row>
        <row r="4135">
          <cell r="A4135" t="str">
            <v>99-32163</v>
          </cell>
          <cell r="E4135" t="str">
            <v>VINILICA - RIVINOL</v>
          </cell>
        </row>
        <row r="4136">
          <cell r="A4136" t="str">
            <v>99-32164</v>
          </cell>
          <cell r="E4136" t="str">
            <v>VINILICA - RIVINOL</v>
          </cell>
        </row>
        <row r="4137">
          <cell r="A4137" t="str">
            <v>99-32211</v>
          </cell>
          <cell r="E4137" t="str">
            <v>VINILICA - RIVINOL</v>
          </cell>
        </row>
        <row r="4138">
          <cell r="A4138" t="str">
            <v>99-32213</v>
          </cell>
          <cell r="E4138" t="str">
            <v>VINILICA - RIVINOL</v>
          </cell>
        </row>
        <row r="4139">
          <cell r="A4139" t="str">
            <v>99-32214</v>
          </cell>
          <cell r="E4139" t="str">
            <v>VINILICA - RIVINOL</v>
          </cell>
        </row>
        <row r="4140">
          <cell r="A4140" t="str">
            <v>99-32241</v>
          </cell>
          <cell r="E4140" t="str">
            <v>VINILICA - RIVINOL</v>
          </cell>
        </row>
        <row r="4141">
          <cell r="A4141" t="str">
            <v>99-32243</v>
          </cell>
          <cell r="E4141" t="str">
            <v>VINILICA - RIVINOL</v>
          </cell>
        </row>
        <row r="4142">
          <cell r="A4142" t="str">
            <v>99-32244</v>
          </cell>
          <cell r="E4142" t="str">
            <v>VINILICA - RIVINOL</v>
          </cell>
        </row>
        <row r="4143">
          <cell r="A4143" t="str">
            <v>99-32261</v>
          </cell>
          <cell r="E4143" t="str">
            <v>VINILICA - RIVINOL</v>
          </cell>
        </row>
        <row r="4144">
          <cell r="A4144" t="str">
            <v>99-32263</v>
          </cell>
          <cell r="E4144" t="str">
            <v>VINILICA - RIVINOL</v>
          </cell>
        </row>
        <row r="4145">
          <cell r="A4145" t="str">
            <v>99-32264</v>
          </cell>
          <cell r="E4145" t="str">
            <v>VINILICA - RIVINOL</v>
          </cell>
        </row>
        <row r="4146">
          <cell r="A4146" t="str">
            <v>99-32331</v>
          </cell>
          <cell r="E4146" t="str">
            <v>VINILICA - RIVINOL</v>
          </cell>
        </row>
        <row r="4147">
          <cell r="A4147" t="str">
            <v>99-32333</v>
          </cell>
          <cell r="E4147" t="str">
            <v>VINILICA - RIVINOL</v>
          </cell>
        </row>
        <row r="4148">
          <cell r="A4148" t="str">
            <v>99-32334</v>
          </cell>
          <cell r="E4148" t="str">
            <v>VINILICA - RIVINOL</v>
          </cell>
        </row>
        <row r="4149">
          <cell r="A4149" t="str">
            <v>99-32351</v>
          </cell>
          <cell r="E4149" t="str">
            <v>VINILICA - RIVINOL</v>
          </cell>
        </row>
        <row r="4150">
          <cell r="A4150" t="str">
            <v>99-32353</v>
          </cell>
          <cell r="E4150" t="str">
            <v>VINILICA - RIVINOL</v>
          </cell>
        </row>
        <row r="4151">
          <cell r="A4151" t="str">
            <v>99-32354</v>
          </cell>
          <cell r="E4151" t="str">
            <v>VINILICA - RIVINOL</v>
          </cell>
        </row>
        <row r="4152">
          <cell r="A4152" t="str">
            <v>99-32461</v>
          </cell>
          <cell r="E4152" t="str">
            <v>VINILICA - RIVINOL</v>
          </cell>
        </row>
        <row r="4153">
          <cell r="A4153" t="str">
            <v>99-32463</v>
          </cell>
          <cell r="E4153" t="str">
            <v>VINILICA - RIVINOL</v>
          </cell>
        </row>
        <row r="4154">
          <cell r="A4154" t="str">
            <v>99-32464</v>
          </cell>
          <cell r="E4154" t="str">
            <v>VINILICA - RIVINOL</v>
          </cell>
        </row>
        <row r="4155">
          <cell r="A4155" t="str">
            <v>99-32471</v>
          </cell>
          <cell r="E4155" t="str">
            <v>VINILICA - RIVINOL</v>
          </cell>
        </row>
        <row r="4156">
          <cell r="A4156" t="str">
            <v>99-32473</v>
          </cell>
          <cell r="E4156" t="str">
            <v>VINILICA - RIVINOL</v>
          </cell>
        </row>
        <row r="4157">
          <cell r="A4157" t="str">
            <v>99-32474</v>
          </cell>
          <cell r="E4157" t="str">
            <v>VINILICA - RIVINOL</v>
          </cell>
        </row>
        <row r="4158">
          <cell r="A4158" t="str">
            <v>99-32491</v>
          </cell>
          <cell r="E4158" t="str">
            <v>VINILICA - RIVINOL</v>
          </cell>
        </row>
        <row r="4159">
          <cell r="A4159" t="str">
            <v>99-32493</v>
          </cell>
          <cell r="E4159" t="str">
            <v>VINILICA - RIVINOL</v>
          </cell>
        </row>
        <row r="4160">
          <cell r="A4160" t="str">
            <v>99-32494</v>
          </cell>
          <cell r="E4160" t="str">
            <v>VINILICA - RIVINOL</v>
          </cell>
        </row>
        <row r="4161">
          <cell r="A4161" t="str">
            <v>99-32521</v>
          </cell>
          <cell r="E4161" t="str">
            <v>VINILICA - RIVINOL</v>
          </cell>
        </row>
        <row r="4162">
          <cell r="A4162" t="str">
            <v>99-32523</v>
          </cell>
          <cell r="E4162" t="str">
            <v>VINILICA - RIVINOL</v>
          </cell>
        </row>
        <row r="4163">
          <cell r="A4163" t="str">
            <v>99-32524</v>
          </cell>
          <cell r="E4163" t="str">
            <v>VINILICA - RIVINOL</v>
          </cell>
        </row>
        <row r="4164">
          <cell r="A4164" t="str">
            <v>99-32531</v>
          </cell>
          <cell r="E4164" t="str">
            <v>VINILICA - RIVINOL</v>
          </cell>
        </row>
        <row r="4165">
          <cell r="A4165" t="str">
            <v>99-32533</v>
          </cell>
          <cell r="E4165" t="str">
            <v>VINILICA - RIVINOL</v>
          </cell>
        </row>
        <row r="4166">
          <cell r="A4166" t="str">
            <v>99-32534</v>
          </cell>
          <cell r="E4166" t="str">
            <v>VINILICA - RIVINOL</v>
          </cell>
        </row>
        <row r="4167">
          <cell r="A4167" t="str">
            <v>99-32561</v>
          </cell>
          <cell r="E4167" t="str">
            <v>VINILICA - RIVINOL</v>
          </cell>
        </row>
        <row r="4168">
          <cell r="A4168" t="str">
            <v>99-32563</v>
          </cell>
          <cell r="E4168" t="str">
            <v>VINILICA - RIVINOL</v>
          </cell>
        </row>
        <row r="4169">
          <cell r="A4169" t="str">
            <v>99-32564</v>
          </cell>
          <cell r="E4169" t="str">
            <v>VINILICA - RIVINOL</v>
          </cell>
        </row>
        <row r="4170">
          <cell r="A4170" t="str">
            <v>99-32581</v>
          </cell>
          <cell r="E4170" t="str">
            <v>VINILICA - RIVINOL</v>
          </cell>
        </row>
        <row r="4171">
          <cell r="A4171" t="str">
            <v>99-32583</v>
          </cell>
          <cell r="E4171" t="str">
            <v>VINILICA - RIVINOL</v>
          </cell>
        </row>
        <row r="4172">
          <cell r="A4172" t="str">
            <v>99-32584</v>
          </cell>
          <cell r="E4172" t="str">
            <v>VINILICA - RIVINOL</v>
          </cell>
        </row>
        <row r="4173">
          <cell r="A4173" t="str">
            <v>99-32641</v>
          </cell>
          <cell r="E4173" t="str">
            <v>VINILICA - RIVINOL</v>
          </cell>
        </row>
        <row r="4174">
          <cell r="A4174" t="str">
            <v>99-32643</v>
          </cell>
          <cell r="E4174" t="str">
            <v>VINILICA - RIVINOL</v>
          </cell>
        </row>
        <row r="4175">
          <cell r="A4175" t="str">
            <v>99-32644</v>
          </cell>
          <cell r="E4175" t="str">
            <v>VINILICA - RIVINOL</v>
          </cell>
        </row>
        <row r="4176">
          <cell r="A4176" t="str">
            <v>99-32671</v>
          </cell>
          <cell r="E4176" t="str">
            <v>VINILICA - RIVINOL</v>
          </cell>
        </row>
        <row r="4177">
          <cell r="A4177" t="str">
            <v>99-32673</v>
          </cell>
          <cell r="E4177" t="str">
            <v>VINILICA - RIVINOL</v>
          </cell>
        </row>
        <row r="4178">
          <cell r="A4178" t="str">
            <v>99-32674</v>
          </cell>
          <cell r="E4178" t="str">
            <v>VINILICA - RIVINOL</v>
          </cell>
        </row>
        <row r="4179">
          <cell r="A4179" t="str">
            <v>99-32681</v>
          </cell>
          <cell r="E4179" t="str">
            <v>VINILICA - RIVINOL</v>
          </cell>
        </row>
        <row r="4180">
          <cell r="A4180" t="str">
            <v>99-32683</v>
          </cell>
          <cell r="E4180" t="str">
            <v>VINILICA - RIVINOL</v>
          </cell>
        </row>
        <row r="4181">
          <cell r="A4181" t="str">
            <v>99-32684</v>
          </cell>
          <cell r="E4181" t="str">
            <v>VINILICA - RIVINOL</v>
          </cell>
        </row>
        <row r="4182">
          <cell r="A4182" t="str">
            <v>99-32731</v>
          </cell>
          <cell r="E4182" t="str">
            <v>VINILICA - RIVINOL</v>
          </cell>
        </row>
        <row r="4183">
          <cell r="A4183" t="str">
            <v>99-32733</v>
          </cell>
          <cell r="E4183" t="str">
            <v>VINILICA - RIVINOL</v>
          </cell>
        </row>
        <row r="4184">
          <cell r="A4184" t="str">
            <v>99-32734</v>
          </cell>
          <cell r="E4184" t="str">
            <v>VINILICA - RIVINOL</v>
          </cell>
        </row>
        <row r="4185">
          <cell r="A4185" t="str">
            <v>99-32741</v>
          </cell>
          <cell r="E4185" t="str">
            <v>VINILICA - RIVINOL</v>
          </cell>
        </row>
        <row r="4186">
          <cell r="A4186" t="str">
            <v>99-32743</v>
          </cell>
          <cell r="E4186" t="str">
            <v>VINILICA - RIVINOL</v>
          </cell>
        </row>
        <row r="4187">
          <cell r="A4187" t="str">
            <v>99-32744</v>
          </cell>
          <cell r="E4187" t="str">
            <v>VINILICA - RIVINOL</v>
          </cell>
        </row>
        <row r="4188">
          <cell r="A4188" t="str">
            <v>99-32751</v>
          </cell>
          <cell r="E4188" t="str">
            <v>VINILICA - RIVINOL</v>
          </cell>
        </row>
        <row r="4189">
          <cell r="A4189" t="str">
            <v>99-32753</v>
          </cell>
          <cell r="E4189" t="str">
            <v>VINILICA - RIVINOL</v>
          </cell>
        </row>
        <row r="4190">
          <cell r="A4190" t="str">
            <v>99-32754</v>
          </cell>
          <cell r="E4190" t="str">
            <v>VINILICA - RIVINOL</v>
          </cell>
        </row>
        <row r="4191">
          <cell r="A4191" t="str">
            <v>99-32771</v>
          </cell>
          <cell r="E4191" t="str">
            <v>VINILICA - RIVINOL</v>
          </cell>
        </row>
        <row r="4192">
          <cell r="A4192" t="str">
            <v>99-32773</v>
          </cell>
          <cell r="E4192" t="str">
            <v>VINILICA - RIVINOL</v>
          </cell>
        </row>
        <row r="4193">
          <cell r="A4193" t="str">
            <v>99-32774</v>
          </cell>
          <cell r="E4193" t="str">
            <v>VINILICA - RIVINOL</v>
          </cell>
        </row>
        <row r="4194">
          <cell r="A4194" t="str">
            <v>99-32851</v>
          </cell>
          <cell r="E4194" t="str">
            <v>VINILICA - OTRAS</v>
          </cell>
        </row>
        <row r="4195">
          <cell r="A4195" t="str">
            <v>99-32951</v>
          </cell>
          <cell r="E4195" t="str">
            <v>VINILICA - OTRAS</v>
          </cell>
        </row>
        <row r="4196">
          <cell r="A4196" t="str">
            <v>99-32953</v>
          </cell>
          <cell r="E4196" t="str">
            <v>VINILICA - OTRAS</v>
          </cell>
        </row>
        <row r="4197">
          <cell r="A4197" t="str">
            <v>99-32990</v>
          </cell>
          <cell r="E4197" t="str">
            <v>VINILICA - RIVINOL</v>
          </cell>
        </row>
        <row r="4198">
          <cell r="A4198" t="str">
            <v>99-32991</v>
          </cell>
          <cell r="E4198" t="str">
            <v>VINILICA - RIVINOL</v>
          </cell>
        </row>
        <row r="4199">
          <cell r="A4199" t="str">
            <v>99-32993</v>
          </cell>
          <cell r="E4199" t="str">
            <v>VINILICA - RIVINOL</v>
          </cell>
        </row>
        <row r="4200">
          <cell r="A4200" t="str">
            <v>99-32994</v>
          </cell>
          <cell r="E4200" t="str">
            <v>VINILICA - RIVINOL</v>
          </cell>
        </row>
        <row r="4201">
          <cell r="A4201" t="str">
            <v>99-33000</v>
          </cell>
          <cell r="E4201" t="str">
            <v>VINILICA - PINTAVIN</v>
          </cell>
        </row>
        <row r="4202">
          <cell r="A4202" t="str">
            <v>99-33001</v>
          </cell>
          <cell r="E4202" t="str">
            <v>VINILICA - PINTAVIN</v>
          </cell>
        </row>
        <row r="4203">
          <cell r="A4203" t="str">
            <v>99-33003</v>
          </cell>
          <cell r="E4203" t="str">
            <v>VINILICA - PINTAVIN</v>
          </cell>
        </row>
        <row r="4204">
          <cell r="A4204" t="str">
            <v>99-33004</v>
          </cell>
          <cell r="E4204" t="str">
            <v>VINILICA - PINTAVIN</v>
          </cell>
        </row>
        <row r="4205">
          <cell r="A4205" t="str">
            <v>99-33151</v>
          </cell>
          <cell r="E4205" t="str">
            <v>VINILICA - PINTAVIN</v>
          </cell>
        </row>
        <row r="4206">
          <cell r="A4206" t="str">
            <v>99-33153</v>
          </cell>
          <cell r="E4206" t="str">
            <v>VINILICA - PINTAVIN</v>
          </cell>
        </row>
        <row r="4207">
          <cell r="A4207" t="str">
            <v>99-33154</v>
          </cell>
          <cell r="E4207" t="str">
            <v>VINILICA - PINTAVIN</v>
          </cell>
        </row>
        <row r="4208">
          <cell r="A4208" t="str">
            <v>99-33211</v>
          </cell>
          <cell r="E4208" t="str">
            <v>VINILICA - PINTAVIN</v>
          </cell>
        </row>
        <row r="4209">
          <cell r="A4209" t="str">
            <v>99-33213</v>
          </cell>
          <cell r="E4209" t="str">
            <v>VINILICA - PINTAVIN</v>
          </cell>
        </row>
        <row r="4210">
          <cell r="A4210" t="str">
            <v>99-33214</v>
          </cell>
          <cell r="E4210" t="str">
            <v>VINILICA - PINTAVIN</v>
          </cell>
        </row>
        <row r="4211">
          <cell r="A4211" t="str">
            <v>99-33261</v>
          </cell>
          <cell r="E4211" t="str">
            <v>VINILICA - PINTAVIN</v>
          </cell>
        </row>
        <row r="4212">
          <cell r="A4212" t="str">
            <v>99-33263</v>
          </cell>
          <cell r="E4212" t="str">
            <v>VINILICA - PINTAVIN</v>
          </cell>
        </row>
        <row r="4213">
          <cell r="A4213" t="str">
            <v>99-33264</v>
          </cell>
          <cell r="E4213" t="str">
            <v>VINILICA - PINTAVIN</v>
          </cell>
        </row>
        <row r="4214">
          <cell r="A4214" t="str">
            <v>99-33321</v>
          </cell>
          <cell r="E4214" t="str">
            <v>VINILICA - PINTAVIN</v>
          </cell>
        </row>
        <row r="4215">
          <cell r="A4215" t="str">
            <v>99-33323</v>
          </cell>
          <cell r="E4215" t="str">
            <v>VINILICA - PINTAVIN</v>
          </cell>
        </row>
        <row r="4216">
          <cell r="A4216" t="str">
            <v>99-33324</v>
          </cell>
          <cell r="E4216" t="str">
            <v>VINILICA - PINTAVIN</v>
          </cell>
        </row>
        <row r="4217">
          <cell r="A4217" t="str">
            <v>99-33351</v>
          </cell>
          <cell r="E4217" t="str">
            <v>VINILICA - PINTAVIN</v>
          </cell>
        </row>
        <row r="4218">
          <cell r="A4218" t="str">
            <v>99-33353</v>
          </cell>
          <cell r="E4218" t="str">
            <v>VINILICA - PINTAVIN</v>
          </cell>
        </row>
        <row r="4219">
          <cell r="A4219" t="str">
            <v>99-33354</v>
          </cell>
          <cell r="E4219" t="str">
            <v>VINILICA - PINTAVIN</v>
          </cell>
        </row>
        <row r="4220">
          <cell r="A4220" t="str">
            <v>99-33371</v>
          </cell>
          <cell r="E4220" t="str">
            <v>VINILICA - PINTAVIN</v>
          </cell>
        </row>
        <row r="4221">
          <cell r="A4221" t="str">
            <v>99-33373</v>
          </cell>
          <cell r="E4221" t="str">
            <v>VINILICA - PINTAVIN</v>
          </cell>
        </row>
        <row r="4222">
          <cell r="A4222" t="str">
            <v>99-33374</v>
          </cell>
          <cell r="E4222" t="str">
            <v>VINILICA - PINTAVIN</v>
          </cell>
        </row>
        <row r="4223">
          <cell r="A4223" t="str">
            <v>99-33421</v>
          </cell>
          <cell r="E4223" t="str">
            <v>VINILICA - PINTAVIN</v>
          </cell>
        </row>
        <row r="4224">
          <cell r="A4224" t="str">
            <v>99-33423</v>
          </cell>
          <cell r="E4224" t="str">
            <v>VINILICA - PINTAVIN</v>
          </cell>
        </row>
        <row r="4225">
          <cell r="A4225" t="str">
            <v>99-33424</v>
          </cell>
          <cell r="E4225" t="str">
            <v>VINILICA - PINTAVIN</v>
          </cell>
        </row>
        <row r="4226">
          <cell r="A4226" t="str">
            <v>99-33531</v>
          </cell>
          <cell r="E4226" t="str">
            <v>VINILICA - PINTAVIN</v>
          </cell>
        </row>
        <row r="4227">
          <cell r="A4227" t="str">
            <v>99-33533</v>
          </cell>
          <cell r="E4227" t="str">
            <v>VINILICA - PINTAVIN</v>
          </cell>
        </row>
        <row r="4228">
          <cell r="A4228" t="str">
            <v>99-33534</v>
          </cell>
          <cell r="E4228" t="str">
            <v>VINILICA - PINTAVIN</v>
          </cell>
        </row>
        <row r="4229">
          <cell r="A4229" t="str">
            <v>99-33561</v>
          </cell>
          <cell r="E4229" t="str">
            <v>VINILICA - PINTAVIN</v>
          </cell>
        </row>
        <row r="4230">
          <cell r="A4230" t="str">
            <v>99-33563</v>
          </cell>
          <cell r="E4230" t="str">
            <v>VINILICA - PINTAVIN</v>
          </cell>
        </row>
        <row r="4231">
          <cell r="A4231" t="str">
            <v>99-33564</v>
          </cell>
          <cell r="E4231" t="str">
            <v>VINILICA - PINTAVIN</v>
          </cell>
        </row>
        <row r="4232">
          <cell r="A4232" t="str">
            <v>99-33611</v>
          </cell>
          <cell r="E4232" t="str">
            <v>VINILICA - PINTAVIN</v>
          </cell>
        </row>
        <row r="4233">
          <cell r="A4233" t="str">
            <v>99-33613</v>
          </cell>
          <cell r="E4233" t="str">
            <v>VINILICA - PINTAVIN</v>
          </cell>
        </row>
        <row r="4234">
          <cell r="A4234" t="str">
            <v>99-33614</v>
          </cell>
          <cell r="E4234" t="str">
            <v>VINILICA - PINTAVIN</v>
          </cell>
        </row>
        <row r="4235">
          <cell r="A4235" t="str">
            <v>99-33651</v>
          </cell>
          <cell r="E4235" t="str">
            <v>VINILICA - PINTAVIN</v>
          </cell>
        </row>
        <row r="4236">
          <cell r="A4236" t="str">
            <v>99-33653</v>
          </cell>
          <cell r="E4236" t="str">
            <v>VINILICA - PINTAVIN</v>
          </cell>
        </row>
        <row r="4237">
          <cell r="A4237" t="str">
            <v>99-33654</v>
          </cell>
          <cell r="E4237" t="str">
            <v>VINILICA - PINTAVIN</v>
          </cell>
        </row>
        <row r="4238">
          <cell r="A4238" t="str">
            <v>99-33741</v>
          </cell>
          <cell r="E4238" t="str">
            <v>VINILICA - PINTAVIN</v>
          </cell>
        </row>
        <row r="4239">
          <cell r="A4239" t="str">
            <v>99-33743</v>
          </cell>
          <cell r="E4239" t="str">
            <v>VINILICA - PINTAVIN</v>
          </cell>
        </row>
        <row r="4240">
          <cell r="A4240" t="str">
            <v>99-33744</v>
          </cell>
          <cell r="E4240" t="str">
            <v>VINILICA - PINTAVIN</v>
          </cell>
        </row>
        <row r="4241">
          <cell r="A4241" t="str">
            <v>99-33751</v>
          </cell>
          <cell r="E4241" t="str">
            <v>VINILICA - PINTAVIN</v>
          </cell>
        </row>
        <row r="4242">
          <cell r="A4242" t="str">
            <v>99-33753</v>
          </cell>
          <cell r="E4242" t="str">
            <v>VINILICA - PINTAVIN</v>
          </cell>
        </row>
        <row r="4243">
          <cell r="A4243" t="str">
            <v>99-33754</v>
          </cell>
          <cell r="E4243" t="str">
            <v>VINILICA - PINTAVIN</v>
          </cell>
        </row>
        <row r="4244">
          <cell r="A4244" t="str">
            <v>99-33781</v>
          </cell>
          <cell r="E4244" t="str">
            <v>VINILICA - PINTAVIN</v>
          </cell>
        </row>
        <row r="4245">
          <cell r="A4245" t="str">
            <v>99-33783</v>
          </cell>
          <cell r="E4245" t="str">
            <v>VINILICA - PINTAVIN</v>
          </cell>
        </row>
        <row r="4246">
          <cell r="A4246" t="str">
            <v>99-33784</v>
          </cell>
          <cell r="E4246" t="str">
            <v>VINILICA - PINTAVIN</v>
          </cell>
        </row>
        <row r="4247">
          <cell r="A4247" t="str">
            <v>99-33791</v>
          </cell>
          <cell r="E4247" t="str">
            <v>VINILICA - PINTAVIN</v>
          </cell>
        </row>
        <row r="4248">
          <cell r="A4248" t="str">
            <v>99-33793</v>
          </cell>
          <cell r="E4248" t="str">
            <v>VINILICA - PINTAVIN</v>
          </cell>
        </row>
        <row r="4249">
          <cell r="A4249" t="str">
            <v>99-33794</v>
          </cell>
          <cell r="E4249" t="str">
            <v>VINILICA - PINTAVIN</v>
          </cell>
        </row>
        <row r="4250">
          <cell r="A4250" t="str">
            <v>99-33911</v>
          </cell>
          <cell r="E4250" t="str">
            <v>VINILICA - PINTAVIN</v>
          </cell>
        </row>
        <row r="4251">
          <cell r="A4251" t="str">
            <v>99-33913</v>
          </cell>
          <cell r="E4251" t="str">
            <v>VINILICA - PINTAVIN</v>
          </cell>
        </row>
        <row r="4252">
          <cell r="A4252" t="str">
            <v>99-33991</v>
          </cell>
          <cell r="E4252" t="str">
            <v>VINILICA - PINTAVIN</v>
          </cell>
        </row>
        <row r="4253">
          <cell r="A4253" t="str">
            <v>99-33993</v>
          </cell>
          <cell r="E4253" t="str">
            <v>VINILICA - PINTAVIN</v>
          </cell>
        </row>
        <row r="4254">
          <cell r="A4254" t="str">
            <v>99-33994</v>
          </cell>
          <cell r="E4254" t="str">
            <v>VINILICA - PINTAVIN</v>
          </cell>
        </row>
        <row r="4255">
          <cell r="A4255" t="str">
            <v>99-34000</v>
          </cell>
          <cell r="E4255" t="str">
            <v>VINILICA - VINIBAR</v>
          </cell>
        </row>
        <row r="4256">
          <cell r="A4256" t="str">
            <v>99-34001</v>
          </cell>
          <cell r="E4256" t="str">
            <v>VINILICA - VINIBAR</v>
          </cell>
        </row>
        <row r="4257">
          <cell r="A4257" t="str">
            <v>99-34003</v>
          </cell>
          <cell r="E4257" t="str">
            <v>VINILICA - VINIBAR</v>
          </cell>
        </row>
        <row r="4258">
          <cell r="A4258" t="str">
            <v>99-34121</v>
          </cell>
          <cell r="E4258" t="str">
            <v>VINILICA - VINIBAR</v>
          </cell>
        </row>
        <row r="4259">
          <cell r="A4259" t="str">
            <v>99-34123</v>
          </cell>
          <cell r="E4259" t="str">
            <v>VINILICA - VINIBAR</v>
          </cell>
        </row>
        <row r="4260">
          <cell r="A4260" t="str">
            <v>99-34211</v>
          </cell>
          <cell r="E4260" t="str">
            <v>VINILICA - VINIBAR</v>
          </cell>
        </row>
        <row r="4261">
          <cell r="A4261" t="str">
            <v>99-34213</v>
          </cell>
          <cell r="E4261" t="str">
            <v>VINILICA - VINIBAR</v>
          </cell>
        </row>
        <row r="4262">
          <cell r="A4262" t="str">
            <v>99-34220</v>
          </cell>
          <cell r="E4262" t="str">
            <v>VINILICA - VINIBAR</v>
          </cell>
        </row>
        <row r="4263">
          <cell r="A4263" t="str">
            <v>99-34221</v>
          </cell>
          <cell r="E4263" t="str">
            <v>VINILICA - VINIBAR</v>
          </cell>
        </row>
        <row r="4264">
          <cell r="A4264" t="str">
            <v>99-34223</v>
          </cell>
          <cell r="E4264" t="str">
            <v>VINILICA - VINIBAR</v>
          </cell>
        </row>
        <row r="4265">
          <cell r="A4265" t="str">
            <v>99-34261</v>
          </cell>
          <cell r="E4265" t="str">
            <v>VINILICA - VINIBAR</v>
          </cell>
        </row>
        <row r="4266">
          <cell r="A4266" t="str">
            <v>99-34263</v>
          </cell>
          <cell r="E4266" t="str">
            <v>VINILICA - VINIBAR</v>
          </cell>
        </row>
        <row r="4267">
          <cell r="A4267" t="str">
            <v>99-34271</v>
          </cell>
          <cell r="E4267" t="str">
            <v>VINILICA - VINIBAR</v>
          </cell>
        </row>
        <row r="4268">
          <cell r="A4268" t="str">
            <v>99-34273</v>
          </cell>
          <cell r="E4268" t="str">
            <v>VINILICA - VINIBAR</v>
          </cell>
        </row>
        <row r="4269">
          <cell r="A4269" t="str">
            <v>99-34321</v>
          </cell>
          <cell r="E4269" t="str">
            <v>VINILICA - VINIBAR</v>
          </cell>
        </row>
        <row r="4270">
          <cell r="A4270" t="str">
            <v>99-34323</v>
          </cell>
          <cell r="E4270" t="str">
            <v>VINILICA - VINIBAR</v>
          </cell>
        </row>
        <row r="4271">
          <cell r="A4271" t="str">
            <v>99-34421</v>
          </cell>
          <cell r="E4271" t="str">
            <v>VINILICA - VINIBAR</v>
          </cell>
        </row>
        <row r="4272">
          <cell r="A4272" t="str">
            <v>99-34423</v>
          </cell>
          <cell r="E4272" t="str">
            <v>VINILICA - VINIBAR</v>
          </cell>
        </row>
        <row r="4273">
          <cell r="A4273" t="str">
            <v>99-34441</v>
          </cell>
          <cell r="E4273" t="str">
            <v>VINILICA - VINIBAR</v>
          </cell>
        </row>
        <row r="4274">
          <cell r="A4274" t="str">
            <v>99-34443</v>
          </cell>
          <cell r="E4274" t="str">
            <v>VINILICA - VINIBAR</v>
          </cell>
        </row>
        <row r="4275">
          <cell r="A4275" t="str">
            <v>99-34561</v>
          </cell>
          <cell r="E4275" t="str">
            <v>VINILICA - VINIBAR</v>
          </cell>
        </row>
        <row r="4276">
          <cell r="A4276" t="str">
            <v>99-34563</v>
          </cell>
          <cell r="E4276" t="str">
            <v>VINILICA - VINIBAR</v>
          </cell>
        </row>
        <row r="4277">
          <cell r="A4277" t="str">
            <v>99-34611</v>
          </cell>
          <cell r="E4277" t="str">
            <v>VINILICA - VINIBAR</v>
          </cell>
        </row>
        <row r="4278">
          <cell r="A4278" t="str">
            <v>99-34613</v>
          </cell>
          <cell r="E4278" t="str">
            <v>VINILICA - VINIBAR</v>
          </cell>
        </row>
        <row r="4279">
          <cell r="A4279" t="str">
            <v>99-34641</v>
          </cell>
          <cell r="E4279" t="str">
            <v>VINILICA - VINIBAR</v>
          </cell>
        </row>
        <row r="4280">
          <cell r="A4280" t="str">
            <v>99-34643</v>
          </cell>
          <cell r="E4280" t="str">
            <v>VINILICA - VINIBAR</v>
          </cell>
        </row>
        <row r="4281">
          <cell r="A4281" t="str">
            <v>99-34731</v>
          </cell>
          <cell r="E4281" t="str">
            <v>VINILICA - VINIBAR</v>
          </cell>
        </row>
        <row r="4282">
          <cell r="A4282" t="str">
            <v>99-34733</v>
          </cell>
          <cell r="E4282" t="str">
            <v>VINILICA - VINIBAR</v>
          </cell>
        </row>
        <row r="4283">
          <cell r="A4283" t="str">
            <v>99-34761</v>
          </cell>
          <cell r="E4283" t="str">
            <v>VINILICA - VINIBAR</v>
          </cell>
        </row>
        <row r="4284">
          <cell r="A4284" t="str">
            <v>99-34763</v>
          </cell>
          <cell r="E4284" t="str">
            <v>VINILICA - VINIBAR</v>
          </cell>
        </row>
        <row r="4285">
          <cell r="A4285" t="str">
            <v>99-34771</v>
          </cell>
          <cell r="E4285" t="str">
            <v>VINILICA - VINIBAR</v>
          </cell>
        </row>
        <row r="4286">
          <cell r="A4286" t="str">
            <v>99-34773</v>
          </cell>
          <cell r="E4286" t="str">
            <v>VINILICA - VINIBAR</v>
          </cell>
        </row>
        <row r="4287">
          <cell r="A4287" t="str">
            <v>99-35001</v>
          </cell>
          <cell r="E4287" t="str">
            <v>VINILICA - PRISASPORT</v>
          </cell>
        </row>
        <row r="4288">
          <cell r="A4288" t="str">
            <v>99-35003</v>
          </cell>
          <cell r="E4288" t="str">
            <v>VINILICA - PRISASPORT</v>
          </cell>
        </row>
        <row r="4289">
          <cell r="A4289" t="str">
            <v>99-35551</v>
          </cell>
          <cell r="E4289" t="str">
            <v>VINILICA - PRISASPORT</v>
          </cell>
        </row>
        <row r="4290">
          <cell r="A4290" t="str">
            <v>99-35553</v>
          </cell>
          <cell r="E4290" t="str">
            <v>VINILICA - PRISASPORT</v>
          </cell>
        </row>
        <row r="4291">
          <cell r="A4291" t="str">
            <v>99-35561</v>
          </cell>
          <cell r="E4291" t="str">
            <v>VINILICA - PRISASPORT</v>
          </cell>
        </row>
        <row r="4292">
          <cell r="A4292" t="str">
            <v>99-35563</v>
          </cell>
          <cell r="E4292" t="str">
            <v>VINILICA - PRISASPORT</v>
          </cell>
        </row>
        <row r="4293">
          <cell r="A4293" t="str">
            <v>99-35761</v>
          </cell>
          <cell r="E4293" t="str">
            <v>VINILICA - PRISASPORT</v>
          </cell>
        </row>
        <row r="4294">
          <cell r="A4294" t="str">
            <v>99-35763</v>
          </cell>
          <cell r="E4294" t="str">
            <v>VINILICA - PRISASPORT</v>
          </cell>
        </row>
        <row r="4295">
          <cell r="A4295" t="str">
            <v>99-35801</v>
          </cell>
          <cell r="E4295" t="str">
            <v>VINILICA - PRISASPORT</v>
          </cell>
        </row>
        <row r="4296">
          <cell r="A4296" t="str">
            <v>99-35803</v>
          </cell>
          <cell r="E4296" t="str">
            <v>VINILICA - PRISASPORT</v>
          </cell>
        </row>
        <row r="4297">
          <cell r="A4297" t="str">
            <v>99-36001</v>
          </cell>
          <cell r="E4297" t="str">
            <v>VINILICA - CASANOVA</v>
          </cell>
        </row>
        <row r="4298">
          <cell r="A4298" t="str">
            <v>99-36003</v>
          </cell>
          <cell r="E4298" t="str">
            <v>VINILICA - CASANOVA</v>
          </cell>
        </row>
        <row r="4299">
          <cell r="A4299" t="str">
            <v>99-36004</v>
          </cell>
          <cell r="E4299" t="str">
            <v>VINILICA - CASANOVA</v>
          </cell>
        </row>
        <row r="4300">
          <cell r="A4300" t="str">
            <v>99-36010</v>
          </cell>
          <cell r="E4300" t="str">
            <v>SELLADOR - VINILICO (RIVI)</v>
          </cell>
        </row>
        <row r="4301">
          <cell r="A4301" t="str">
            <v>99-36011</v>
          </cell>
          <cell r="E4301" t="str">
            <v>SELLADOR - VINILICO (RIVI)</v>
          </cell>
        </row>
        <row r="4302">
          <cell r="A4302" t="str">
            <v>99-36013</v>
          </cell>
          <cell r="E4302" t="str">
            <v>SELLADOR - VINILICO (RIVI)</v>
          </cell>
        </row>
        <row r="4303">
          <cell r="A4303" t="str">
            <v>99-36014</v>
          </cell>
          <cell r="E4303" t="str">
            <v>SELLADOR - VINILICO (RIVI)</v>
          </cell>
        </row>
        <row r="4304">
          <cell r="A4304" t="str">
            <v>99-36031</v>
          </cell>
          <cell r="E4304" t="str">
            <v>SELLADOR - VINILICO (RIVI)</v>
          </cell>
        </row>
        <row r="4305">
          <cell r="A4305" t="str">
            <v>99-36033</v>
          </cell>
          <cell r="E4305" t="str">
            <v>SELLADOR - VINILICO (RIVI)</v>
          </cell>
        </row>
        <row r="4306">
          <cell r="A4306" t="str">
            <v>99-36034</v>
          </cell>
          <cell r="E4306" t="str">
            <v>SELLADOR - VINILICO (RIVI)</v>
          </cell>
        </row>
        <row r="4307">
          <cell r="A4307" t="str">
            <v>99-36060</v>
          </cell>
          <cell r="E4307" t="str">
            <v>SELLADOR - VINILICO GLOSI</v>
          </cell>
        </row>
        <row r="4308">
          <cell r="A4308" t="str">
            <v>99-36061</v>
          </cell>
          <cell r="E4308" t="str">
            <v>SELLADOR - VINILICO GLOSI</v>
          </cell>
        </row>
        <row r="4309">
          <cell r="A4309" t="str">
            <v>99-36063</v>
          </cell>
          <cell r="E4309" t="str">
            <v>SELLADOR - VINILICO GLOSI</v>
          </cell>
        </row>
        <row r="4310">
          <cell r="A4310" t="str">
            <v>99-36064</v>
          </cell>
          <cell r="E4310" t="str">
            <v>SELLADOR - VINILICO GLOSI</v>
          </cell>
        </row>
        <row r="4311">
          <cell r="A4311" t="str">
            <v>99-36131</v>
          </cell>
          <cell r="E4311" t="str">
            <v>VINILICA - CASANOVA</v>
          </cell>
        </row>
        <row r="4312">
          <cell r="A4312" t="str">
            <v>99-36133</v>
          </cell>
          <cell r="E4312" t="str">
            <v>VINILICA - CASANOVA</v>
          </cell>
        </row>
        <row r="4313">
          <cell r="A4313" t="str">
            <v>99-36134</v>
          </cell>
          <cell r="E4313" t="str">
            <v>VINILICA - CASANOVA</v>
          </cell>
        </row>
        <row r="4314">
          <cell r="A4314" t="str">
            <v>99-36151</v>
          </cell>
          <cell r="E4314" t="str">
            <v>VINILICA - CASANOVA</v>
          </cell>
        </row>
        <row r="4315">
          <cell r="A4315" t="str">
            <v>99-36153</v>
          </cell>
          <cell r="E4315" t="str">
            <v>VINILICA - CASANOVA</v>
          </cell>
        </row>
        <row r="4316">
          <cell r="A4316" t="str">
            <v>99-36154</v>
          </cell>
          <cell r="E4316" t="str">
            <v>VINILICA - CASANOVA</v>
          </cell>
        </row>
        <row r="4317">
          <cell r="A4317" t="str">
            <v>99-36211</v>
          </cell>
          <cell r="E4317" t="str">
            <v>VINILICA - CASANOVA</v>
          </cell>
        </row>
        <row r="4318">
          <cell r="A4318" t="str">
            <v>99-36213</v>
          </cell>
          <cell r="E4318" t="str">
            <v>VINILICA - CASANOVA</v>
          </cell>
        </row>
        <row r="4319">
          <cell r="A4319" t="str">
            <v>99-36214</v>
          </cell>
          <cell r="E4319" t="str">
            <v>VINILICA - CASANOVA</v>
          </cell>
        </row>
        <row r="4320">
          <cell r="A4320" t="str">
            <v>99-36261</v>
          </cell>
          <cell r="E4320" t="str">
            <v>VINILICA - CASANOVA</v>
          </cell>
        </row>
        <row r="4321">
          <cell r="A4321" t="str">
            <v>99-36263</v>
          </cell>
          <cell r="E4321" t="str">
            <v>VINILICA - CASANOVA</v>
          </cell>
        </row>
        <row r="4322">
          <cell r="A4322" t="str">
            <v>99-36264</v>
          </cell>
          <cell r="E4322" t="str">
            <v>VINILICA - CASANOVA</v>
          </cell>
        </row>
        <row r="4323">
          <cell r="A4323" t="str">
            <v>99-36321</v>
          </cell>
          <cell r="E4323" t="str">
            <v>VINILICA - CASANOVA</v>
          </cell>
        </row>
        <row r="4324">
          <cell r="A4324" t="str">
            <v>99-36323</v>
          </cell>
          <cell r="E4324" t="str">
            <v>VINILICA - CASANOVA</v>
          </cell>
        </row>
        <row r="4325">
          <cell r="A4325" t="str">
            <v>99-36324</v>
          </cell>
          <cell r="E4325" t="str">
            <v>VINILICA - CASANOVA</v>
          </cell>
        </row>
        <row r="4326">
          <cell r="A4326" t="str">
            <v>99-36351</v>
          </cell>
          <cell r="E4326" t="str">
            <v>VINILICA - CASANOVA</v>
          </cell>
        </row>
        <row r="4327">
          <cell r="A4327" t="str">
            <v>99-36353</v>
          </cell>
          <cell r="E4327" t="str">
            <v>VINILICA - CASANOVA</v>
          </cell>
        </row>
        <row r="4328">
          <cell r="A4328" t="str">
            <v>99-36354</v>
          </cell>
          <cell r="E4328" t="str">
            <v>VINILICA - CASANOVA</v>
          </cell>
        </row>
        <row r="4329">
          <cell r="A4329" t="str">
            <v>99-36371</v>
          </cell>
          <cell r="E4329" t="str">
            <v>VINILICA - CASANOVA</v>
          </cell>
        </row>
        <row r="4330">
          <cell r="A4330" t="str">
            <v>99-36373</v>
          </cell>
          <cell r="E4330" t="str">
            <v>VINILICA - CASANOVA</v>
          </cell>
        </row>
        <row r="4331">
          <cell r="A4331" t="str">
            <v>99-36374</v>
          </cell>
          <cell r="E4331" t="str">
            <v>VINILICA - CASANOVA</v>
          </cell>
        </row>
        <row r="4332">
          <cell r="A4332" t="str">
            <v>99-36421</v>
          </cell>
          <cell r="E4332" t="str">
            <v>VINILICA - CASANOVA</v>
          </cell>
        </row>
        <row r="4333">
          <cell r="A4333" t="str">
            <v>99-36423</v>
          </cell>
          <cell r="E4333" t="str">
            <v>VINILICA - CASANOVA</v>
          </cell>
        </row>
        <row r="4334">
          <cell r="A4334" t="str">
            <v>99-36424</v>
          </cell>
          <cell r="E4334" t="str">
            <v>VINILICA - CASANOVA</v>
          </cell>
        </row>
        <row r="4335">
          <cell r="A4335" t="str">
            <v>99-36471</v>
          </cell>
          <cell r="E4335" t="str">
            <v>VINILICA - CASANOVA</v>
          </cell>
        </row>
        <row r="4336">
          <cell r="A4336" t="str">
            <v>99-36473</v>
          </cell>
          <cell r="E4336" t="str">
            <v>VINILICA - CASANOVA</v>
          </cell>
        </row>
        <row r="4337">
          <cell r="A4337" t="str">
            <v>99-36474</v>
          </cell>
          <cell r="E4337" t="str">
            <v>VINILICA - CASANOVA</v>
          </cell>
        </row>
        <row r="4338">
          <cell r="A4338" t="str">
            <v>99-36531</v>
          </cell>
          <cell r="E4338" t="str">
            <v>VINILICA - CASANOVA</v>
          </cell>
        </row>
        <row r="4339">
          <cell r="A4339" t="str">
            <v>99-36533</v>
          </cell>
          <cell r="E4339" t="str">
            <v>VINILICA - CASANOVA</v>
          </cell>
        </row>
        <row r="4340">
          <cell r="A4340" t="str">
            <v>99-36534</v>
          </cell>
          <cell r="E4340" t="str">
            <v>VINILICA - CASANOVA</v>
          </cell>
        </row>
        <row r="4341">
          <cell r="A4341" t="str">
            <v>99-36561</v>
          </cell>
          <cell r="E4341" t="str">
            <v>VINILICA - CASANOVA</v>
          </cell>
        </row>
        <row r="4342">
          <cell r="A4342" t="str">
            <v>99-36563</v>
          </cell>
          <cell r="E4342" t="str">
            <v>VINILICA - CASANOVA</v>
          </cell>
        </row>
        <row r="4343">
          <cell r="A4343" t="str">
            <v>99-36564</v>
          </cell>
          <cell r="E4343" t="str">
            <v>VINILICA - CASANOVA</v>
          </cell>
        </row>
        <row r="4344">
          <cell r="A4344" t="str">
            <v>99-36611</v>
          </cell>
          <cell r="E4344" t="str">
            <v>VINILICA - CASANOVA</v>
          </cell>
        </row>
        <row r="4345">
          <cell r="A4345" t="str">
            <v>99-36613</v>
          </cell>
          <cell r="E4345" t="str">
            <v>VINILICA - CASANOVA</v>
          </cell>
        </row>
        <row r="4346">
          <cell r="A4346" t="str">
            <v>99-36614</v>
          </cell>
          <cell r="E4346" t="str">
            <v>VINILICA - CASANOVA</v>
          </cell>
        </row>
        <row r="4347">
          <cell r="A4347" t="str">
            <v>99-36651</v>
          </cell>
          <cell r="E4347" t="str">
            <v>VINILICA - CASANOVA</v>
          </cell>
        </row>
        <row r="4348">
          <cell r="A4348" t="str">
            <v>99-36653</v>
          </cell>
          <cell r="E4348" t="str">
            <v>VINILICA - CASANOVA</v>
          </cell>
        </row>
        <row r="4349">
          <cell r="A4349" t="str">
            <v>99-36654</v>
          </cell>
          <cell r="E4349" t="str">
            <v>VINILICA - CASANOVA</v>
          </cell>
        </row>
        <row r="4350">
          <cell r="A4350" t="str">
            <v>99-36681</v>
          </cell>
          <cell r="E4350" t="str">
            <v>VINILICA - CASANOVA</v>
          </cell>
        </row>
        <row r="4351">
          <cell r="A4351" t="str">
            <v>99-36683</v>
          </cell>
          <cell r="E4351" t="str">
            <v>VINILICA - CASANOVA</v>
          </cell>
        </row>
        <row r="4352">
          <cell r="A4352" t="str">
            <v>99-36684</v>
          </cell>
          <cell r="E4352" t="str">
            <v>VINILICA - CASANOVA</v>
          </cell>
        </row>
        <row r="4353">
          <cell r="A4353" t="str">
            <v>99-36741</v>
          </cell>
          <cell r="E4353" t="str">
            <v>VINILICA - CASANOVA</v>
          </cell>
        </row>
        <row r="4354">
          <cell r="A4354" t="str">
            <v>99-36743</v>
          </cell>
          <cell r="E4354" t="str">
            <v>VINILICA - CASANOVA</v>
          </cell>
        </row>
        <row r="4355">
          <cell r="A4355" t="str">
            <v>99-36744</v>
          </cell>
          <cell r="E4355" t="str">
            <v>VINILICA - CASANOVA</v>
          </cell>
        </row>
        <row r="4356">
          <cell r="A4356" t="str">
            <v>99-36751</v>
          </cell>
          <cell r="E4356" t="str">
            <v>VINILICA - CASANOVA</v>
          </cell>
        </row>
        <row r="4357">
          <cell r="A4357" t="str">
            <v>99-36753</v>
          </cell>
          <cell r="E4357" t="str">
            <v>VINILICA - CASANOVA</v>
          </cell>
        </row>
        <row r="4358">
          <cell r="A4358" t="str">
            <v>99-36754</v>
          </cell>
          <cell r="E4358" t="str">
            <v>VINILICA - CASANOVA</v>
          </cell>
        </row>
        <row r="4359">
          <cell r="A4359" t="str">
            <v>99-36781</v>
          </cell>
          <cell r="E4359" t="str">
            <v>VINILICA - CASANOVA</v>
          </cell>
        </row>
        <row r="4360">
          <cell r="A4360" t="str">
            <v>99-36783</v>
          </cell>
          <cell r="E4360" t="str">
            <v>VINILICA - CASANOVA</v>
          </cell>
        </row>
        <row r="4361">
          <cell r="A4361" t="str">
            <v>99-36784</v>
          </cell>
          <cell r="E4361" t="str">
            <v>VINILICA - CASANOVA</v>
          </cell>
        </row>
        <row r="4362">
          <cell r="A4362" t="str">
            <v>99-36791</v>
          </cell>
          <cell r="E4362" t="str">
            <v>VINILICA - CASANOVA</v>
          </cell>
        </row>
        <row r="4363">
          <cell r="A4363" t="str">
            <v>99-36793</v>
          </cell>
          <cell r="E4363" t="str">
            <v>VINILICA - CASANOVA</v>
          </cell>
        </row>
        <row r="4364">
          <cell r="A4364" t="str">
            <v>99-36794</v>
          </cell>
          <cell r="E4364" t="str">
            <v>VINILICA - CASANOVA</v>
          </cell>
        </row>
        <row r="4365">
          <cell r="A4365" t="str">
            <v>99-36801</v>
          </cell>
          <cell r="E4365" t="str">
            <v>VINILICA - CASANOVA</v>
          </cell>
        </row>
        <row r="4366">
          <cell r="A4366" t="str">
            <v>99-36803</v>
          </cell>
          <cell r="E4366" t="str">
            <v>VINILICA - CASANOVA</v>
          </cell>
        </row>
        <row r="4367">
          <cell r="A4367" t="str">
            <v>99-36804</v>
          </cell>
          <cell r="E4367" t="str">
            <v>VINILICA - CASANOVA</v>
          </cell>
        </row>
        <row r="4368">
          <cell r="A4368" t="str">
            <v>99-36911</v>
          </cell>
          <cell r="E4368" t="str">
            <v>VINILICA - CASANOVA</v>
          </cell>
        </row>
        <row r="4369">
          <cell r="A4369" t="str">
            <v>99-36913</v>
          </cell>
          <cell r="E4369" t="str">
            <v>VINILICA - CASANOVA</v>
          </cell>
        </row>
        <row r="4370">
          <cell r="A4370" t="str">
            <v>99-36914</v>
          </cell>
          <cell r="E4370" t="str">
            <v>VINILICA - CASANOVA</v>
          </cell>
        </row>
        <row r="4371">
          <cell r="A4371" t="str">
            <v>99-36991</v>
          </cell>
          <cell r="E4371" t="str">
            <v>VINILICA - CASANOVA</v>
          </cell>
        </row>
        <row r="4372">
          <cell r="A4372" t="str">
            <v>99-36993</v>
          </cell>
          <cell r="E4372" t="str">
            <v>VINILICA - CASANOVA</v>
          </cell>
        </row>
        <row r="4373">
          <cell r="A4373" t="str">
            <v>99-36994</v>
          </cell>
          <cell r="E4373" t="str">
            <v>VINILICA - CASANOVA</v>
          </cell>
        </row>
        <row r="4374">
          <cell r="A4374" t="str">
            <v>99-37009</v>
          </cell>
          <cell r="E4374" t="str">
            <v>TINTAS MEGACOLOR</v>
          </cell>
        </row>
        <row r="4375">
          <cell r="A4375" t="str">
            <v>99-37159</v>
          </cell>
          <cell r="E4375" t="str">
            <v>TINTAS MEGACOLOR</v>
          </cell>
        </row>
        <row r="4376">
          <cell r="A4376" t="str">
            <v>99-37169</v>
          </cell>
          <cell r="E4376" t="str">
            <v>TINTAS MEGACOLOR</v>
          </cell>
        </row>
        <row r="4377">
          <cell r="A4377" t="str">
            <v>99-37269</v>
          </cell>
          <cell r="E4377" t="str">
            <v>TINTAS MEGACOLOR</v>
          </cell>
        </row>
        <row r="4378">
          <cell r="A4378" t="str">
            <v>99-37459</v>
          </cell>
          <cell r="E4378" t="str">
            <v>TINTAS MEGACOLOR</v>
          </cell>
        </row>
        <row r="4379">
          <cell r="A4379" t="str">
            <v>99-37479</v>
          </cell>
          <cell r="E4379" t="str">
            <v>TINTAS MEGACOLOR</v>
          </cell>
        </row>
        <row r="4380">
          <cell r="A4380" t="str">
            <v>99-37569</v>
          </cell>
          <cell r="E4380" t="str">
            <v>TINTAS MEGACOLOR</v>
          </cell>
        </row>
        <row r="4381">
          <cell r="A4381" t="str">
            <v>99-37589</v>
          </cell>
          <cell r="E4381" t="str">
            <v>TINTAS MEGACOLOR</v>
          </cell>
        </row>
        <row r="4382">
          <cell r="A4382" t="str">
            <v>99-37599</v>
          </cell>
          <cell r="E4382" t="str">
            <v>TINTAS MEGACOLOR</v>
          </cell>
        </row>
        <row r="4383">
          <cell r="A4383" t="str">
            <v>99-37659</v>
          </cell>
          <cell r="E4383" t="str">
            <v>TINTAS MEGACOLOR</v>
          </cell>
        </row>
        <row r="4384">
          <cell r="A4384" t="str">
            <v>99-37759</v>
          </cell>
          <cell r="E4384" t="str">
            <v>TINTAS MEGACOLOR</v>
          </cell>
        </row>
        <row r="4385">
          <cell r="A4385" t="str">
            <v>99-37999</v>
          </cell>
          <cell r="E4385" t="str">
            <v>TINTAS MEGACOLOR</v>
          </cell>
        </row>
        <row r="4386">
          <cell r="A4386" t="str">
            <v>99-38021</v>
          </cell>
          <cell r="E4386" t="str">
            <v>IMPERM - PARAGUAS 5 AÑOS</v>
          </cell>
        </row>
        <row r="4387">
          <cell r="A4387" t="str">
            <v>99-38023</v>
          </cell>
          <cell r="E4387" t="str">
            <v>IMPERM - PARAGUAS 5 AÑOS</v>
          </cell>
        </row>
        <row r="4388">
          <cell r="A4388" t="str">
            <v>99-38031</v>
          </cell>
          <cell r="E4388" t="str">
            <v>SELLADOR ACRILICO PARAGUAS</v>
          </cell>
        </row>
        <row r="4389">
          <cell r="A4389" t="str">
            <v>99-38033</v>
          </cell>
          <cell r="E4389" t="str">
            <v>SELLADOR ACRILICO PARAGUAS</v>
          </cell>
        </row>
        <row r="4390">
          <cell r="A4390" t="str">
            <v>99-38041</v>
          </cell>
          <cell r="E4390" t="str">
            <v>IMPERM- EXTRAFIBRA 6 AÑOS</v>
          </cell>
        </row>
        <row r="4391">
          <cell r="A4391" t="str">
            <v>99-38043</v>
          </cell>
          <cell r="E4391" t="str">
            <v>IMPERM- EXTRAFIBRA 6 AÑOS</v>
          </cell>
        </row>
        <row r="4392">
          <cell r="A4392" t="str">
            <v>99-38061</v>
          </cell>
          <cell r="E4392" t="str">
            <v>IMPERM - PARAGUAS 3 AÑOS</v>
          </cell>
        </row>
        <row r="4393">
          <cell r="A4393" t="str">
            <v>99-38063</v>
          </cell>
          <cell r="E4393" t="str">
            <v>IMPERM - PARAGUAS 3 AÑOS</v>
          </cell>
        </row>
        <row r="4394">
          <cell r="A4394" t="str">
            <v>99-38091</v>
          </cell>
          <cell r="E4394" t="str">
            <v>IMPERM - PARAGUAS 7 AÑOS</v>
          </cell>
        </row>
        <row r="4395">
          <cell r="A4395" t="str">
            <v>99-38093</v>
          </cell>
          <cell r="E4395" t="str">
            <v>IMPERM - PARAGUAS 7 AÑOS</v>
          </cell>
        </row>
        <row r="4396">
          <cell r="A4396" t="str">
            <v>99-38101</v>
          </cell>
          <cell r="E4396" t="str">
            <v>IMPERM - PARAGUAS 10 AÑOS</v>
          </cell>
        </row>
        <row r="4397">
          <cell r="A4397" t="str">
            <v>99-38103</v>
          </cell>
          <cell r="E4397" t="str">
            <v>IMPERM - PARAGUAS 10 AÑOS</v>
          </cell>
        </row>
        <row r="4398">
          <cell r="A4398" t="str">
            <v>99-38550</v>
          </cell>
          <cell r="E4398" t="str">
            <v>IMPERM - PARAGUAS 3 AÑOS</v>
          </cell>
        </row>
        <row r="4399">
          <cell r="A4399" t="str">
            <v>99-38551</v>
          </cell>
          <cell r="E4399" t="str">
            <v>IMPERM - PARAGUAS 3 AÑOS</v>
          </cell>
        </row>
        <row r="4400">
          <cell r="A4400" t="str">
            <v>99-38553</v>
          </cell>
          <cell r="E4400" t="str">
            <v>IMPERM - PARAGUAS 3 AÑOS</v>
          </cell>
        </row>
        <row r="4401">
          <cell r="A4401" t="str">
            <v>99-38561</v>
          </cell>
          <cell r="E4401" t="str">
            <v>IMPERM - PARAGUAS 7 AÑOS</v>
          </cell>
        </row>
        <row r="4402">
          <cell r="A4402" t="str">
            <v>99-38563</v>
          </cell>
          <cell r="E4402" t="str">
            <v>IMPERM - PARAGUAS 7 AÑOS</v>
          </cell>
        </row>
        <row r="4403">
          <cell r="A4403" t="str">
            <v>99-38580</v>
          </cell>
          <cell r="E4403" t="str">
            <v>IMPERM - PARAGUAS 5 AÑOS</v>
          </cell>
        </row>
        <row r="4404">
          <cell r="A4404" t="str">
            <v>99-38581</v>
          </cell>
          <cell r="E4404" t="str">
            <v>IMPERM - PARAGUAS 5 AÑOS</v>
          </cell>
        </row>
        <row r="4405">
          <cell r="A4405" t="str">
            <v>99-38583</v>
          </cell>
          <cell r="E4405" t="str">
            <v>IMPERM - PARAGUAS 5 AÑOS</v>
          </cell>
        </row>
        <row r="4406">
          <cell r="A4406" t="str">
            <v>99-38591</v>
          </cell>
          <cell r="E4406" t="str">
            <v>IMPERM - PARAGUAS 10 AÑOS</v>
          </cell>
        </row>
        <row r="4407">
          <cell r="A4407" t="str">
            <v>99-38601</v>
          </cell>
          <cell r="E4407" t="str">
            <v>IMPERM-EXTRAFIBRA 4 AÑOS</v>
          </cell>
        </row>
        <row r="4408">
          <cell r="A4408" t="str">
            <v>99-38603</v>
          </cell>
          <cell r="E4408" t="str">
            <v>IMPERM-EXTRAFIBRA 4 AÑOS</v>
          </cell>
        </row>
        <row r="4409">
          <cell r="A4409" t="str">
            <v>99-38611</v>
          </cell>
          <cell r="E4409" t="str">
            <v>IMPERM- EXTRAFIBRA 6 AÑOS</v>
          </cell>
        </row>
        <row r="4410">
          <cell r="A4410" t="str">
            <v>99-38613</v>
          </cell>
          <cell r="E4410" t="str">
            <v>IMPERM- EXTRAFIBRA 6 AÑOS</v>
          </cell>
        </row>
        <row r="4411">
          <cell r="A4411" t="str">
            <v>99-38621</v>
          </cell>
          <cell r="E4411" t="str">
            <v>IMPERM-EXTRAFIBRA 4 AÑOS</v>
          </cell>
        </row>
        <row r="4412">
          <cell r="A4412" t="str">
            <v>99-38623</v>
          </cell>
          <cell r="E4412" t="str">
            <v>IMPERM-EXTRAFIBRA 4 AÑOS</v>
          </cell>
        </row>
        <row r="4413">
          <cell r="A4413" t="str">
            <v>99-39001</v>
          </cell>
          <cell r="E4413" t="str">
            <v>VINILICA - DURASOL</v>
          </cell>
        </row>
        <row r="4414">
          <cell r="A4414" t="str">
            <v>99-39003</v>
          </cell>
          <cell r="E4414" t="str">
            <v>VINILICA - DURASOL</v>
          </cell>
        </row>
        <row r="4415">
          <cell r="A4415" t="str">
            <v>99-39121</v>
          </cell>
          <cell r="E4415" t="str">
            <v>VINILICA - DURASOL</v>
          </cell>
        </row>
        <row r="4416">
          <cell r="A4416" t="str">
            <v>99-39123</v>
          </cell>
          <cell r="E4416" t="str">
            <v>VINILICA - DURASOL</v>
          </cell>
        </row>
        <row r="4417">
          <cell r="A4417" t="str">
            <v>99-39211</v>
          </cell>
          <cell r="E4417" t="str">
            <v>VINILICA - DURASOL</v>
          </cell>
        </row>
        <row r="4418">
          <cell r="A4418" t="str">
            <v>99-39213</v>
          </cell>
          <cell r="E4418" t="str">
            <v>VINILICA - DURASOL</v>
          </cell>
        </row>
        <row r="4419">
          <cell r="A4419" t="str">
            <v>99-39221</v>
          </cell>
          <cell r="E4419" t="str">
            <v>VINILICA - DURASOL</v>
          </cell>
        </row>
        <row r="4420">
          <cell r="A4420" t="str">
            <v>99-39223</v>
          </cell>
          <cell r="E4420" t="str">
            <v>VINILICA - DURASOL</v>
          </cell>
        </row>
        <row r="4421">
          <cell r="A4421" t="str">
            <v>99-39261</v>
          </cell>
          <cell r="E4421" t="str">
            <v>VINILICA - DURASOL</v>
          </cell>
        </row>
        <row r="4422">
          <cell r="A4422" t="str">
            <v>99-39263</v>
          </cell>
          <cell r="E4422" t="str">
            <v>VINILICA - DURASOL</v>
          </cell>
        </row>
        <row r="4423">
          <cell r="A4423" t="str">
            <v>99-39271</v>
          </cell>
          <cell r="E4423" t="str">
            <v>VINILICA - DURASOL</v>
          </cell>
        </row>
        <row r="4424">
          <cell r="A4424" t="str">
            <v>99-39273</v>
          </cell>
          <cell r="E4424" t="str">
            <v>VINILICA - DURASOL</v>
          </cell>
        </row>
        <row r="4425">
          <cell r="A4425" t="str">
            <v>99-39281</v>
          </cell>
          <cell r="E4425" t="str">
            <v>VINILICA - DURASOL</v>
          </cell>
        </row>
        <row r="4426">
          <cell r="A4426" t="str">
            <v>99-39283</v>
          </cell>
          <cell r="E4426" t="str">
            <v>VINILICA - DURASOL</v>
          </cell>
        </row>
        <row r="4427">
          <cell r="A4427" t="str">
            <v>99-39321</v>
          </cell>
          <cell r="E4427" t="str">
            <v>VINILICA - DURASOL</v>
          </cell>
        </row>
        <row r="4428">
          <cell r="A4428" t="str">
            <v>99-39323</v>
          </cell>
          <cell r="E4428" t="str">
            <v>VINILICA - DURASOL</v>
          </cell>
        </row>
        <row r="4429">
          <cell r="A4429" t="str">
            <v>99-39421</v>
          </cell>
          <cell r="E4429" t="str">
            <v>VINILICA - DURASOL</v>
          </cell>
        </row>
        <row r="4430">
          <cell r="A4430" t="str">
            <v>99-39423</v>
          </cell>
          <cell r="E4430" t="str">
            <v>VINILICA - DURASOL</v>
          </cell>
        </row>
        <row r="4431">
          <cell r="A4431" t="str">
            <v>99-39561</v>
          </cell>
          <cell r="E4431" t="str">
            <v>VINILICA - DURASOL</v>
          </cell>
        </row>
        <row r="4432">
          <cell r="A4432" t="str">
            <v>99-39563</v>
          </cell>
          <cell r="E4432" t="str">
            <v>VINILICA - DURASOL</v>
          </cell>
        </row>
        <row r="4433">
          <cell r="A4433" t="str">
            <v>99-39611</v>
          </cell>
          <cell r="E4433" t="str">
            <v>VINILICA - DURASOL</v>
          </cell>
        </row>
        <row r="4434">
          <cell r="A4434" t="str">
            <v>99-39613</v>
          </cell>
          <cell r="E4434" t="str">
            <v>VINILICA - DURASOL</v>
          </cell>
        </row>
        <row r="4435">
          <cell r="A4435" t="str">
            <v>99-39631</v>
          </cell>
          <cell r="E4435" t="str">
            <v>VINILICA - DURASOL</v>
          </cell>
        </row>
        <row r="4436">
          <cell r="A4436" t="str">
            <v>99-39633</v>
          </cell>
          <cell r="E4436" t="str">
            <v>VINILICA - DURASOL</v>
          </cell>
        </row>
        <row r="4437">
          <cell r="A4437" t="str">
            <v>99-39731</v>
          </cell>
          <cell r="E4437" t="str">
            <v>VINILICA - DURASOL</v>
          </cell>
        </row>
        <row r="4438">
          <cell r="A4438" t="str">
            <v>99-39733</v>
          </cell>
          <cell r="E4438" t="str">
            <v>VINILICA - DURASOL</v>
          </cell>
        </row>
        <row r="4439">
          <cell r="A4439" t="str">
            <v>99-39761</v>
          </cell>
          <cell r="E4439" t="str">
            <v>VINILICA - DURASOL</v>
          </cell>
        </row>
        <row r="4440">
          <cell r="A4440" t="str">
            <v>99-39763</v>
          </cell>
          <cell r="E4440" t="str">
            <v>VINILICA - DURASOL</v>
          </cell>
        </row>
        <row r="4441">
          <cell r="A4441" t="str">
            <v>99-39771</v>
          </cell>
          <cell r="E4441" t="str">
            <v>VINILICA - DURASOL</v>
          </cell>
        </row>
        <row r="4442">
          <cell r="A4442" t="str">
            <v>99-39773</v>
          </cell>
          <cell r="E4442" t="str">
            <v>VINILICA - DURASOL</v>
          </cell>
        </row>
        <row r="4443">
          <cell r="A4443" t="str">
            <v>99-41541</v>
          </cell>
          <cell r="E4443" t="str">
            <v>PRIMARIOS ALQUIDALICOS</v>
          </cell>
        </row>
        <row r="4444">
          <cell r="A4444" t="str">
            <v>99-41561</v>
          </cell>
          <cell r="E4444" t="str">
            <v>PRIMARIOS ALQUIDALICOS</v>
          </cell>
        </row>
        <row r="4445">
          <cell r="A4445" t="str">
            <v>99-41563</v>
          </cell>
          <cell r="E4445" t="str">
            <v>PRIMARIOS ALQUIDALICOS</v>
          </cell>
        </row>
        <row r="4446">
          <cell r="A4446" t="str">
            <v>99-41601</v>
          </cell>
          <cell r="E4446" t="str">
            <v>PRIMARIOS ALQUIDALICOS</v>
          </cell>
        </row>
        <row r="4447">
          <cell r="A4447" t="str">
            <v>99-41941</v>
          </cell>
          <cell r="E4447" t="str">
            <v>PRIMARIOS ALQUIDALICOS</v>
          </cell>
        </row>
        <row r="4448">
          <cell r="A4448" t="str">
            <v>99-42561</v>
          </cell>
          <cell r="E4448" t="str">
            <v>PRIMARIOS VINILICOS</v>
          </cell>
        </row>
        <row r="4449">
          <cell r="A4449" t="str">
            <v>99-42563</v>
          </cell>
          <cell r="E4449" t="str">
            <v>PRIMARIOS VINILICOS</v>
          </cell>
        </row>
        <row r="4450">
          <cell r="A4450" t="str">
            <v>99-42571</v>
          </cell>
          <cell r="E4450" t="str">
            <v>PRIMARIOS EPOXICOS</v>
          </cell>
        </row>
        <row r="4451">
          <cell r="A4451" t="str">
            <v>99-42601</v>
          </cell>
          <cell r="E4451" t="str">
            <v>PRIMARIOS EPOXICOS</v>
          </cell>
        </row>
        <row r="4452">
          <cell r="A4452" t="str">
            <v>99-42751</v>
          </cell>
          <cell r="E4452" t="str">
            <v>PRETRATAMIENTO METALICO INDUST</v>
          </cell>
        </row>
        <row r="4453">
          <cell r="A4453" t="str">
            <v>99-42753</v>
          </cell>
          <cell r="E4453" t="str">
            <v>PRETRATAMIENTO METALICO INDUST</v>
          </cell>
        </row>
        <row r="4454">
          <cell r="A4454" t="str">
            <v>99-42801</v>
          </cell>
          <cell r="E4454" t="str">
            <v>PRETRATAMIENTO METALICO INDUST</v>
          </cell>
        </row>
        <row r="4455">
          <cell r="A4455" t="str">
            <v>99-42803</v>
          </cell>
          <cell r="E4455" t="str">
            <v>PRETRATAMIENTO METALICO INDUST</v>
          </cell>
        </row>
        <row r="4456">
          <cell r="A4456" t="str">
            <v>99-43000</v>
          </cell>
          <cell r="E4456" t="str">
            <v>PRIMARIOS EPOXICOS</v>
          </cell>
        </row>
        <row r="4457">
          <cell r="A4457" t="str">
            <v>99-43001</v>
          </cell>
          <cell r="E4457" t="str">
            <v>PRIMARIOS EPOXICOS</v>
          </cell>
        </row>
        <row r="4458">
          <cell r="A4458" t="str">
            <v>99-43003</v>
          </cell>
          <cell r="E4458" t="str">
            <v>PRIMARIOS EPOXICOS</v>
          </cell>
        </row>
        <row r="4459">
          <cell r="A4459" t="str">
            <v>99-43011</v>
          </cell>
          <cell r="E4459" t="str">
            <v>PRIMARIOS EPOXICOS</v>
          </cell>
        </row>
        <row r="4460">
          <cell r="A4460" t="str">
            <v>99-43013</v>
          </cell>
          <cell r="E4460" t="str">
            <v>PRIMARIOS EPOXICOS</v>
          </cell>
        </row>
        <row r="4461">
          <cell r="A4461" t="str">
            <v>99-43023</v>
          </cell>
          <cell r="E4461" t="str">
            <v>PRIMARIOS EPOXICOS</v>
          </cell>
        </row>
        <row r="4462">
          <cell r="A4462" t="str">
            <v>99-43024</v>
          </cell>
          <cell r="E4462" t="str">
            <v>PRIMARIOS EPOXICOS</v>
          </cell>
        </row>
        <row r="4463">
          <cell r="A4463" t="str">
            <v>99-43561</v>
          </cell>
          <cell r="E4463" t="str">
            <v>PRIMARIOS EPOXICOS</v>
          </cell>
        </row>
        <row r="4464">
          <cell r="A4464" t="str">
            <v>99-43563</v>
          </cell>
          <cell r="E4464" t="str">
            <v>PRIMARIOS EPOXICOS</v>
          </cell>
        </row>
        <row r="4465">
          <cell r="A4465" t="str">
            <v>99-43573</v>
          </cell>
          <cell r="E4465" t="str">
            <v>PRIMARIOS EPOXICOS</v>
          </cell>
        </row>
        <row r="4466">
          <cell r="A4466" t="str">
            <v>99-43574</v>
          </cell>
          <cell r="E4466" t="str">
            <v>PRIMARIOS EPOXICOS</v>
          </cell>
        </row>
        <row r="4467">
          <cell r="A4467" t="str">
            <v>99-43581</v>
          </cell>
          <cell r="E4467" t="str">
            <v>PRIMARIOS EPOXICOS</v>
          </cell>
        </row>
        <row r="4468">
          <cell r="A4468" t="str">
            <v>99-43583</v>
          </cell>
          <cell r="E4468" t="str">
            <v>PRIMARIOS EPOXICOS</v>
          </cell>
        </row>
        <row r="4469">
          <cell r="A4469" t="str">
            <v>99-43593</v>
          </cell>
          <cell r="E4469" t="str">
            <v>PRIMARIOS EPOXICOS</v>
          </cell>
        </row>
        <row r="4470">
          <cell r="A4470" t="str">
            <v>99-43903</v>
          </cell>
          <cell r="E4470" t="str">
            <v>PRIMARIOS EPOXICOS</v>
          </cell>
        </row>
        <row r="4471">
          <cell r="A4471" t="str">
            <v>99-43914</v>
          </cell>
          <cell r="E4471" t="str">
            <v>PRIMARIOS EPOXICOS</v>
          </cell>
        </row>
        <row r="4472">
          <cell r="A4472" t="str">
            <v>99-43933</v>
          </cell>
          <cell r="E4472" t="str">
            <v>PRIMARIOS EPOXICOS</v>
          </cell>
        </row>
        <row r="4473">
          <cell r="A4473" t="str">
            <v>99-43961</v>
          </cell>
          <cell r="E4473" t="str">
            <v>PRIMARIOS EPOXICOS</v>
          </cell>
        </row>
        <row r="4474">
          <cell r="A4474" t="str">
            <v>99-43963</v>
          </cell>
          <cell r="E4474" t="str">
            <v>PRIMARIOS EPOXICOS</v>
          </cell>
        </row>
        <row r="4475">
          <cell r="A4475" t="str">
            <v>99-43973</v>
          </cell>
          <cell r="E4475" t="str">
            <v>PRIMARIOS EPOXICOS</v>
          </cell>
        </row>
        <row r="4476">
          <cell r="A4476" t="str">
            <v>99-43974</v>
          </cell>
          <cell r="E4476" t="str">
            <v>PRIMARIOS EPOXICOS</v>
          </cell>
        </row>
        <row r="4477">
          <cell r="A4477" t="str">
            <v>99-43981</v>
          </cell>
          <cell r="E4477" t="str">
            <v>PRIMARIOS EPOXICOS</v>
          </cell>
        </row>
        <row r="4478">
          <cell r="A4478" t="str">
            <v>99-43983</v>
          </cell>
          <cell r="E4478" t="str">
            <v>PRIMARIOS EPOXICOS</v>
          </cell>
        </row>
        <row r="4479">
          <cell r="A4479" t="str">
            <v>99-43991</v>
          </cell>
          <cell r="E4479" t="str">
            <v>PRIMARIOS EPOXICOS</v>
          </cell>
        </row>
        <row r="4480">
          <cell r="A4480" t="str">
            <v>99-43993</v>
          </cell>
          <cell r="E4480" t="str">
            <v>PRIMARIOS EPOXICOS</v>
          </cell>
        </row>
        <row r="4481">
          <cell r="A4481" t="str">
            <v>99-48821</v>
          </cell>
          <cell r="E4481" t="str">
            <v>SOLVENTES INDUSTRIALES</v>
          </cell>
        </row>
        <row r="4482">
          <cell r="A4482" t="str">
            <v>99-48830</v>
          </cell>
          <cell r="E4482" t="str">
            <v>SOLVENTES INDUSTRIALES</v>
          </cell>
        </row>
        <row r="4483">
          <cell r="A4483" t="str">
            <v>99-48831</v>
          </cell>
          <cell r="E4483" t="str">
            <v>SOLVENTES INDUSTRIALES</v>
          </cell>
        </row>
        <row r="4484">
          <cell r="A4484" t="str">
            <v>99-48833</v>
          </cell>
          <cell r="E4484" t="str">
            <v>SOLVENTES INDUSTRIALES</v>
          </cell>
        </row>
        <row r="4485">
          <cell r="A4485" t="str">
            <v>99-48834</v>
          </cell>
          <cell r="E4485" t="str">
            <v>SOLVENTES INDUSTRIALES</v>
          </cell>
        </row>
        <row r="4486">
          <cell r="A4486" t="str">
            <v>99-48841</v>
          </cell>
          <cell r="E4486" t="str">
            <v>SOLVENTES INDUSTRIALES</v>
          </cell>
        </row>
        <row r="4487">
          <cell r="A4487" t="str">
            <v>99-48843</v>
          </cell>
          <cell r="E4487" t="str">
            <v>SOLVENTES INDUSTRIALES</v>
          </cell>
        </row>
        <row r="4488">
          <cell r="A4488" t="str">
            <v>99-49751</v>
          </cell>
          <cell r="E4488" t="str">
            <v>PRETRATAMIENTO METALICO INDUST</v>
          </cell>
        </row>
        <row r="4489">
          <cell r="A4489" t="str">
            <v>99-49753</v>
          </cell>
          <cell r="E4489" t="str">
            <v>PRETRATAMIENTO METALICO INDUST</v>
          </cell>
        </row>
        <row r="4490">
          <cell r="A4490" t="str">
            <v>99-49953</v>
          </cell>
          <cell r="E4490" t="str">
            <v>PRIMARIOS INORGANICOS</v>
          </cell>
        </row>
        <row r="4491">
          <cell r="A4491" t="str">
            <v>99-49963</v>
          </cell>
          <cell r="E4491" t="str">
            <v>PRIMARIOS INORGANICOS</v>
          </cell>
        </row>
        <row r="4492">
          <cell r="A4492" t="str">
            <v>99-49973</v>
          </cell>
          <cell r="E4492" t="str">
            <v>PRIMARIOS INORGANICOS</v>
          </cell>
        </row>
        <row r="4493">
          <cell r="A4493" t="str">
            <v>99-51001</v>
          </cell>
          <cell r="E4493" t="str">
            <v>ACABADOS ALQUIDALICOS</v>
          </cell>
        </row>
        <row r="4494">
          <cell r="A4494" t="str">
            <v>99-51003</v>
          </cell>
          <cell r="E4494" t="str">
            <v>ACABADOS ALQUIDALICOS</v>
          </cell>
        </row>
        <row r="4495">
          <cell r="A4495" t="str">
            <v>99-51211</v>
          </cell>
          <cell r="E4495" t="str">
            <v>ACABADOS ALQUIDALICOS</v>
          </cell>
        </row>
        <row r="4496">
          <cell r="A4496" t="str">
            <v>99-51261</v>
          </cell>
          <cell r="E4496" t="str">
            <v>ACABADOS ALQUIDALICOS</v>
          </cell>
        </row>
        <row r="4497">
          <cell r="A4497" t="str">
            <v>99-51471</v>
          </cell>
          <cell r="E4497" t="str">
            <v>ACABADOS ALQUIDALICOS</v>
          </cell>
        </row>
        <row r="4498">
          <cell r="A4498" t="str">
            <v>99-51631</v>
          </cell>
          <cell r="E4498" t="str">
            <v>ACABADOS ALQUIDALICOS</v>
          </cell>
        </row>
        <row r="4499">
          <cell r="A4499" t="str">
            <v>99-51701</v>
          </cell>
          <cell r="E4499" t="str">
            <v>ACABADOS ALQUIDALICOS</v>
          </cell>
        </row>
        <row r="4500">
          <cell r="A4500" t="str">
            <v>99-51811</v>
          </cell>
          <cell r="E4500" t="str">
            <v>ACABADOS ALQUIDALICOS</v>
          </cell>
        </row>
        <row r="4501">
          <cell r="A4501" t="str">
            <v>99-51941</v>
          </cell>
          <cell r="E4501" t="str">
            <v>ACABADOS ALQUIDALICOS</v>
          </cell>
        </row>
        <row r="4502">
          <cell r="A4502" t="str">
            <v>99-51991</v>
          </cell>
          <cell r="E4502" t="str">
            <v>ACABADOS ALQUIDALICOS</v>
          </cell>
        </row>
        <row r="4503">
          <cell r="A4503" t="str">
            <v>99-52931</v>
          </cell>
          <cell r="E4503" t="str">
            <v>ACABADOS VINILICOS Y VINIL-ACR</v>
          </cell>
        </row>
        <row r="4504">
          <cell r="A4504" t="str">
            <v>99-52991</v>
          </cell>
          <cell r="E4504" t="str">
            <v>ACABADOS VINILICOS Y VINIL-ACR</v>
          </cell>
        </row>
        <row r="4505">
          <cell r="A4505" t="str">
            <v>99-52993</v>
          </cell>
          <cell r="E4505" t="str">
            <v>ACABADOS VINILICOS Y VINIL-ACR</v>
          </cell>
        </row>
        <row r="4506">
          <cell r="A4506" t="str">
            <v>99-53001</v>
          </cell>
          <cell r="E4506" t="str">
            <v>ACABADOS EPOXICOS</v>
          </cell>
        </row>
        <row r="4507">
          <cell r="A4507" t="str">
            <v>99-53003</v>
          </cell>
          <cell r="E4507" t="str">
            <v>ACABADOS EPOXICOS</v>
          </cell>
        </row>
        <row r="4508">
          <cell r="A4508" t="str">
            <v>99-53011</v>
          </cell>
          <cell r="E4508" t="str">
            <v>ACABADOS EPOXICOS</v>
          </cell>
        </row>
        <row r="4509">
          <cell r="A4509" t="str">
            <v>99-53013</v>
          </cell>
          <cell r="E4509" t="str">
            <v>ACABADOS EPOXICOS</v>
          </cell>
        </row>
        <row r="4510">
          <cell r="A4510" t="str">
            <v>99-53014</v>
          </cell>
          <cell r="E4510" t="str">
            <v>ACABADOS EPOXICOS</v>
          </cell>
        </row>
        <row r="4511">
          <cell r="A4511" t="str">
            <v>99-53031</v>
          </cell>
          <cell r="E4511" t="str">
            <v>ACABADOS EPOXICOS</v>
          </cell>
        </row>
        <row r="4512">
          <cell r="A4512" t="str">
            <v>99-53151</v>
          </cell>
          <cell r="E4512" t="str">
            <v>ACABADOS EPOXICOS</v>
          </cell>
        </row>
        <row r="4513">
          <cell r="A4513" t="str">
            <v>99-53351</v>
          </cell>
          <cell r="E4513" t="str">
            <v>ACABADOS EPOXICOS</v>
          </cell>
        </row>
        <row r="4514">
          <cell r="A4514" t="str">
            <v>99-53471</v>
          </cell>
          <cell r="E4514" t="str">
            <v>ACABADOS EPOXICOS</v>
          </cell>
        </row>
        <row r="4515">
          <cell r="A4515" t="str">
            <v>99-53524</v>
          </cell>
          <cell r="E4515" t="str">
            <v>ACABADOS EPOXICOS</v>
          </cell>
        </row>
        <row r="4516">
          <cell r="A4516" t="str">
            <v>99-53532</v>
          </cell>
          <cell r="E4516" t="str">
            <v>ACABADOS EPOXICOS</v>
          </cell>
        </row>
        <row r="4517">
          <cell r="A4517" t="str">
            <v>99-53561</v>
          </cell>
          <cell r="E4517" t="str">
            <v>ACABADOS EPOXICOS</v>
          </cell>
        </row>
        <row r="4518">
          <cell r="A4518" t="str">
            <v>99-53563</v>
          </cell>
          <cell r="E4518" t="str">
            <v>ACABADOS EPOXICOS</v>
          </cell>
        </row>
        <row r="4519">
          <cell r="A4519" t="str">
            <v>99-53593</v>
          </cell>
          <cell r="E4519" t="str">
            <v>ACABADOS EPOXICOS</v>
          </cell>
        </row>
        <row r="4520">
          <cell r="A4520" t="str">
            <v>99-53621</v>
          </cell>
          <cell r="E4520" t="str">
            <v>ACABADOS EPOXICOS</v>
          </cell>
        </row>
        <row r="4521">
          <cell r="A4521" t="str">
            <v>99-53711</v>
          </cell>
          <cell r="E4521" t="str">
            <v>ACABADOS EPOXICOS</v>
          </cell>
        </row>
        <row r="4522">
          <cell r="A4522" t="str">
            <v>99-53741</v>
          </cell>
          <cell r="E4522" t="str">
            <v>ACABADOS EPOXICOS</v>
          </cell>
        </row>
        <row r="4523">
          <cell r="A4523" t="str">
            <v>99-53860</v>
          </cell>
          <cell r="E4523" t="str">
            <v>OTROS ACABADOS INDUSTRIALES</v>
          </cell>
        </row>
        <row r="4524">
          <cell r="A4524" t="str">
            <v>99-53861</v>
          </cell>
          <cell r="E4524" t="str">
            <v>OTROS ACABADOS INDUSTRIALES</v>
          </cell>
        </row>
        <row r="4525">
          <cell r="A4525" t="str">
            <v>99-53931</v>
          </cell>
          <cell r="E4525" t="str">
            <v>ACABADOS EPOXICOS</v>
          </cell>
        </row>
        <row r="4526">
          <cell r="A4526" t="str">
            <v>99-53933</v>
          </cell>
          <cell r="E4526" t="str">
            <v>ACABADOS EPOXICOS</v>
          </cell>
        </row>
        <row r="4527">
          <cell r="A4527" t="str">
            <v>99-53941</v>
          </cell>
          <cell r="E4527" t="str">
            <v>ACABADOS EPOXICOS</v>
          </cell>
        </row>
        <row r="4528">
          <cell r="A4528" t="str">
            <v>99-53943</v>
          </cell>
          <cell r="E4528" t="str">
            <v>ACABADOS EPOXICOS</v>
          </cell>
        </row>
        <row r="4529">
          <cell r="A4529" t="str">
            <v>99-53991</v>
          </cell>
          <cell r="E4529" t="str">
            <v>ACABADOS EPOXICOS</v>
          </cell>
        </row>
        <row r="4530">
          <cell r="A4530" t="str">
            <v>99-53993</v>
          </cell>
          <cell r="E4530" t="str">
            <v>ACABADOS EPOXICOS</v>
          </cell>
        </row>
        <row r="4531">
          <cell r="A4531" t="str">
            <v>99-55001</v>
          </cell>
          <cell r="E4531" t="str">
            <v>ACABADOS DE PU</v>
          </cell>
        </row>
        <row r="4532">
          <cell r="A4532" t="str">
            <v>99-55003</v>
          </cell>
          <cell r="E4532" t="str">
            <v>ACABADOS DE PU</v>
          </cell>
        </row>
        <row r="4533">
          <cell r="A4533" t="str">
            <v>99-55011</v>
          </cell>
          <cell r="E4533" t="str">
            <v>ACABADOS DE PU</v>
          </cell>
        </row>
        <row r="4534">
          <cell r="A4534" t="str">
            <v>99-55013</v>
          </cell>
          <cell r="E4534" t="str">
            <v>ACABADOS DE PU</v>
          </cell>
        </row>
        <row r="4535">
          <cell r="A4535" t="str">
            <v>99-55014</v>
          </cell>
          <cell r="E4535" t="str">
            <v>ACABADOS DE PU</v>
          </cell>
        </row>
        <row r="4536">
          <cell r="A4536" t="str">
            <v>99-55021</v>
          </cell>
          <cell r="E4536" t="str">
            <v>ACABADOS DE PU</v>
          </cell>
        </row>
        <row r="4537">
          <cell r="A4537" t="str">
            <v>99-55141</v>
          </cell>
          <cell r="E4537" t="str">
            <v>ACABADOS DE PU</v>
          </cell>
        </row>
        <row r="4538">
          <cell r="A4538" t="str">
            <v>99-55143</v>
          </cell>
          <cell r="E4538" t="str">
            <v>ACABADOS DE PU</v>
          </cell>
        </row>
        <row r="4539">
          <cell r="A4539" t="str">
            <v>99-55151</v>
          </cell>
          <cell r="E4539" t="str">
            <v>ACABADOS DE PU</v>
          </cell>
        </row>
        <row r="4540">
          <cell r="A4540" t="str">
            <v>99-55153</v>
          </cell>
          <cell r="E4540" t="str">
            <v>ACABADOS DE PU</v>
          </cell>
        </row>
        <row r="4541">
          <cell r="A4541" t="str">
            <v>99-55361</v>
          </cell>
          <cell r="E4541" t="str">
            <v>ACABADOS DE PU</v>
          </cell>
        </row>
        <row r="4542">
          <cell r="A4542" t="str">
            <v>99-55363</v>
          </cell>
          <cell r="E4542" t="str">
            <v>ACABADOS DE PU</v>
          </cell>
        </row>
        <row r="4543">
          <cell r="A4543" t="str">
            <v>99-55481</v>
          </cell>
          <cell r="E4543" t="str">
            <v>ACABADOS DE PU</v>
          </cell>
        </row>
        <row r="4544">
          <cell r="A4544" t="str">
            <v>99-55483</v>
          </cell>
          <cell r="E4544" t="str">
            <v>ACABADOS DE PU</v>
          </cell>
        </row>
        <row r="4545">
          <cell r="A4545" t="str">
            <v>99-55561</v>
          </cell>
          <cell r="E4545" t="str">
            <v>ACABADOS DE PU</v>
          </cell>
        </row>
        <row r="4546">
          <cell r="A4546" t="str">
            <v>99-55563</v>
          </cell>
          <cell r="E4546" t="str">
            <v>ACABADOS DE PU</v>
          </cell>
        </row>
        <row r="4547">
          <cell r="A4547" t="str">
            <v>99-55651</v>
          </cell>
          <cell r="E4547" t="str">
            <v>ACABADOS DE PU</v>
          </cell>
        </row>
        <row r="4548">
          <cell r="A4548" t="str">
            <v>99-55653</v>
          </cell>
          <cell r="E4548" t="str">
            <v>ACABADOS DE PU</v>
          </cell>
        </row>
        <row r="4549">
          <cell r="A4549" t="str">
            <v>99-55681</v>
          </cell>
          <cell r="E4549" t="str">
            <v>ACABADOS DE PU</v>
          </cell>
        </row>
        <row r="4550">
          <cell r="A4550" t="str">
            <v>99-55683</v>
          </cell>
          <cell r="E4550" t="str">
            <v>ACABADOS DE PU</v>
          </cell>
        </row>
        <row r="4551">
          <cell r="A4551" t="str">
            <v>99-55731</v>
          </cell>
          <cell r="E4551" t="str">
            <v>ACABADOS DE PU</v>
          </cell>
        </row>
        <row r="4552">
          <cell r="A4552" t="str">
            <v>99-55751</v>
          </cell>
          <cell r="E4552" t="str">
            <v>ACABADOS DE PU</v>
          </cell>
        </row>
        <row r="4553">
          <cell r="A4553" t="str">
            <v>99-55753</v>
          </cell>
          <cell r="E4553" t="str">
            <v>ACABADOS DE PU</v>
          </cell>
        </row>
        <row r="4554">
          <cell r="A4554" t="str">
            <v>99-55781</v>
          </cell>
          <cell r="E4554" t="str">
            <v>ACABADOS DE PU</v>
          </cell>
        </row>
        <row r="4555">
          <cell r="A4555" t="str">
            <v>99-55783</v>
          </cell>
          <cell r="E4555" t="str">
            <v>ACABADOS DE PU</v>
          </cell>
        </row>
        <row r="4556">
          <cell r="A4556" t="str">
            <v>99-55801</v>
          </cell>
          <cell r="E4556" t="str">
            <v>ACABADOS DE PU</v>
          </cell>
        </row>
        <row r="4557">
          <cell r="A4557" t="str">
            <v>99-55803</v>
          </cell>
          <cell r="E4557" t="str">
            <v>ACABADOS DE PU</v>
          </cell>
        </row>
        <row r="4558">
          <cell r="A4558" t="str">
            <v>99-55811</v>
          </cell>
          <cell r="E4558" t="str">
            <v>ACABADOS DE PU</v>
          </cell>
        </row>
        <row r="4559">
          <cell r="A4559" t="str">
            <v>99-55843</v>
          </cell>
          <cell r="E4559" t="str">
            <v>ACABADOS DE PU</v>
          </cell>
        </row>
        <row r="4560">
          <cell r="A4560" t="str">
            <v>99-55844</v>
          </cell>
          <cell r="E4560" t="str">
            <v>ACABADOS DE PU</v>
          </cell>
        </row>
        <row r="4561">
          <cell r="A4561" t="str">
            <v>99-55931</v>
          </cell>
          <cell r="E4561" t="str">
            <v>ACABADOS DE PU</v>
          </cell>
        </row>
        <row r="4562">
          <cell r="A4562" t="str">
            <v>99-55933</v>
          </cell>
          <cell r="E4562" t="str">
            <v>ACABADOS DE PU</v>
          </cell>
        </row>
        <row r="4563">
          <cell r="A4563" t="str">
            <v>99-55941</v>
          </cell>
          <cell r="E4563" t="str">
            <v>ACABADOS DE PU</v>
          </cell>
        </row>
        <row r="4564">
          <cell r="A4564" t="str">
            <v>99-55943</v>
          </cell>
          <cell r="E4564" t="str">
            <v>ACABADOS DE PU</v>
          </cell>
        </row>
        <row r="4565">
          <cell r="A4565" t="str">
            <v>99-55991</v>
          </cell>
          <cell r="E4565" t="str">
            <v>ACABADOS DE PU</v>
          </cell>
        </row>
        <row r="4566">
          <cell r="A4566" t="str">
            <v>99-55993</v>
          </cell>
          <cell r="E4566" t="str">
            <v>ACABADOS DE PU</v>
          </cell>
        </row>
        <row r="4567">
          <cell r="A4567" t="str">
            <v>99-56900</v>
          </cell>
          <cell r="E4567" t="str">
            <v>ACABADOS DE ALTA TEMPERATURA</v>
          </cell>
        </row>
        <row r="4568">
          <cell r="A4568" t="str">
            <v>99-56901</v>
          </cell>
          <cell r="E4568" t="str">
            <v>ACABADOS DE ALTA TEMPERATURA</v>
          </cell>
        </row>
        <row r="4569">
          <cell r="A4569" t="str">
            <v>99-56903</v>
          </cell>
          <cell r="E4569" t="str">
            <v>ACABADOS DE ALTA TEMPERATURA</v>
          </cell>
        </row>
        <row r="4570">
          <cell r="A4570" t="str">
            <v>99-56911</v>
          </cell>
          <cell r="E4570" t="str">
            <v>ACABADOS DE ALTA TEMPERATURA</v>
          </cell>
        </row>
        <row r="4571">
          <cell r="A4571" t="str">
            <v>99-56913</v>
          </cell>
          <cell r="E4571" t="str">
            <v>ACABADOS DE ALTA TEMPERATURA</v>
          </cell>
        </row>
        <row r="4572">
          <cell r="A4572" t="str">
            <v>99-56921</v>
          </cell>
          <cell r="E4572" t="str">
            <v>ACABADOS DE ALTA TEMPERATURA</v>
          </cell>
        </row>
        <row r="4573">
          <cell r="A4573" t="str">
            <v>99-56923</v>
          </cell>
          <cell r="E4573" t="str">
            <v>ACABADOS DE ALTA TEMPERATURA</v>
          </cell>
        </row>
        <row r="4574">
          <cell r="A4574" t="str">
            <v>99-57503</v>
          </cell>
          <cell r="E4574" t="str">
            <v>ACABADOS EPOXICOS</v>
          </cell>
        </row>
        <row r="4575">
          <cell r="A4575" t="str">
            <v>99-57514</v>
          </cell>
          <cell r="E4575" t="str">
            <v>ACABADOS EPOXICOS</v>
          </cell>
        </row>
        <row r="4576">
          <cell r="A4576" t="str">
            <v>99-58001</v>
          </cell>
          <cell r="E4576" t="str">
            <v>ACABADOS EPOXICOS</v>
          </cell>
        </row>
        <row r="4577">
          <cell r="A4577" t="str">
            <v>99-58003</v>
          </cell>
          <cell r="E4577" t="str">
            <v>ACABADOS EPOXICOS</v>
          </cell>
        </row>
        <row r="4578">
          <cell r="A4578" t="str">
            <v>99-58221</v>
          </cell>
          <cell r="E4578" t="str">
            <v>ACABADOS EPOXICOS</v>
          </cell>
        </row>
        <row r="4579">
          <cell r="A4579" t="str">
            <v>99-58231</v>
          </cell>
          <cell r="E4579" t="str">
            <v>ACABADOS EPOXICOS</v>
          </cell>
        </row>
        <row r="4580">
          <cell r="A4580" t="str">
            <v>99-58683</v>
          </cell>
          <cell r="E4580" t="str">
            <v>ACABADOS EPOXICOS</v>
          </cell>
        </row>
        <row r="4581">
          <cell r="A4581" t="str">
            <v>99-58833</v>
          </cell>
          <cell r="E4581" t="str">
            <v>ACABADOS EPOXICOS</v>
          </cell>
        </row>
        <row r="4582">
          <cell r="A4582" t="str">
            <v>99-58853</v>
          </cell>
          <cell r="E4582" t="str">
            <v>ACABADOS EPOXICOS</v>
          </cell>
        </row>
        <row r="4583">
          <cell r="A4583" t="str">
            <v>99-58923</v>
          </cell>
          <cell r="E4583" t="str">
            <v>ACABADOS EPOXICOS</v>
          </cell>
        </row>
        <row r="4584">
          <cell r="A4584" t="str">
            <v>99-58931</v>
          </cell>
          <cell r="E4584" t="str">
            <v>ACABADOS EPOXICOS</v>
          </cell>
        </row>
        <row r="4585">
          <cell r="A4585" t="str">
            <v>99-58933</v>
          </cell>
          <cell r="E4585" t="str">
            <v>ACABADOS EPOXICOS</v>
          </cell>
        </row>
        <row r="4586">
          <cell r="A4586" t="str">
            <v>99-58971</v>
          </cell>
          <cell r="E4586" t="str">
            <v>ACABADOS EPOXICOS</v>
          </cell>
        </row>
        <row r="4587">
          <cell r="A4587" t="str">
            <v>99-58981</v>
          </cell>
          <cell r="E4587" t="str">
            <v>ACABADOS EPOXICOS</v>
          </cell>
        </row>
        <row r="4588">
          <cell r="A4588" t="str">
            <v>99-58991</v>
          </cell>
          <cell r="E4588" t="str">
            <v>ACABADOS EPOXICOS</v>
          </cell>
        </row>
        <row r="4589">
          <cell r="A4589" t="str">
            <v>99-58993</v>
          </cell>
          <cell r="E4589" t="str">
            <v>ACABADOS EPOXICOS</v>
          </cell>
        </row>
        <row r="4590">
          <cell r="A4590" t="str">
            <v>99-59001</v>
          </cell>
          <cell r="E4590" t="str">
            <v>ACABADOS EPOXICOS</v>
          </cell>
        </row>
        <row r="4591">
          <cell r="A4591" t="str">
            <v>99-59003</v>
          </cell>
          <cell r="E4591" t="str">
            <v>ACABADOS EPOXICOS</v>
          </cell>
        </row>
        <row r="4592">
          <cell r="A4592" t="str">
            <v>99-59011</v>
          </cell>
          <cell r="E4592" t="str">
            <v>ACABADOS EPOXICOS</v>
          </cell>
        </row>
        <row r="4593">
          <cell r="A4593" t="str">
            <v>99-59013</v>
          </cell>
          <cell r="E4593" t="str">
            <v>ACABADOS EPOXICOS</v>
          </cell>
        </row>
        <row r="4594">
          <cell r="A4594" t="str">
            <v>99-59014</v>
          </cell>
          <cell r="E4594" t="str">
            <v>ACABADOS EPOXICOS</v>
          </cell>
        </row>
        <row r="4595">
          <cell r="A4595" t="str">
            <v>99-59031</v>
          </cell>
          <cell r="E4595" t="str">
            <v>ACABADOS EPOXICOS</v>
          </cell>
        </row>
        <row r="4596">
          <cell r="A4596" t="str">
            <v>99-59033</v>
          </cell>
          <cell r="E4596" t="str">
            <v>ACABADOS EPOXICOS</v>
          </cell>
        </row>
        <row r="4597">
          <cell r="A4597" t="str">
            <v>99-59141</v>
          </cell>
          <cell r="E4597" t="str">
            <v>ACABADOS EPOXICOS</v>
          </cell>
        </row>
        <row r="4598">
          <cell r="A4598" t="str">
            <v>99-59143</v>
          </cell>
          <cell r="E4598" t="str">
            <v>ACABADOS EPOXICOS</v>
          </cell>
        </row>
        <row r="4599">
          <cell r="A4599" t="str">
            <v>99-59151</v>
          </cell>
          <cell r="E4599" t="str">
            <v>ACABADOS EPOXICOS</v>
          </cell>
        </row>
        <row r="4600">
          <cell r="A4600" t="str">
            <v>99-59153</v>
          </cell>
          <cell r="E4600" t="str">
            <v>ACABADOS EPOXICOS</v>
          </cell>
        </row>
        <row r="4601">
          <cell r="A4601" t="str">
            <v>99-59331</v>
          </cell>
          <cell r="E4601" t="str">
            <v>ACABADOS EPOXICOS</v>
          </cell>
        </row>
        <row r="4602">
          <cell r="A4602" t="str">
            <v>99-59333</v>
          </cell>
          <cell r="E4602" t="str">
            <v>ACABADOS EPOXICOS</v>
          </cell>
        </row>
        <row r="4603">
          <cell r="A4603" t="str">
            <v>99-59471</v>
          </cell>
          <cell r="E4603" t="str">
            <v>ACABADOS EPOXICOS</v>
          </cell>
        </row>
        <row r="4604">
          <cell r="A4604" t="str">
            <v>99-59473</v>
          </cell>
          <cell r="E4604" t="str">
            <v>ACABADOS EPOXICOS</v>
          </cell>
        </row>
        <row r="4605">
          <cell r="A4605" t="str">
            <v>99-59561</v>
          </cell>
          <cell r="E4605" t="str">
            <v>ACABADOS EPOXICOS</v>
          </cell>
        </row>
        <row r="4606">
          <cell r="A4606" t="str">
            <v>99-59563</v>
          </cell>
          <cell r="E4606" t="str">
            <v>ACABADOS EPOXICOS</v>
          </cell>
        </row>
        <row r="4607">
          <cell r="A4607" t="str">
            <v>99-59651</v>
          </cell>
          <cell r="E4607" t="str">
            <v>ACABADOS EPOXICOS</v>
          </cell>
        </row>
        <row r="4608">
          <cell r="A4608" t="str">
            <v>99-59653</v>
          </cell>
          <cell r="E4608" t="str">
            <v>ACABADOS EPOXICOS</v>
          </cell>
        </row>
        <row r="4609">
          <cell r="A4609" t="str">
            <v>99-59681</v>
          </cell>
          <cell r="E4609" t="str">
            <v>ACABADOS EPOXICOS</v>
          </cell>
        </row>
        <row r="4610">
          <cell r="A4610" t="str">
            <v>99-59683</v>
          </cell>
          <cell r="E4610" t="str">
            <v>ACABADOS EPOXICOS</v>
          </cell>
        </row>
        <row r="4611">
          <cell r="A4611" t="str">
            <v>99-59711</v>
          </cell>
          <cell r="E4611" t="str">
            <v>ACABADOS EPOXICOS</v>
          </cell>
        </row>
        <row r="4612">
          <cell r="A4612" t="str">
            <v>99-59751</v>
          </cell>
          <cell r="E4612" t="str">
            <v>ACABADOS EPOXICOS</v>
          </cell>
        </row>
        <row r="4613">
          <cell r="A4613" t="str">
            <v>99-59753</v>
          </cell>
          <cell r="E4613" t="str">
            <v>ACABADOS EPOXICOS</v>
          </cell>
        </row>
        <row r="4614">
          <cell r="A4614" t="str">
            <v>99-59791</v>
          </cell>
          <cell r="E4614" t="str">
            <v>ACABADOS EPOXICOS</v>
          </cell>
        </row>
        <row r="4615">
          <cell r="A4615" t="str">
            <v>99-59793</v>
          </cell>
          <cell r="E4615" t="str">
            <v>ACABADOS EPOXICOS</v>
          </cell>
        </row>
        <row r="4616">
          <cell r="A4616" t="str">
            <v>99-59901</v>
          </cell>
          <cell r="E4616" t="str">
            <v>ACABADOS EPOXICOS</v>
          </cell>
        </row>
        <row r="4617">
          <cell r="A4617" t="str">
            <v>99-59903</v>
          </cell>
          <cell r="E4617" t="str">
            <v>ACABADOS EPOXICOS</v>
          </cell>
        </row>
        <row r="4618">
          <cell r="A4618" t="str">
            <v>99-59931</v>
          </cell>
          <cell r="E4618" t="str">
            <v>ACABADOS EPOXICOS</v>
          </cell>
        </row>
        <row r="4619">
          <cell r="A4619" t="str">
            <v>99-59933</v>
          </cell>
          <cell r="E4619" t="str">
            <v>ACABADOS EPOXICOS</v>
          </cell>
        </row>
        <row r="4620">
          <cell r="A4620" t="str">
            <v>99-59991</v>
          </cell>
          <cell r="E4620" t="str">
            <v>ACABADOS EPOXICOS</v>
          </cell>
        </row>
        <row r="4621">
          <cell r="A4621" t="str">
            <v>99-59993</v>
          </cell>
          <cell r="E4621" t="str">
            <v>ACABADOS EPOXICOS</v>
          </cell>
        </row>
        <row r="4622">
          <cell r="A4622" t="str">
            <v>99-60010</v>
          </cell>
          <cell r="E4622" t="str">
            <v>SOLVENTES INDUSTRIALES</v>
          </cell>
        </row>
        <row r="4623">
          <cell r="A4623" t="str">
            <v>99-60011</v>
          </cell>
          <cell r="E4623" t="str">
            <v>SOLVENTES INDUSTRIALES</v>
          </cell>
        </row>
        <row r="4624">
          <cell r="A4624" t="str">
            <v>99-60013</v>
          </cell>
          <cell r="E4624" t="str">
            <v>SOLVENTES INDUSTRIALES</v>
          </cell>
        </row>
        <row r="4625">
          <cell r="A4625" t="str">
            <v>99-60040</v>
          </cell>
          <cell r="E4625" t="str">
            <v>SOLVENTES INDUSTRIALES</v>
          </cell>
        </row>
        <row r="4626">
          <cell r="A4626" t="str">
            <v>99-60041</v>
          </cell>
          <cell r="E4626" t="str">
            <v>SOLVENTES INDUSTRIALES</v>
          </cell>
        </row>
        <row r="4627">
          <cell r="A4627" t="str">
            <v>99-60044</v>
          </cell>
          <cell r="E4627" t="str">
            <v>SOLVENTES INDUSTRIALES</v>
          </cell>
        </row>
        <row r="4628">
          <cell r="A4628" t="str">
            <v>99-60050</v>
          </cell>
          <cell r="E4628" t="str">
            <v>SOLVENTES INDUSTRIALES</v>
          </cell>
        </row>
        <row r="4629">
          <cell r="A4629" t="str">
            <v>99-60051</v>
          </cell>
          <cell r="E4629" t="str">
            <v>SOLVENTES INDUSTRIALES</v>
          </cell>
        </row>
        <row r="4630">
          <cell r="A4630" t="str">
            <v>99-60052</v>
          </cell>
          <cell r="E4630" t="str">
            <v>SOLVENTES INDUSTRIALES</v>
          </cell>
        </row>
        <row r="4631">
          <cell r="A4631" t="str">
            <v>99-60053</v>
          </cell>
          <cell r="E4631" t="str">
            <v>SOLVENTES INDUSTRIALES</v>
          </cell>
        </row>
        <row r="4632">
          <cell r="A4632" t="str">
            <v>99-60111</v>
          </cell>
          <cell r="E4632" t="str">
            <v>SOLVENTES INDUSTRIALES</v>
          </cell>
        </row>
        <row r="4633">
          <cell r="A4633" t="str">
            <v>99-60113</v>
          </cell>
          <cell r="E4633" t="str">
            <v>SOLVENTES INDUSTRIALES</v>
          </cell>
        </row>
        <row r="4634">
          <cell r="A4634" t="str">
            <v>99-60171</v>
          </cell>
          <cell r="E4634" t="str">
            <v>SOLVENTES INDUSTRIALES</v>
          </cell>
        </row>
        <row r="4635">
          <cell r="A4635" t="str">
            <v>99-60173</v>
          </cell>
          <cell r="E4635" t="str">
            <v>SOLVENTES INDUSTRIALES</v>
          </cell>
        </row>
        <row r="4636">
          <cell r="A4636" t="str">
            <v>99-60190</v>
          </cell>
          <cell r="E4636" t="str">
            <v>SOLVENTES INDUSTRIALES</v>
          </cell>
        </row>
        <row r="4637">
          <cell r="A4637" t="str">
            <v>99-60191</v>
          </cell>
          <cell r="E4637" t="str">
            <v>SOLVENTES INDUSTRIALES</v>
          </cell>
        </row>
        <row r="4638">
          <cell r="A4638" t="str">
            <v>99-60193</v>
          </cell>
          <cell r="E4638" t="str">
            <v>SOLVENTES INDUSTRIALES</v>
          </cell>
        </row>
        <row r="4639">
          <cell r="A4639" t="str">
            <v>99-60200</v>
          </cell>
          <cell r="E4639" t="str">
            <v>SOLVENTES INDUSTRIALES</v>
          </cell>
        </row>
        <row r="4640">
          <cell r="A4640" t="str">
            <v>99-60201</v>
          </cell>
          <cell r="E4640" t="str">
            <v>SOLVENTES INDUSTRIALES</v>
          </cell>
        </row>
        <row r="4641">
          <cell r="A4641" t="str">
            <v>99-60203</v>
          </cell>
          <cell r="E4641" t="str">
            <v>SOLVENTES INDUSTRIALES</v>
          </cell>
        </row>
        <row r="4642">
          <cell r="A4642" t="str">
            <v>99-60210</v>
          </cell>
          <cell r="E4642" t="str">
            <v>SOLVENTES INDUSTRIALES</v>
          </cell>
        </row>
        <row r="4643">
          <cell r="A4643" t="str">
            <v>99-60211</v>
          </cell>
          <cell r="E4643" t="str">
            <v>SOLVENTES INDUSTRIALES</v>
          </cell>
        </row>
        <row r="4644">
          <cell r="A4644" t="str">
            <v>99-60213</v>
          </cell>
          <cell r="E4644" t="str">
            <v>SOLVENTES INDUSTRIALES</v>
          </cell>
        </row>
        <row r="4645">
          <cell r="A4645" t="str">
            <v>99-60290</v>
          </cell>
          <cell r="E4645" t="str">
            <v>SOLVENTES INDUSTRIALES</v>
          </cell>
        </row>
        <row r="4646">
          <cell r="A4646" t="str">
            <v>99-60300</v>
          </cell>
          <cell r="E4646" t="str">
            <v>SOLVENTES INDUSTRIALES</v>
          </cell>
        </row>
        <row r="4647">
          <cell r="A4647" t="str">
            <v>99-60301</v>
          </cell>
          <cell r="E4647" t="str">
            <v>SOLVENTES INDUSTRIALES</v>
          </cell>
        </row>
        <row r="4648">
          <cell r="A4648" t="str">
            <v>99-60303</v>
          </cell>
          <cell r="E4648" t="str">
            <v>SOLVENTES INDUSTRIALES</v>
          </cell>
        </row>
        <row r="4649">
          <cell r="A4649" t="str">
            <v>99-60304</v>
          </cell>
          <cell r="E4649" t="str">
            <v>SOLVENTES INDUSTRIALES</v>
          </cell>
        </row>
        <row r="4650">
          <cell r="A4650" t="str">
            <v>99-60320</v>
          </cell>
          <cell r="E4650" t="str">
            <v>SOLVENTES INDUSTRIALES</v>
          </cell>
        </row>
        <row r="4651">
          <cell r="A4651" t="str">
            <v>99-60321</v>
          </cell>
          <cell r="E4651" t="str">
            <v>SOLVENTES INDUSTRIALES</v>
          </cell>
        </row>
        <row r="4652">
          <cell r="A4652" t="str">
            <v>99-60350</v>
          </cell>
          <cell r="E4652" t="str">
            <v>SOLVENTES INDUSTRIALES</v>
          </cell>
        </row>
        <row r="4653">
          <cell r="A4653" t="str">
            <v>99-60351</v>
          </cell>
          <cell r="E4653" t="str">
            <v>SOLVENTES INDUSTRIALES</v>
          </cell>
        </row>
        <row r="4654">
          <cell r="A4654" t="str">
            <v>99-60353</v>
          </cell>
          <cell r="E4654" t="str">
            <v>SOLVENTES INDUSTRIALES</v>
          </cell>
        </row>
        <row r="4655">
          <cell r="A4655" t="str">
            <v>99-60354</v>
          </cell>
          <cell r="E4655" t="str">
            <v>SOLVENTES INDUSTRIALES</v>
          </cell>
        </row>
        <row r="4656">
          <cell r="A4656" t="str">
            <v>99-60360</v>
          </cell>
          <cell r="E4656" t="str">
            <v>SOLVENTES INDUSTRIALES</v>
          </cell>
        </row>
        <row r="4657">
          <cell r="A4657" t="str">
            <v>99-60361</v>
          </cell>
          <cell r="E4657" t="str">
            <v>SOLVENTES INDUSTRIALES</v>
          </cell>
        </row>
        <row r="4658">
          <cell r="A4658" t="str">
            <v>99-60363</v>
          </cell>
          <cell r="E4658" t="str">
            <v>SOLVENTES INDUSTRIALES</v>
          </cell>
        </row>
        <row r="4659">
          <cell r="A4659" t="str">
            <v>99-60364</v>
          </cell>
          <cell r="E4659" t="str">
            <v>SOLVENTES INDUSTRIALES</v>
          </cell>
        </row>
        <row r="4660">
          <cell r="A4660" t="str">
            <v>99-60370</v>
          </cell>
          <cell r="E4660" t="str">
            <v>SOLVENTES INDUSTRIALES</v>
          </cell>
        </row>
        <row r="4661">
          <cell r="A4661" t="str">
            <v>99-60371</v>
          </cell>
          <cell r="E4661" t="str">
            <v>SOLVENTES INDUSTRIALES</v>
          </cell>
        </row>
        <row r="4662">
          <cell r="A4662" t="str">
            <v>99-60373</v>
          </cell>
          <cell r="E4662" t="str">
            <v>SOLVENTES INDUSTRIALES</v>
          </cell>
        </row>
        <row r="4663">
          <cell r="A4663" t="str">
            <v>99-60380</v>
          </cell>
          <cell r="E4663" t="str">
            <v>SOLVENTES INDUSTRIALES</v>
          </cell>
        </row>
        <row r="4664">
          <cell r="A4664" t="str">
            <v>99-60381</v>
          </cell>
          <cell r="E4664" t="str">
            <v>SOLVENTES INDUSTRIALES</v>
          </cell>
        </row>
        <row r="4665">
          <cell r="A4665" t="str">
            <v>99-60384</v>
          </cell>
          <cell r="E4665" t="str">
            <v>SOLVENTES INDUSTRIALES</v>
          </cell>
        </row>
        <row r="4666">
          <cell r="A4666" t="str">
            <v>99-60400</v>
          </cell>
          <cell r="E4666" t="str">
            <v>SOLVENTES INDUSTRIALES</v>
          </cell>
        </row>
        <row r="4667">
          <cell r="A4667" t="str">
            <v>99-60401</v>
          </cell>
          <cell r="E4667" t="str">
            <v>SOLVENTES INDUSTRIALES</v>
          </cell>
        </row>
        <row r="4668">
          <cell r="A4668" t="str">
            <v>99-60403</v>
          </cell>
          <cell r="E4668" t="str">
            <v>SOLVENTES INDUSTRIALES</v>
          </cell>
        </row>
        <row r="4669">
          <cell r="A4669" t="str">
            <v>99-60420</v>
          </cell>
          <cell r="E4669" t="str">
            <v>SOLVENTES INDUSTRIALES</v>
          </cell>
        </row>
        <row r="4670">
          <cell r="A4670" t="str">
            <v>99-60421</v>
          </cell>
          <cell r="E4670" t="str">
            <v>SOLVENTES INDUSTRIALES</v>
          </cell>
        </row>
        <row r="4671">
          <cell r="A4671" t="str">
            <v>99-60424</v>
          </cell>
          <cell r="E4671" t="str">
            <v>SOLVENTES INDUSTRIALES</v>
          </cell>
        </row>
        <row r="4672">
          <cell r="A4672" t="str">
            <v>99-60454</v>
          </cell>
          <cell r="E4672" t="str">
            <v>SOLVENTES INDUSTRIALES</v>
          </cell>
        </row>
        <row r="4673">
          <cell r="A4673" t="str">
            <v>99-60600</v>
          </cell>
          <cell r="E4673" t="str">
            <v>SOLVENTES INDUSTRIALES</v>
          </cell>
        </row>
        <row r="4674">
          <cell r="A4674" t="str">
            <v>99-60601</v>
          </cell>
          <cell r="E4674" t="str">
            <v>SOLVENTES INDUSTRIALES</v>
          </cell>
        </row>
        <row r="4675">
          <cell r="A4675" t="str">
            <v>99-60603</v>
          </cell>
          <cell r="E4675" t="str">
            <v>SOLVENTES INDUSTRIALES</v>
          </cell>
        </row>
        <row r="4676">
          <cell r="A4676" t="str">
            <v>99-60613</v>
          </cell>
          <cell r="E4676" t="str">
            <v>SOLVENTES INDUSTRIALES</v>
          </cell>
        </row>
        <row r="4677">
          <cell r="A4677" t="str">
            <v>99-61000</v>
          </cell>
          <cell r="E4677" t="str">
            <v>IMPERM - PARAGUAS 3 AÑOS EMULS</v>
          </cell>
        </row>
        <row r="4678">
          <cell r="A4678" t="str">
            <v>99-61001</v>
          </cell>
          <cell r="E4678" t="str">
            <v>IMPERM - PARAGUAS 3 AÑOS EMULS</v>
          </cell>
        </row>
        <row r="4679">
          <cell r="A4679" t="str">
            <v>99-61003</v>
          </cell>
          <cell r="E4679" t="str">
            <v>IMPERM - PARAGUAS 3 AÑOS EMULS</v>
          </cell>
        </row>
        <row r="4680">
          <cell r="A4680" t="str">
            <v>99-61050</v>
          </cell>
          <cell r="E4680" t="str">
            <v>IMPERM - PARAGUAS 3 AÑOS EMULS</v>
          </cell>
        </row>
        <row r="4681">
          <cell r="A4681" t="str">
            <v>99-61100</v>
          </cell>
          <cell r="E4681" t="str">
            <v>IMPERM - PARAGUAS 5 AÑOS ASFAL</v>
          </cell>
        </row>
        <row r="4682">
          <cell r="A4682" t="str">
            <v>99-61101</v>
          </cell>
          <cell r="E4682" t="str">
            <v>IMPERM - PARAGUAS 5 AÑOS ASFAL</v>
          </cell>
        </row>
        <row r="4683">
          <cell r="A4683" t="str">
            <v>99-61103</v>
          </cell>
          <cell r="E4683" t="str">
            <v>IMPERM - PARAGUAS 5 AÑOS ASFAL</v>
          </cell>
        </row>
        <row r="4684">
          <cell r="A4684" t="str">
            <v>99-61104</v>
          </cell>
          <cell r="E4684" t="str">
            <v>IMPERM - PARAGUAS 5 AÑOS ASFAL</v>
          </cell>
        </row>
        <row r="4685">
          <cell r="A4685" t="str">
            <v>99-61151</v>
          </cell>
          <cell r="E4685" t="str">
            <v>PARAGUAS ANGEL NEGRO</v>
          </cell>
        </row>
        <row r="4686">
          <cell r="A4686" t="str">
            <v>99-61301</v>
          </cell>
          <cell r="E4686" t="str">
            <v>IMPERM - PARAGUAS PRISAGUA</v>
          </cell>
        </row>
        <row r="4687">
          <cell r="A4687" t="str">
            <v>99-61303</v>
          </cell>
          <cell r="E4687" t="str">
            <v>IMPERM - PARAGUAS PRISAGUA</v>
          </cell>
        </row>
        <row r="4688">
          <cell r="A4688" t="str">
            <v>99-70001</v>
          </cell>
          <cell r="E4688" t="str">
            <v>BASE COLOR</v>
          </cell>
        </row>
        <row r="4689">
          <cell r="A4689" t="str">
            <v>99-70003</v>
          </cell>
          <cell r="E4689" t="str">
            <v>BASE COLOR</v>
          </cell>
        </row>
        <row r="4690">
          <cell r="A4690" t="str">
            <v>99-70014</v>
          </cell>
          <cell r="E4690" t="str">
            <v>BASE COLOR</v>
          </cell>
        </row>
        <row r="4691">
          <cell r="A4691" t="str">
            <v>99-70133</v>
          </cell>
          <cell r="E4691" t="str">
            <v>BASE COLOR</v>
          </cell>
        </row>
        <row r="4692">
          <cell r="A4692" t="str">
            <v>99-70143</v>
          </cell>
          <cell r="E4692" t="str">
            <v>BASE COLOR</v>
          </cell>
        </row>
        <row r="4693">
          <cell r="A4693" t="str">
            <v>99-70153</v>
          </cell>
          <cell r="E4693" t="str">
            <v>BASE COLOR</v>
          </cell>
        </row>
        <row r="4694">
          <cell r="A4694" t="str">
            <v>99-70183</v>
          </cell>
          <cell r="E4694" t="str">
            <v>BASE COLOR</v>
          </cell>
        </row>
        <row r="4695">
          <cell r="A4695" t="str">
            <v>99-70193</v>
          </cell>
          <cell r="E4695" t="str">
            <v>BASE COLOR</v>
          </cell>
        </row>
        <row r="4696">
          <cell r="A4696" t="str">
            <v>99-70204</v>
          </cell>
          <cell r="E4696" t="str">
            <v>BASE COLOR</v>
          </cell>
        </row>
        <row r="4697">
          <cell r="A4697" t="str">
            <v>99-70263</v>
          </cell>
          <cell r="E4697" t="str">
            <v>BASE COLOR</v>
          </cell>
        </row>
        <row r="4698">
          <cell r="A4698" t="str">
            <v>99-70353</v>
          </cell>
          <cell r="E4698" t="str">
            <v>BASE COLOR</v>
          </cell>
        </row>
        <row r="4699">
          <cell r="A4699" t="str">
            <v>99-70433</v>
          </cell>
          <cell r="E4699" t="str">
            <v>BASE COLOR</v>
          </cell>
        </row>
        <row r="4700">
          <cell r="A4700" t="str">
            <v>99-70443</v>
          </cell>
          <cell r="E4700" t="str">
            <v>BASE COLOR</v>
          </cell>
        </row>
        <row r="4701">
          <cell r="A4701" t="str">
            <v>99-70453</v>
          </cell>
          <cell r="E4701" t="str">
            <v>BASE COLOR</v>
          </cell>
        </row>
        <row r="4702">
          <cell r="A4702" t="str">
            <v>99-70473</v>
          </cell>
          <cell r="E4702" t="str">
            <v>BASE COLOR</v>
          </cell>
        </row>
        <row r="4703">
          <cell r="A4703" t="str">
            <v>99-70483</v>
          </cell>
          <cell r="E4703" t="str">
            <v>BASE COLOR</v>
          </cell>
        </row>
        <row r="4704">
          <cell r="A4704" t="str">
            <v>99-70534</v>
          </cell>
          <cell r="E4704" t="str">
            <v>BASE COLOR</v>
          </cell>
        </row>
        <row r="4705">
          <cell r="A4705" t="str">
            <v>99-70563</v>
          </cell>
          <cell r="E4705" t="str">
            <v>BASE COLOR</v>
          </cell>
        </row>
        <row r="4706">
          <cell r="A4706" t="str">
            <v>99-70634</v>
          </cell>
          <cell r="E4706" t="str">
            <v>BASE COLOR</v>
          </cell>
        </row>
        <row r="4707">
          <cell r="A4707" t="str">
            <v>99-70643</v>
          </cell>
          <cell r="E4707" t="str">
            <v>BASE COLOR</v>
          </cell>
        </row>
        <row r="4708">
          <cell r="A4708" t="str">
            <v>99-70653</v>
          </cell>
          <cell r="E4708" t="str">
            <v>BASE COLOR</v>
          </cell>
        </row>
        <row r="4709">
          <cell r="A4709" t="str">
            <v>99-70673</v>
          </cell>
          <cell r="E4709" t="str">
            <v>BASE COLOR</v>
          </cell>
        </row>
        <row r="4710">
          <cell r="A4710" t="str">
            <v>99-70683</v>
          </cell>
          <cell r="E4710" t="str">
            <v>BASE COLOR</v>
          </cell>
        </row>
        <row r="4711">
          <cell r="A4711" t="str">
            <v>99-70693</v>
          </cell>
          <cell r="E4711" t="str">
            <v>BASE COLOR</v>
          </cell>
        </row>
        <row r="4712">
          <cell r="A4712" t="str">
            <v>99-70704</v>
          </cell>
          <cell r="E4712" t="str">
            <v>BASE COLOR</v>
          </cell>
        </row>
        <row r="4713">
          <cell r="A4713" t="str">
            <v>99-70734</v>
          </cell>
          <cell r="E4713" t="str">
            <v>BASE COLOR</v>
          </cell>
        </row>
        <row r="4714">
          <cell r="A4714" t="str">
            <v>99-70753</v>
          </cell>
          <cell r="E4714" t="str">
            <v>BASE COLOR</v>
          </cell>
        </row>
        <row r="4715">
          <cell r="A4715" t="str">
            <v>99-70803</v>
          </cell>
          <cell r="E4715" t="str">
            <v>BASE COLOR</v>
          </cell>
        </row>
        <row r="4716">
          <cell r="A4716" t="str">
            <v>99-70913</v>
          </cell>
          <cell r="E4716" t="str">
            <v>BASE COLOR</v>
          </cell>
        </row>
        <row r="4717">
          <cell r="A4717" t="str">
            <v>99-70923</v>
          </cell>
          <cell r="E4717" t="str">
            <v>BASE COLOR</v>
          </cell>
        </row>
        <row r="4718">
          <cell r="A4718" t="str">
            <v>99-70931</v>
          </cell>
          <cell r="E4718" t="str">
            <v>BASE COLOR</v>
          </cell>
        </row>
        <row r="4719">
          <cell r="A4719" t="str">
            <v>99-70933</v>
          </cell>
          <cell r="E4719" t="str">
            <v>BASE COLOR</v>
          </cell>
        </row>
        <row r="4720">
          <cell r="A4720" t="str">
            <v>99-70943</v>
          </cell>
          <cell r="E4720" t="str">
            <v>BASE COLOR</v>
          </cell>
        </row>
        <row r="4721">
          <cell r="A4721" t="str">
            <v>99-70953</v>
          </cell>
          <cell r="E4721" t="str">
            <v>BASE COLOR</v>
          </cell>
        </row>
        <row r="4722">
          <cell r="A4722" t="str">
            <v>99-70963</v>
          </cell>
          <cell r="E4722" t="str">
            <v>BASE COLOR</v>
          </cell>
        </row>
        <row r="4723">
          <cell r="A4723" t="str">
            <v>99-70973</v>
          </cell>
          <cell r="E4723" t="str">
            <v>BASE COLOR</v>
          </cell>
        </row>
        <row r="4724">
          <cell r="A4724" t="str">
            <v>99-70983</v>
          </cell>
          <cell r="E4724" t="str">
            <v>BASE COLOR</v>
          </cell>
        </row>
        <row r="4725">
          <cell r="A4725" t="str">
            <v>99-70991</v>
          </cell>
          <cell r="E4725" t="str">
            <v>BASE COLOR</v>
          </cell>
        </row>
        <row r="4726">
          <cell r="A4726" t="str">
            <v>99-70993</v>
          </cell>
          <cell r="E4726" t="str">
            <v>BASE COLOR</v>
          </cell>
        </row>
        <row r="4727">
          <cell r="A4727" t="str">
            <v>99-76000</v>
          </cell>
          <cell r="E4727" t="str">
            <v>ACEITE DE LINAZA</v>
          </cell>
        </row>
        <row r="4728">
          <cell r="A4728" t="str">
            <v>99-76001</v>
          </cell>
          <cell r="E4728" t="str">
            <v>ACEITE DE LINAZA</v>
          </cell>
        </row>
        <row r="4729">
          <cell r="A4729" t="str">
            <v>99-76003</v>
          </cell>
          <cell r="E4729" t="str">
            <v>ACEITE DE LINAZA</v>
          </cell>
        </row>
        <row r="4730">
          <cell r="A4730" t="str">
            <v>99-76004</v>
          </cell>
          <cell r="E4730" t="str">
            <v>ACEITE DE LINAZA</v>
          </cell>
        </row>
        <row r="4731">
          <cell r="A4731" t="str">
            <v>99-76020</v>
          </cell>
          <cell r="E4731" t="str">
            <v>ACEITE DE LINAZA</v>
          </cell>
        </row>
        <row r="4732">
          <cell r="A4732" t="str">
            <v>99-76021</v>
          </cell>
          <cell r="E4732" t="str">
            <v>ACEITE DE LINAZA</v>
          </cell>
        </row>
        <row r="4733">
          <cell r="A4733" t="str">
            <v>99-79400</v>
          </cell>
          <cell r="E4733" t="str">
            <v>SELLADOR - VINILICO (RIVI)</v>
          </cell>
        </row>
        <row r="4734">
          <cell r="A4734" t="str">
            <v>99-79401</v>
          </cell>
          <cell r="E4734" t="str">
            <v>PEGAPRISA</v>
          </cell>
        </row>
        <row r="4735">
          <cell r="A4735" t="str">
            <v>99-79405</v>
          </cell>
          <cell r="E4735" t="str">
            <v>PEGAPRISA</v>
          </cell>
        </row>
        <row r="4736">
          <cell r="A4736" t="str">
            <v>99-79406</v>
          </cell>
          <cell r="E4736" t="str">
            <v>PEGAPRISA</v>
          </cell>
        </row>
        <row r="4737">
          <cell r="A4737" t="str">
            <v>99-79451</v>
          </cell>
          <cell r="E4737" t="str">
            <v>PEGAPRISA</v>
          </cell>
        </row>
        <row r="4738">
          <cell r="A4738" t="str">
            <v>99-CM-62262</v>
          </cell>
          <cell r="E4738" t="str">
            <v>COLORES AL CEMENTO</v>
          </cell>
        </row>
        <row r="4739">
          <cell r="A4739" t="str">
            <v>99-CM-62265</v>
          </cell>
          <cell r="E4739" t="str">
            <v>COLORES AL CEMENTO</v>
          </cell>
        </row>
        <row r="4740">
          <cell r="A4740" t="str">
            <v>99-CM-62562</v>
          </cell>
          <cell r="E4740" t="str">
            <v>COLORES AL CEMENTO</v>
          </cell>
        </row>
        <row r="4741">
          <cell r="A4741" t="str">
            <v>99-CM-62565</v>
          </cell>
          <cell r="E4741" t="str">
            <v>COLORES AL CEMENTO</v>
          </cell>
        </row>
        <row r="4742">
          <cell r="A4742" t="str">
            <v>99-CM-62582</v>
          </cell>
          <cell r="E4742" t="str">
            <v>COLORES AL CEMENTO</v>
          </cell>
        </row>
        <row r="4743">
          <cell r="A4743" t="str">
            <v>99-CM-62585</v>
          </cell>
          <cell r="E4743" t="str">
            <v>COLORES AL CEMENTO</v>
          </cell>
        </row>
        <row r="4744">
          <cell r="A4744" t="str">
            <v>99-CM-62652</v>
          </cell>
          <cell r="E4744" t="str">
            <v>COLORES AL CEMENTO</v>
          </cell>
        </row>
        <row r="4745">
          <cell r="A4745" t="str">
            <v>99-CM-62655</v>
          </cell>
          <cell r="E4745" t="str">
            <v>COLORES AL CEMENTO</v>
          </cell>
        </row>
        <row r="4746">
          <cell r="A4746" t="str">
            <v>99-CM-62732</v>
          </cell>
          <cell r="E4746" t="str">
            <v>COLORES AL CEMENTO</v>
          </cell>
        </row>
        <row r="4747">
          <cell r="A4747" t="str">
            <v>99-CM-62735</v>
          </cell>
          <cell r="E4747" t="str">
            <v>COLORES AL CEMENTO</v>
          </cell>
        </row>
        <row r="4748">
          <cell r="A4748" t="str">
            <v>99-CM-62992</v>
          </cell>
          <cell r="E4748" t="str">
            <v>COLORES AL CEMENTO</v>
          </cell>
        </row>
        <row r="4749">
          <cell r="A4749" t="str">
            <v>99-CM-62995</v>
          </cell>
          <cell r="E4749" t="str">
            <v>COLORES AL CEMENTO</v>
          </cell>
        </row>
        <row r="4750">
          <cell r="A4750" t="str">
            <v>99-E-06050</v>
          </cell>
          <cell r="E4750" t="str">
            <v>SOLVENTES INDUSTRIALES</v>
          </cell>
        </row>
        <row r="4751">
          <cell r="A4751" t="str">
            <v>99-E-08920</v>
          </cell>
          <cell r="E4751" t="str">
            <v>SICLA Y DIPLOMADO</v>
          </cell>
        </row>
        <row r="4752">
          <cell r="A4752" t="str">
            <v>99-E-09871</v>
          </cell>
          <cell r="E4752" t="str">
            <v>SICLA Y DIPLOMADO</v>
          </cell>
        </row>
        <row r="4753">
          <cell r="A4753" t="str">
            <v>99-E-11811</v>
          </cell>
          <cell r="E4753" t="str">
            <v>OTROS ACABADOS INDUSTRIALES</v>
          </cell>
        </row>
        <row r="4754">
          <cell r="A4754" t="str">
            <v>99-E-13944</v>
          </cell>
          <cell r="E4754" t="str">
            <v>ESM SECADO RAPIDO BASE SOLVENT</v>
          </cell>
        </row>
        <row r="4755">
          <cell r="A4755" t="str">
            <v>99-E-14171</v>
          </cell>
          <cell r="E4755" t="str">
            <v>ESM SECADO RAPIDO BASE SOLVENT</v>
          </cell>
        </row>
        <row r="4756">
          <cell r="A4756" t="str">
            <v>99-E-17331</v>
          </cell>
          <cell r="E4756" t="str">
            <v>ESM SECADO RAPIDO BASE SOLVENT</v>
          </cell>
        </row>
        <row r="4757">
          <cell r="A4757" t="str">
            <v>99-E-17521</v>
          </cell>
          <cell r="E4757" t="str">
            <v>ESM SECADO RAPIDO BASE SOLVENT</v>
          </cell>
        </row>
        <row r="4758">
          <cell r="A4758" t="str">
            <v>99-E-17524</v>
          </cell>
          <cell r="E4758" t="str">
            <v>ESM SECADO RAPIDO BASE SOLVENT</v>
          </cell>
        </row>
        <row r="4759">
          <cell r="A4759" t="str">
            <v>99-E-18380</v>
          </cell>
          <cell r="E4759" t="str">
            <v>OTROS ACABADOS INDUSTRIALES</v>
          </cell>
        </row>
        <row r="4760">
          <cell r="A4760" t="str">
            <v>99-E-18381</v>
          </cell>
          <cell r="E4760" t="str">
            <v>OTROS ACABADOS INDUSTRIALES</v>
          </cell>
        </row>
        <row r="4761">
          <cell r="A4761" t="str">
            <v>99-E-19590</v>
          </cell>
          <cell r="E4761" t="str">
            <v>ESMALTE DE HORNEO BASE SOLVENT</v>
          </cell>
        </row>
        <row r="4762">
          <cell r="A4762" t="str">
            <v>99-E-19620</v>
          </cell>
          <cell r="E4762" t="str">
            <v>ESM SECADO RAPIDO BASE SOLVENT</v>
          </cell>
        </row>
        <row r="4763">
          <cell r="A4763" t="str">
            <v>99-E-19680</v>
          </cell>
          <cell r="E4763" t="str">
            <v>ESM SECADO RAPIDO BASE SOLVENT</v>
          </cell>
        </row>
        <row r="4764">
          <cell r="A4764" t="str">
            <v>99-E-19681</v>
          </cell>
          <cell r="E4764" t="str">
            <v>ESM SECADO RAPIDO BASE SOLVENT</v>
          </cell>
        </row>
        <row r="4765">
          <cell r="A4765" t="str">
            <v>99-E-21121</v>
          </cell>
          <cell r="E4765" t="str">
            <v>ESMALTE - KITOX</v>
          </cell>
        </row>
        <row r="4766">
          <cell r="A4766" t="str">
            <v>99-E-21671</v>
          </cell>
          <cell r="E4766" t="str">
            <v>ESMALTE - COLOREX</v>
          </cell>
        </row>
        <row r="4767">
          <cell r="A4767" t="str">
            <v>99-E-22594</v>
          </cell>
          <cell r="E4767" t="str">
            <v>ESMALTE - KITOX</v>
          </cell>
        </row>
        <row r="4768">
          <cell r="A4768" t="str">
            <v>99-E-22694</v>
          </cell>
          <cell r="E4768" t="str">
            <v>ESMALTE - MILCO</v>
          </cell>
        </row>
        <row r="4769">
          <cell r="A4769" t="str">
            <v>99-E-23094</v>
          </cell>
          <cell r="E4769" t="str">
            <v>ESMALTE - KITOX</v>
          </cell>
        </row>
        <row r="4770">
          <cell r="A4770" t="str">
            <v>99-E-23601</v>
          </cell>
          <cell r="E4770" t="str">
            <v>ESMALTE - KITOX</v>
          </cell>
        </row>
        <row r="4771">
          <cell r="A4771" t="str">
            <v>99-E-23631</v>
          </cell>
          <cell r="E4771" t="str">
            <v>ESMALTE - MILCO</v>
          </cell>
        </row>
        <row r="4772">
          <cell r="A4772" t="str">
            <v>99-E-23633</v>
          </cell>
          <cell r="E4772" t="str">
            <v>ESMALTE - MILCO</v>
          </cell>
        </row>
        <row r="4773">
          <cell r="A4773" t="str">
            <v>99-E-23634</v>
          </cell>
          <cell r="E4773" t="str">
            <v>ESMALTE - MILCO</v>
          </cell>
        </row>
        <row r="4774">
          <cell r="A4774" t="str">
            <v>99-E-23931</v>
          </cell>
          <cell r="E4774" t="str">
            <v>ESMALTE - OTROS</v>
          </cell>
        </row>
        <row r="4775">
          <cell r="A4775" t="str">
            <v>99-E-23933</v>
          </cell>
          <cell r="E4775" t="str">
            <v>ESMALTE - OTROS</v>
          </cell>
        </row>
        <row r="4776">
          <cell r="A4776" t="str">
            <v>99-E-23991</v>
          </cell>
          <cell r="E4776" t="str">
            <v>ESMALTE - KITOX</v>
          </cell>
        </row>
        <row r="4777">
          <cell r="A4777" t="str">
            <v>99-E-23993</v>
          </cell>
          <cell r="E4777" t="str">
            <v>ESMALTE - KITOX</v>
          </cell>
        </row>
        <row r="4778">
          <cell r="A4778" t="str">
            <v>99-E-24015</v>
          </cell>
          <cell r="E4778" t="str">
            <v>ESMALTE - KITOX</v>
          </cell>
        </row>
        <row r="4779">
          <cell r="A4779" t="str">
            <v>99-E-24045</v>
          </cell>
          <cell r="E4779" t="str">
            <v>ESMALTE - KITOX</v>
          </cell>
        </row>
        <row r="4780">
          <cell r="A4780" t="str">
            <v>99-E-24055</v>
          </cell>
          <cell r="E4780" t="str">
            <v>ESMALTE - KITOX</v>
          </cell>
        </row>
        <row r="4781">
          <cell r="A4781" t="str">
            <v>99-E-24935</v>
          </cell>
          <cell r="E4781" t="str">
            <v>ESMALTE - KITOX</v>
          </cell>
        </row>
        <row r="4782">
          <cell r="A4782" t="str">
            <v>99-E-25861</v>
          </cell>
          <cell r="E4782" t="str">
            <v>ESMALTE - MILCO</v>
          </cell>
        </row>
        <row r="4783">
          <cell r="A4783" t="str">
            <v>99-E-25923</v>
          </cell>
          <cell r="E4783" t="str">
            <v>ESMALTE - KITOX</v>
          </cell>
        </row>
        <row r="4784">
          <cell r="A4784" t="str">
            <v>99-E-25993</v>
          </cell>
          <cell r="E4784" t="str">
            <v>ESMALTE - KITOX</v>
          </cell>
        </row>
        <row r="4785">
          <cell r="A4785" t="str">
            <v>99-E-26013</v>
          </cell>
          <cell r="E4785" t="str">
            <v>ESMALTE - MILCO</v>
          </cell>
        </row>
        <row r="4786">
          <cell r="A4786" t="str">
            <v>99-E-26041</v>
          </cell>
          <cell r="E4786" t="str">
            <v>ESMALTE - MILCO</v>
          </cell>
        </row>
        <row r="4787">
          <cell r="A4787" t="str">
            <v>99-E-30110</v>
          </cell>
          <cell r="E4787" t="str">
            <v>VINILICA - CAMPAÑA</v>
          </cell>
        </row>
        <row r="4788">
          <cell r="A4788" t="str">
            <v>99-E-30111</v>
          </cell>
          <cell r="E4788" t="str">
            <v>VINILICA - CAMPAÑA</v>
          </cell>
        </row>
        <row r="4789">
          <cell r="A4789" t="str">
            <v>99-E-30141</v>
          </cell>
          <cell r="E4789" t="str">
            <v>VINILICA - CAMPAÑA</v>
          </cell>
        </row>
        <row r="4790">
          <cell r="A4790" t="str">
            <v>99-E-30150</v>
          </cell>
          <cell r="E4790" t="str">
            <v>VINILICA - OTRAS</v>
          </cell>
        </row>
        <row r="4791">
          <cell r="A4791" t="str">
            <v>99-E-30170</v>
          </cell>
          <cell r="E4791" t="str">
            <v>VINILICA - OTRAS</v>
          </cell>
        </row>
        <row r="4792">
          <cell r="A4792" t="str">
            <v>99-E-30171</v>
          </cell>
          <cell r="E4792" t="str">
            <v>VINILICA - OTRAS</v>
          </cell>
        </row>
        <row r="4793">
          <cell r="A4793" t="str">
            <v>99-E-30431</v>
          </cell>
          <cell r="E4793" t="str">
            <v>VINILICA - RIVINOL</v>
          </cell>
        </row>
        <row r="4794">
          <cell r="A4794" t="str">
            <v>99-E-31061</v>
          </cell>
          <cell r="E4794" t="str">
            <v>VINILICA - VINIBAR</v>
          </cell>
        </row>
        <row r="4795">
          <cell r="A4795" t="str">
            <v>99-E-31321</v>
          </cell>
          <cell r="E4795" t="str">
            <v>VINILICA - VINIBAR</v>
          </cell>
        </row>
        <row r="4796">
          <cell r="A4796" t="str">
            <v>99-E-31521</v>
          </cell>
          <cell r="E4796" t="str">
            <v>VINILICA - VINIBAR</v>
          </cell>
        </row>
        <row r="4797">
          <cell r="A4797" t="str">
            <v>99-E-33225</v>
          </cell>
          <cell r="E4797" t="str">
            <v>VINILICA CICLOPE</v>
          </cell>
        </row>
        <row r="4798">
          <cell r="A4798" t="str">
            <v>99-E-33245</v>
          </cell>
          <cell r="E4798" t="str">
            <v>VINILICA CICLOPE</v>
          </cell>
        </row>
        <row r="4799">
          <cell r="A4799" t="str">
            <v>99-E-33275</v>
          </cell>
          <cell r="E4799" t="str">
            <v>VINILICA CICLOPE</v>
          </cell>
        </row>
        <row r="4800">
          <cell r="A4800" t="str">
            <v>99-E-33651</v>
          </cell>
          <cell r="E4800" t="str">
            <v>VINILICA - PINTAVIN</v>
          </cell>
        </row>
        <row r="4801">
          <cell r="A4801" t="str">
            <v>99-E-33653</v>
          </cell>
          <cell r="E4801" t="str">
            <v>VINILICA - PINTAVIN</v>
          </cell>
        </row>
        <row r="4802">
          <cell r="A4802" t="str">
            <v>99-E-33654</v>
          </cell>
          <cell r="E4802" t="str">
            <v>VINILICA - PINTAVIN</v>
          </cell>
        </row>
        <row r="4803">
          <cell r="A4803" t="str">
            <v>99-E-33751</v>
          </cell>
          <cell r="E4803" t="str">
            <v>VINILICA - PINTAVIN</v>
          </cell>
        </row>
        <row r="4804">
          <cell r="A4804" t="str">
            <v>99-E-33753</v>
          </cell>
          <cell r="E4804" t="str">
            <v>VINILICA - PINTAVIN</v>
          </cell>
        </row>
        <row r="4805">
          <cell r="A4805" t="str">
            <v>99-E-33754</v>
          </cell>
          <cell r="E4805" t="str">
            <v>VINILICA - PINTAVIN</v>
          </cell>
        </row>
        <row r="4806">
          <cell r="A4806" t="str">
            <v>99-E-35611</v>
          </cell>
          <cell r="E4806" t="str">
            <v>VINILICA - OTRAS</v>
          </cell>
        </row>
        <row r="4807">
          <cell r="A4807" t="str">
            <v>99-E-37801</v>
          </cell>
          <cell r="E4807" t="str">
            <v>VINILICA - POLIPRISA</v>
          </cell>
        </row>
        <row r="4808">
          <cell r="A4808" t="str">
            <v>99-E-37803</v>
          </cell>
          <cell r="E4808" t="str">
            <v>VINILICA - POLIPRISA</v>
          </cell>
        </row>
        <row r="4809">
          <cell r="A4809" t="str">
            <v>99-E-37804</v>
          </cell>
          <cell r="E4809" t="str">
            <v>VINILICA - POLIPRISA</v>
          </cell>
        </row>
        <row r="4810">
          <cell r="A4810" t="str">
            <v>99-E-38001</v>
          </cell>
          <cell r="E4810" t="str">
            <v>VINILICA - POLIPRISA</v>
          </cell>
        </row>
        <row r="4811">
          <cell r="A4811" t="str">
            <v>99-E-38003</v>
          </cell>
          <cell r="E4811" t="str">
            <v>VINILICA - POLIPRISA</v>
          </cell>
        </row>
        <row r="4812">
          <cell r="A4812" t="str">
            <v>99-E-38004</v>
          </cell>
          <cell r="E4812" t="str">
            <v>VINILICA - POLIPRISA</v>
          </cell>
        </row>
        <row r="4813">
          <cell r="A4813" t="str">
            <v>99-E-38011</v>
          </cell>
          <cell r="E4813" t="str">
            <v>VINILICA - POLIPRISA</v>
          </cell>
        </row>
        <row r="4814">
          <cell r="A4814" t="str">
            <v>99-E-38013</v>
          </cell>
          <cell r="E4814" t="str">
            <v>VINILICA - POLIPRISA</v>
          </cell>
        </row>
        <row r="4815">
          <cell r="A4815" t="str">
            <v>99-E-38014</v>
          </cell>
          <cell r="E4815" t="str">
            <v>VINILICA - POLIPRISA</v>
          </cell>
        </row>
        <row r="4816">
          <cell r="A4816" t="str">
            <v>99-E-38021</v>
          </cell>
          <cell r="E4816" t="str">
            <v>VINILICA - POLIPRISA</v>
          </cell>
        </row>
        <row r="4817">
          <cell r="A4817" t="str">
            <v>99-E-38023</v>
          </cell>
          <cell r="E4817" t="str">
            <v>VINILICA - POLIPRISA</v>
          </cell>
        </row>
        <row r="4818">
          <cell r="A4818" t="str">
            <v>99-E-38024</v>
          </cell>
          <cell r="E4818" t="str">
            <v>VINILICA - POLIPRISA</v>
          </cell>
        </row>
        <row r="4819">
          <cell r="A4819" t="str">
            <v>99-E-38501</v>
          </cell>
          <cell r="E4819" t="str">
            <v>PRIMARIOS ESTRUCTURALES ALQUID</v>
          </cell>
        </row>
        <row r="4820">
          <cell r="A4820" t="str">
            <v>99-E-38503</v>
          </cell>
          <cell r="E4820" t="str">
            <v>PRIMARIOS ESTRUCTURALES ALQUID</v>
          </cell>
        </row>
        <row r="4821">
          <cell r="A4821" t="str">
            <v>99-E-38871</v>
          </cell>
          <cell r="E4821" t="str">
            <v>VINILICA - OTRAS</v>
          </cell>
        </row>
        <row r="4822">
          <cell r="A4822" t="str">
            <v>99-E-38921</v>
          </cell>
          <cell r="E4822" t="str">
            <v>VINILICA - POLIPRISA</v>
          </cell>
        </row>
        <row r="4823">
          <cell r="A4823" t="str">
            <v>99-E-38923</v>
          </cell>
          <cell r="E4823" t="str">
            <v>VINILICA - POLIPRISA</v>
          </cell>
        </row>
        <row r="4824">
          <cell r="A4824" t="str">
            <v>99-E-38924</v>
          </cell>
          <cell r="E4824" t="str">
            <v>VINILICA - POLIPRISA</v>
          </cell>
        </row>
        <row r="4825">
          <cell r="A4825" t="str">
            <v>99-E-39001</v>
          </cell>
          <cell r="E4825" t="str">
            <v>VINILICA - OTRAS</v>
          </cell>
        </row>
        <row r="4826">
          <cell r="A4826" t="str">
            <v>99-E-39141</v>
          </cell>
          <cell r="E4826" t="str">
            <v>VINILICA - OTRAS</v>
          </cell>
        </row>
        <row r="4827">
          <cell r="A4827" t="str">
            <v>99-E-39143</v>
          </cell>
          <cell r="E4827" t="str">
            <v>VINILICA - OTRAS</v>
          </cell>
        </row>
        <row r="4828">
          <cell r="A4828" t="str">
            <v>99-E-39144</v>
          </cell>
          <cell r="E4828" t="str">
            <v>VINILICA - OTRAS</v>
          </cell>
        </row>
        <row r="4829">
          <cell r="A4829" t="str">
            <v>99-E-39151</v>
          </cell>
          <cell r="E4829" t="str">
            <v>SELLADOR VINILICO SURTEK</v>
          </cell>
        </row>
        <row r="4830">
          <cell r="A4830" t="str">
            <v>99-E-39153</v>
          </cell>
          <cell r="E4830" t="str">
            <v>SELLADOR VINILICO SURTEK</v>
          </cell>
        </row>
        <row r="4831">
          <cell r="A4831" t="str">
            <v>99-E-39831</v>
          </cell>
          <cell r="E4831" t="str">
            <v>VINILICA - RIVINOL</v>
          </cell>
        </row>
        <row r="4832">
          <cell r="A4832" t="str">
            <v>99-E-39833</v>
          </cell>
          <cell r="E4832" t="str">
            <v>VINILICA - RIVINOL</v>
          </cell>
        </row>
        <row r="4833">
          <cell r="A4833" t="str">
            <v>99-E-40513</v>
          </cell>
          <cell r="E4833" t="str">
            <v>OTROS ACABADOS INDUSTRIALES</v>
          </cell>
        </row>
        <row r="4834">
          <cell r="A4834" t="str">
            <v>99-E-41001</v>
          </cell>
          <cell r="E4834" t="str">
            <v>ESM SECADO RAPIDO BASE SOLVENT</v>
          </cell>
        </row>
        <row r="4835">
          <cell r="A4835" t="str">
            <v>99-E-41360</v>
          </cell>
          <cell r="E4835" t="str">
            <v>OTROS ACABADOS INDUSTRIALES</v>
          </cell>
        </row>
        <row r="4836">
          <cell r="A4836" t="str">
            <v>99-E-41361</v>
          </cell>
          <cell r="E4836" t="str">
            <v>OTROS ACABADOS INDUSTRIALES</v>
          </cell>
        </row>
        <row r="4837">
          <cell r="A4837" t="str">
            <v>99-E-41363</v>
          </cell>
          <cell r="E4837" t="str">
            <v>OTROS ACABADOS INDUSTRIALES</v>
          </cell>
        </row>
        <row r="4838">
          <cell r="A4838" t="str">
            <v>99-E-41411</v>
          </cell>
          <cell r="E4838" t="str">
            <v>ESMALTE DE HORNEO BASE SOLVENT</v>
          </cell>
        </row>
        <row r="4839">
          <cell r="A4839" t="str">
            <v>99-E-41690</v>
          </cell>
          <cell r="E4839" t="str">
            <v>ESMALTE DE HORNEO BASE SOLVENT</v>
          </cell>
        </row>
        <row r="4840">
          <cell r="A4840" t="str">
            <v>99-E-42981</v>
          </cell>
          <cell r="E4840" t="str">
            <v>OTROS ACABADOS INDUSTRIALES</v>
          </cell>
        </row>
        <row r="4841">
          <cell r="A4841" t="str">
            <v>99-E-43130</v>
          </cell>
          <cell r="E4841" t="str">
            <v>PRIMARIOS ESTRUCTURALES ALQUID</v>
          </cell>
        </row>
        <row r="4842">
          <cell r="A4842" t="str">
            <v>99-E-43131</v>
          </cell>
          <cell r="E4842" t="str">
            <v>PRIMARIOS ESTRUCTURALES ALQUID</v>
          </cell>
        </row>
        <row r="4843">
          <cell r="A4843" t="str">
            <v>99-E-43133</v>
          </cell>
          <cell r="E4843" t="str">
            <v>PRIMARIOS ESTRUCTURALES ALQUID</v>
          </cell>
        </row>
        <row r="4844">
          <cell r="A4844" t="str">
            <v>99-E-43140</v>
          </cell>
          <cell r="E4844" t="str">
            <v>ESMALTE DE HORNEO BASE SOLVENT</v>
          </cell>
        </row>
        <row r="4845">
          <cell r="A4845" t="str">
            <v>99-E-43201</v>
          </cell>
          <cell r="E4845" t="str">
            <v>OTROS ACABADOS INDUSTRIALES</v>
          </cell>
        </row>
        <row r="4846">
          <cell r="A4846" t="str">
            <v>99-E-43470</v>
          </cell>
          <cell r="E4846" t="str">
            <v>ESMALTE DE HORNEO BASE SOLVENT</v>
          </cell>
        </row>
        <row r="4847">
          <cell r="A4847" t="str">
            <v>99-E-43850</v>
          </cell>
          <cell r="E4847" t="str">
            <v>PRIMARIOS ESTRUCTURALES ALQUID</v>
          </cell>
        </row>
        <row r="4848">
          <cell r="A4848" t="str">
            <v>99-E-43851</v>
          </cell>
          <cell r="E4848" t="str">
            <v>PRIMARIOS ESTRUCTURALES ALQUID</v>
          </cell>
        </row>
        <row r="4849">
          <cell r="A4849" t="str">
            <v>99-E-43920</v>
          </cell>
          <cell r="E4849" t="str">
            <v>ESMALTE DE HORNEO BASE SOLVENT</v>
          </cell>
        </row>
        <row r="4850">
          <cell r="A4850" t="str">
            <v>99-E-43991</v>
          </cell>
          <cell r="E4850" t="str">
            <v>ESM SECADO RAPIDO BASE SOLVENT</v>
          </cell>
        </row>
        <row r="4851">
          <cell r="A4851" t="str">
            <v>99-E-44611</v>
          </cell>
          <cell r="E4851" t="str">
            <v>ESM SECADO RAPIDO BASE SOLVENT</v>
          </cell>
        </row>
        <row r="4852">
          <cell r="A4852" t="str">
            <v>99-E-44621</v>
          </cell>
          <cell r="E4852" t="str">
            <v>ESM SECADO RAPIDO BASE SOLVENT</v>
          </cell>
        </row>
        <row r="4853">
          <cell r="A4853" t="str">
            <v>99-E-44791</v>
          </cell>
          <cell r="E4853" t="str">
            <v>ESM SECADO RAPIDO BASE SOLVENT</v>
          </cell>
        </row>
        <row r="4854">
          <cell r="A4854" t="str">
            <v>99-E-45110</v>
          </cell>
          <cell r="E4854" t="str">
            <v>ESMALTE DE HORNEO BASE SOLVENT</v>
          </cell>
        </row>
        <row r="4855">
          <cell r="A4855" t="str">
            <v>99-E-45240</v>
          </cell>
          <cell r="E4855" t="str">
            <v>ESMALTE DE HORNEO BASE SOLVENT</v>
          </cell>
        </row>
        <row r="4856">
          <cell r="A4856" t="str">
            <v>99-E-45241</v>
          </cell>
          <cell r="E4856" t="str">
            <v>ESMALTE DE HORNEO BASE SOLVENT</v>
          </cell>
        </row>
        <row r="4857">
          <cell r="A4857" t="str">
            <v>99-E-45370</v>
          </cell>
          <cell r="E4857" t="str">
            <v>ESM SECADO RAPIDO BASE SOLVENT</v>
          </cell>
        </row>
        <row r="4858">
          <cell r="A4858" t="str">
            <v>99-E-45580</v>
          </cell>
          <cell r="E4858" t="str">
            <v>ESMALTE DE HORNEO BASE SOLVENT</v>
          </cell>
        </row>
        <row r="4859">
          <cell r="A4859" t="str">
            <v>99-E-46510</v>
          </cell>
          <cell r="E4859" t="str">
            <v>ESMALTE DE HORNEO BASE SOLVENT</v>
          </cell>
        </row>
        <row r="4860">
          <cell r="A4860" t="str">
            <v>99-E-46811</v>
          </cell>
          <cell r="E4860" t="str">
            <v>ESM SECADO RAPIDO BASE SOLVENT</v>
          </cell>
        </row>
        <row r="4861">
          <cell r="A4861" t="str">
            <v>99-E-46840</v>
          </cell>
          <cell r="E4861" t="str">
            <v>ESMALTE DE HORNEO BASE SOLVENT</v>
          </cell>
        </row>
        <row r="4862">
          <cell r="A4862" t="str">
            <v>99-E-46891</v>
          </cell>
          <cell r="E4862" t="str">
            <v>PRIMARIOS ESTRUCTURALES ALQUID</v>
          </cell>
        </row>
        <row r="4863">
          <cell r="A4863" t="str">
            <v>99-E-46893</v>
          </cell>
          <cell r="E4863" t="str">
            <v>PRIMARIOS ESTRUCTURALES ALQUID</v>
          </cell>
        </row>
        <row r="4864">
          <cell r="A4864" t="str">
            <v>99-E-47020</v>
          </cell>
          <cell r="E4864" t="str">
            <v>ESM SECADO RAPIDO BASE AGUA</v>
          </cell>
        </row>
        <row r="4865">
          <cell r="A4865" t="str">
            <v>99-E-47021</v>
          </cell>
          <cell r="E4865" t="str">
            <v>ESM SECADO RAPIDO BASE AGUA</v>
          </cell>
        </row>
        <row r="4866">
          <cell r="A4866" t="str">
            <v>99-E-47241</v>
          </cell>
          <cell r="E4866" t="str">
            <v>ESM SECADO RAPIDO BASE SOLVENT</v>
          </cell>
        </row>
        <row r="4867">
          <cell r="A4867" t="str">
            <v>99-E-47281</v>
          </cell>
          <cell r="E4867" t="str">
            <v>ESM SECADO RAPIDO BASE SOLVENT</v>
          </cell>
        </row>
        <row r="4868">
          <cell r="A4868" t="str">
            <v>99-E-47344</v>
          </cell>
          <cell r="E4868" t="str">
            <v>ESM SECADO RAPIDO BASE SOLVENT</v>
          </cell>
        </row>
        <row r="4869">
          <cell r="A4869" t="str">
            <v>99-E-47761</v>
          </cell>
          <cell r="E4869" t="str">
            <v>ESMALTE DE HORNEO BASE AGUA</v>
          </cell>
        </row>
        <row r="4870">
          <cell r="A4870" t="str">
            <v>99-E-47800</v>
          </cell>
          <cell r="E4870" t="str">
            <v>ESM SECADO RAPIDO BASE AGUA</v>
          </cell>
        </row>
        <row r="4871">
          <cell r="A4871" t="str">
            <v>99-E-47801</v>
          </cell>
          <cell r="E4871" t="str">
            <v>ESM SECADO RAPIDO BASE AGUA</v>
          </cell>
        </row>
        <row r="4872">
          <cell r="A4872" t="str">
            <v>99-E-47921</v>
          </cell>
          <cell r="E4872" t="str">
            <v>ESM SECADO RAPIDO BASE SOLVENT</v>
          </cell>
        </row>
        <row r="4873">
          <cell r="A4873" t="str">
            <v>99-E-48060</v>
          </cell>
          <cell r="E4873" t="str">
            <v>OTROS ACABADOS INDUSTRIALES</v>
          </cell>
        </row>
        <row r="4874">
          <cell r="A4874" t="str">
            <v>99-E-48061</v>
          </cell>
          <cell r="E4874" t="str">
            <v>OTROS ACABADOS INDUSTRIALES</v>
          </cell>
        </row>
        <row r="4875">
          <cell r="A4875" t="str">
            <v>99-E-48461</v>
          </cell>
          <cell r="E4875" t="str">
            <v>ESMALTE DE HORNEO BASE SOLVENT</v>
          </cell>
        </row>
        <row r="4876">
          <cell r="A4876" t="str">
            <v>99-E-48580</v>
          </cell>
          <cell r="E4876" t="str">
            <v>OTROS ACABADOS INDUSTRIALES</v>
          </cell>
        </row>
        <row r="4877">
          <cell r="A4877" t="str">
            <v>99-E-48951</v>
          </cell>
          <cell r="E4877" t="str">
            <v>ESM SECADO RAPIDO BASE SOLVENT</v>
          </cell>
        </row>
        <row r="4878">
          <cell r="A4878" t="str">
            <v>99-E-48953</v>
          </cell>
          <cell r="E4878" t="str">
            <v>ESM SECADO RAPIDO BASE SOLVENT</v>
          </cell>
        </row>
        <row r="4879">
          <cell r="A4879" t="str">
            <v>99-E-48954</v>
          </cell>
          <cell r="E4879" t="str">
            <v>ESM SECADO RAPIDO BASE SOLVENT</v>
          </cell>
        </row>
        <row r="4880">
          <cell r="A4880" t="str">
            <v>99-E-49351</v>
          </cell>
          <cell r="E4880" t="str">
            <v>ESM SECADO RAPIDO BASE SOLVENT</v>
          </cell>
        </row>
        <row r="4881">
          <cell r="A4881" t="str">
            <v>99-E-49613</v>
          </cell>
          <cell r="E4881" t="str">
            <v>OTROS ACABADOS INDUSTRIALES</v>
          </cell>
        </row>
        <row r="4882">
          <cell r="A4882" t="str">
            <v>99-E-49683</v>
          </cell>
          <cell r="E4882" t="str">
            <v>ESM SECADO RAPIDO BASE SOLVENT</v>
          </cell>
        </row>
        <row r="4883">
          <cell r="A4883" t="str">
            <v>99-E-50121</v>
          </cell>
          <cell r="E4883" t="str">
            <v>ACABADOS DE PU</v>
          </cell>
        </row>
        <row r="4884">
          <cell r="A4884" t="str">
            <v>99-E-50511</v>
          </cell>
          <cell r="E4884" t="str">
            <v>ACABADOS ALQUIDALICOS</v>
          </cell>
        </row>
        <row r="4885">
          <cell r="A4885" t="str">
            <v>99-E-50513</v>
          </cell>
          <cell r="E4885" t="str">
            <v>ACABADOS ALQUIDALICOS</v>
          </cell>
        </row>
        <row r="4886">
          <cell r="A4886" t="str">
            <v>99-E-50961</v>
          </cell>
          <cell r="E4886" t="str">
            <v>ACABADOS EPOXICOS</v>
          </cell>
        </row>
        <row r="4887">
          <cell r="A4887" t="str">
            <v>99-E-50973</v>
          </cell>
          <cell r="E4887" t="str">
            <v>ACABADOS EPOXICOS</v>
          </cell>
        </row>
        <row r="4888">
          <cell r="A4888" t="str">
            <v>99-E-51100</v>
          </cell>
          <cell r="E4888" t="str">
            <v>OTROS ACABADOS INDUSTRIALES</v>
          </cell>
        </row>
        <row r="4889">
          <cell r="A4889" t="str">
            <v>99-E-51101</v>
          </cell>
          <cell r="E4889" t="str">
            <v>OTROS ACABADOS INDUSTRIALES</v>
          </cell>
        </row>
        <row r="4890">
          <cell r="A4890" t="str">
            <v>99-E-51723</v>
          </cell>
          <cell r="E4890" t="str">
            <v>ACABADOS ALQUIDALICOS</v>
          </cell>
        </row>
        <row r="4891">
          <cell r="A4891" t="str">
            <v>99-E-52871</v>
          </cell>
          <cell r="E4891" t="str">
            <v>ACABADOS DE PU</v>
          </cell>
        </row>
        <row r="4892">
          <cell r="A4892" t="str">
            <v>99-E-53353</v>
          </cell>
          <cell r="E4892" t="str">
            <v>ACABADOS EPOXICOS</v>
          </cell>
        </row>
        <row r="4893">
          <cell r="A4893" t="str">
            <v>99-E-54521</v>
          </cell>
          <cell r="E4893" t="str">
            <v>ACABADOS EPOXICOS</v>
          </cell>
        </row>
        <row r="4894">
          <cell r="A4894" t="str">
            <v>99-E-54841</v>
          </cell>
          <cell r="E4894" t="str">
            <v>ACABADOS EPOXICOS</v>
          </cell>
        </row>
        <row r="4895">
          <cell r="A4895" t="str">
            <v>99-E-55711</v>
          </cell>
          <cell r="E4895" t="str">
            <v>ACABADOS DE PU</v>
          </cell>
        </row>
        <row r="4896">
          <cell r="A4896" t="str">
            <v>99-E-55713</v>
          </cell>
          <cell r="E4896" t="str">
            <v>ACABADOS DE PU</v>
          </cell>
        </row>
        <row r="4897">
          <cell r="A4897" t="str">
            <v>99-E-56233</v>
          </cell>
          <cell r="E4897" t="str">
            <v>ACABADOS DE PU</v>
          </cell>
        </row>
        <row r="4898">
          <cell r="A4898" t="str">
            <v>99-E-56581</v>
          </cell>
          <cell r="E4898" t="str">
            <v>ACABADOS EPOXICOS</v>
          </cell>
        </row>
        <row r="4899">
          <cell r="A4899" t="str">
            <v>99-E-56651</v>
          </cell>
          <cell r="E4899" t="str">
            <v>OTROS ACABADOS INDUSTRIALES</v>
          </cell>
        </row>
        <row r="4900">
          <cell r="A4900" t="str">
            <v>99-E-56653</v>
          </cell>
          <cell r="E4900" t="str">
            <v>OTROS ACABADOS INDUSTRIALES</v>
          </cell>
        </row>
        <row r="4901">
          <cell r="A4901" t="str">
            <v>99-E-56654</v>
          </cell>
          <cell r="E4901" t="str">
            <v>OTROS ACABADOS INDUSTRIALES</v>
          </cell>
        </row>
        <row r="4902">
          <cell r="A4902" t="str">
            <v>99-E-56811</v>
          </cell>
          <cell r="E4902" t="str">
            <v>ACABADOS EPOXICOS</v>
          </cell>
        </row>
        <row r="4903">
          <cell r="A4903" t="str">
            <v>99-E-56961</v>
          </cell>
          <cell r="E4903" t="str">
            <v>ACABADOS EPOXICOS</v>
          </cell>
        </row>
        <row r="4904">
          <cell r="A4904" t="str">
            <v>99-E-57100</v>
          </cell>
          <cell r="E4904" t="str">
            <v>OTROS ACABADOS INDUSTRIALES</v>
          </cell>
        </row>
        <row r="4905">
          <cell r="A4905" t="str">
            <v>99-E-57180</v>
          </cell>
          <cell r="E4905" t="str">
            <v>SOLVENTES INDUSTRIALES</v>
          </cell>
        </row>
        <row r="4906">
          <cell r="A4906" t="str">
            <v>99-E-57411</v>
          </cell>
          <cell r="E4906" t="str">
            <v>ACABADOS EPOXICOS</v>
          </cell>
        </row>
        <row r="4907">
          <cell r="A4907" t="str">
            <v>99-E-57523</v>
          </cell>
          <cell r="E4907" t="str">
            <v>OTROS ACABADOS INDUSTRIALES</v>
          </cell>
        </row>
        <row r="4908">
          <cell r="A4908" t="str">
            <v>99-E-57524</v>
          </cell>
          <cell r="E4908" t="str">
            <v>OTROS ACABADOS INDUSTRIALES</v>
          </cell>
        </row>
        <row r="4909">
          <cell r="A4909" t="str">
            <v>99-E-57551</v>
          </cell>
          <cell r="E4909" t="str">
            <v>ACABADOS DE PU</v>
          </cell>
        </row>
        <row r="4910">
          <cell r="A4910" t="str">
            <v>99-E-57571</v>
          </cell>
          <cell r="E4910" t="str">
            <v>OTROS ACABADOS INDUSTRIALES</v>
          </cell>
        </row>
        <row r="4911">
          <cell r="A4911" t="str">
            <v>99-E-57573</v>
          </cell>
          <cell r="E4911" t="str">
            <v>OTROS ACABADOS INDUSTRIALES</v>
          </cell>
        </row>
        <row r="4912">
          <cell r="A4912" t="str">
            <v>99-E-57631</v>
          </cell>
          <cell r="E4912" t="str">
            <v>ACABADOS EPOXICOS</v>
          </cell>
        </row>
        <row r="4913">
          <cell r="A4913" t="str">
            <v>99-E-57641</v>
          </cell>
          <cell r="E4913" t="str">
            <v>ACABADOS EPOXICOS</v>
          </cell>
        </row>
        <row r="4914">
          <cell r="A4914" t="str">
            <v>99-E-58101</v>
          </cell>
          <cell r="E4914" t="str">
            <v>ACABADOS DE PU</v>
          </cell>
        </row>
        <row r="4915">
          <cell r="A4915" t="str">
            <v>99-E-58141</v>
          </cell>
          <cell r="E4915" t="str">
            <v>ACABADOS ALQUIDALICOS</v>
          </cell>
        </row>
        <row r="4916">
          <cell r="A4916" t="str">
            <v>99-E-58440</v>
          </cell>
          <cell r="E4916" t="str">
            <v>PRIMARIOS ALQUIDALICOS</v>
          </cell>
        </row>
        <row r="4917">
          <cell r="A4917" t="str">
            <v>99-E-58450</v>
          </cell>
          <cell r="E4917" t="str">
            <v>ACABADOS DE PU</v>
          </cell>
        </row>
        <row r="4918">
          <cell r="A4918" t="str">
            <v>99-E-58491</v>
          </cell>
          <cell r="E4918" t="str">
            <v>ACABADOS DE PU</v>
          </cell>
        </row>
        <row r="4919">
          <cell r="A4919" t="str">
            <v>99-E-58991</v>
          </cell>
          <cell r="E4919" t="str">
            <v>ACABADOS EPOXICOS</v>
          </cell>
        </row>
        <row r="4920">
          <cell r="A4920" t="str">
            <v>99-E-59011</v>
          </cell>
          <cell r="E4920" t="str">
            <v>ACABADOS EPOXICOS</v>
          </cell>
        </row>
        <row r="4921">
          <cell r="A4921" t="str">
            <v>99-E-59064</v>
          </cell>
          <cell r="E4921" t="str">
            <v>ACABADOS EPOXICOS</v>
          </cell>
        </row>
        <row r="4922">
          <cell r="A4922" t="str">
            <v>99-E-59074</v>
          </cell>
          <cell r="E4922" t="str">
            <v>ACABADOS EPOXICOS</v>
          </cell>
        </row>
        <row r="4923">
          <cell r="A4923" t="str">
            <v>99-E-59403</v>
          </cell>
          <cell r="E4923" t="str">
            <v>ACABADOS DE PU</v>
          </cell>
        </row>
        <row r="4924">
          <cell r="A4924" t="str">
            <v>99-E-59411</v>
          </cell>
          <cell r="E4924" t="str">
            <v>ACABADOS DE PU</v>
          </cell>
        </row>
        <row r="4925">
          <cell r="A4925" t="str">
            <v>99-E-59431</v>
          </cell>
          <cell r="E4925" t="str">
            <v>ACABADOS DE PU</v>
          </cell>
        </row>
        <row r="4926">
          <cell r="A4926" t="str">
            <v>99-E-59541</v>
          </cell>
          <cell r="E4926" t="str">
            <v>ACABADOS DE PU</v>
          </cell>
        </row>
        <row r="4927">
          <cell r="A4927" t="str">
            <v>99-E-59571</v>
          </cell>
          <cell r="E4927" t="str">
            <v>ACABADOS DE PU</v>
          </cell>
        </row>
        <row r="4928">
          <cell r="A4928" t="str">
            <v>99-E-59671</v>
          </cell>
          <cell r="E4928" t="str">
            <v>ACABADOS DE PU</v>
          </cell>
        </row>
        <row r="4929">
          <cell r="A4929" t="str">
            <v>99-E-59791</v>
          </cell>
          <cell r="E4929" t="str">
            <v>ACABADOS EPOXICOS</v>
          </cell>
        </row>
        <row r="4930">
          <cell r="A4930" t="str">
            <v>99-E-59871</v>
          </cell>
          <cell r="E4930" t="str">
            <v>ACABADOS DE PU</v>
          </cell>
        </row>
        <row r="4931">
          <cell r="A4931" t="str">
            <v>99-E-59921</v>
          </cell>
          <cell r="E4931" t="str">
            <v>ACABADOS DE PU</v>
          </cell>
        </row>
        <row r="4932">
          <cell r="A4932" t="str">
            <v>99-E-60970</v>
          </cell>
          <cell r="E4932" t="str">
            <v>SICLA Y DIPLOMADO</v>
          </cell>
        </row>
        <row r="4933">
          <cell r="A4933" t="str">
            <v>99-E-61260</v>
          </cell>
          <cell r="E4933" t="str">
            <v>LACA NITRO INDUSTRIAL</v>
          </cell>
        </row>
        <row r="4934">
          <cell r="A4934" t="str">
            <v>99-E-61261</v>
          </cell>
          <cell r="E4934" t="str">
            <v>LACA NITRO INDUSTRIAL</v>
          </cell>
        </row>
        <row r="4935">
          <cell r="A4935" t="str">
            <v>99-E-61531</v>
          </cell>
          <cell r="E4935" t="str">
            <v>FONDO DE NITRO AUTOMOTRIZ</v>
          </cell>
        </row>
        <row r="4936">
          <cell r="A4936" t="str">
            <v>99-E-61533</v>
          </cell>
          <cell r="E4936" t="str">
            <v>FONDO DE NITRO AUTOMOTRIZ</v>
          </cell>
        </row>
        <row r="4937">
          <cell r="A4937" t="str">
            <v>99-E-61534</v>
          </cell>
          <cell r="E4937" t="str">
            <v>FONDO DE NITRO AUTOMOTRIZ</v>
          </cell>
        </row>
        <row r="4938">
          <cell r="A4938" t="str">
            <v>99-E-61890</v>
          </cell>
          <cell r="E4938" t="str">
            <v>SICLA Y DIPLOMADO</v>
          </cell>
        </row>
        <row r="4939">
          <cell r="A4939" t="str">
            <v>99-E-62181</v>
          </cell>
          <cell r="E4939" t="str">
            <v>MATIZANTE UNIVERSAL</v>
          </cell>
        </row>
        <row r="4940">
          <cell r="A4940" t="str">
            <v>99-E-62183</v>
          </cell>
          <cell r="E4940" t="str">
            <v>MATIZANTE UNIVERSAL</v>
          </cell>
        </row>
        <row r="4941">
          <cell r="A4941" t="str">
            <v>99-E-62184</v>
          </cell>
          <cell r="E4941" t="str">
            <v>MATIZANTE UNIVERSAL</v>
          </cell>
        </row>
        <row r="4942">
          <cell r="A4942" t="str">
            <v>99-E-62310</v>
          </cell>
          <cell r="E4942" t="str">
            <v>LACA NITRO TRANSPARENTE SIGLO</v>
          </cell>
        </row>
        <row r="4943">
          <cell r="A4943" t="str">
            <v>99-E-62703</v>
          </cell>
          <cell r="E4943" t="str">
            <v>LACA NITRO TRANSPARENTE SIGLO</v>
          </cell>
        </row>
        <row r="4944">
          <cell r="A4944" t="str">
            <v>99-E-63210</v>
          </cell>
          <cell r="E4944" t="str">
            <v>LACA NITRO TRANSPARENTE SIGLO</v>
          </cell>
        </row>
        <row r="4945">
          <cell r="A4945" t="str">
            <v>99-E-63570</v>
          </cell>
          <cell r="E4945" t="str">
            <v>LACA NITRO TRANSPARENTE SIGLO</v>
          </cell>
        </row>
        <row r="4946">
          <cell r="A4946" t="str">
            <v>99-E-63571</v>
          </cell>
          <cell r="E4946" t="str">
            <v>LACA NITRO TRANSPARENTE SIGLO</v>
          </cell>
        </row>
        <row r="4947">
          <cell r="A4947" t="str">
            <v>99-E-63791</v>
          </cell>
          <cell r="E4947" t="str">
            <v>BARNIZ DE POLIURETANO SIGLO</v>
          </cell>
        </row>
        <row r="4948">
          <cell r="A4948" t="str">
            <v>99-E-63793</v>
          </cell>
          <cell r="E4948" t="str">
            <v>BARNIZ DE POLIURETANO SIGLO</v>
          </cell>
        </row>
        <row r="4949">
          <cell r="A4949" t="str">
            <v>99-E-63794</v>
          </cell>
          <cell r="E4949" t="str">
            <v>BARNIZ DE POLIURETANO SIGLO</v>
          </cell>
        </row>
        <row r="4950">
          <cell r="A4950" t="str">
            <v>99-E-63860</v>
          </cell>
          <cell r="E4950" t="str">
            <v>LACA NITRO TRANSPARENTE SIGLO</v>
          </cell>
        </row>
        <row r="4951">
          <cell r="A4951" t="str">
            <v>99-E-63861</v>
          </cell>
          <cell r="E4951" t="str">
            <v>LACA NITRO TRANSPARENTE SIGLO</v>
          </cell>
        </row>
        <row r="4952">
          <cell r="A4952" t="str">
            <v>99-E-63910</v>
          </cell>
          <cell r="E4952" t="str">
            <v>SICLA Y DIPLOMADO</v>
          </cell>
        </row>
        <row r="4953">
          <cell r="A4953" t="str">
            <v>99-E-63920</v>
          </cell>
          <cell r="E4953" t="str">
            <v>SELLADORES DE NITROCELULOSA</v>
          </cell>
        </row>
        <row r="4954">
          <cell r="A4954" t="str">
            <v>99-E-64060</v>
          </cell>
          <cell r="E4954" t="str">
            <v>LACA NITRO TRANSPARENTE SIGLO</v>
          </cell>
        </row>
        <row r="4955">
          <cell r="A4955" t="str">
            <v>99-E-64061</v>
          </cell>
          <cell r="E4955" t="str">
            <v>LACA NITRO TRANSPARENTE SIGLO</v>
          </cell>
        </row>
        <row r="4956">
          <cell r="A4956" t="str">
            <v>99-E-64480</v>
          </cell>
          <cell r="E4956" t="str">
            <v>LACA NITRO TRANSPARENTE SIGLO</v>
          </cell>
        </row>
        <row r="4957">
          <cell r="A4957" t="str">
            <v>99-E-64490</v>
          </cell>
          <cell r="E4957" t="str">
            <v>LACA NITRO TRANSPARENTE SIGLO</v>
          </cell>
        </row>
        <row r="4958">
          <cell r="A4958" t="str">
            <v>99-E-64491</v>
          </cell>
          <cell r="E4958" t="str">
            <v>LACA NITRO TRANSPARENTE SIGLO</v>
          </cell>
        </row>
        <row r="4959">
          <cell r="A4959" t="str">
            <v>99-E-64980</v>
          </cell>
          <cell r="E4959" t="str">
            <v>LACA NITRO TRANSPARENTE SIGLO</v>
          </cell>
        </row>
        <row r="4960">
          <cell r="A4960" t="str">
            <v>99-E-65070</v>
          </cell>
          <cell r="E4960" t="str">
            <v>LACA NITRO TRANSPARENTE SIGLO</v>
          </cell>
        </row>
        <row r="4961">
          <cell r="A4961" t="str">
            <v>99-E-65140</v>
          </cell>
          <cell r="E4961" t="str">
            <v>LACA NITRO TRANSPARENTE SIGLO</v>
          </cell>
        </row>
        <row r="4962">
          <cell r="A4962" t="str">
            <v>99-E-65141</v>
          </cell>
          <cell r="E4962" t="str">
            <v>LACA NITRO TRANSPARENTE SIGLO</v>
          </cell>
        </row>
        <row r="4963">
          <cell r="A4963" t="str">
            <v>99-E-65230</v>
          </cell>
          <cell r="E4963" t="str">
            <v>SELLADORES DE POLIURETANO</v>
          </cell>
        </row>
        <row r="4964">
          <cell r="A4964" t="str">
            <v>99-E-65231</v>
          </cell>
          <cell r="E4964" t="str">
            <v>SELLADORES DE POLIURETANO</v>
          </cell>
        </row>
        <row r="4965">
          <cell r="A4965" t="str">
            <v>99-E-65291</v>
          </cell>
          <cell r="E4965" t="str">
            <v>SOLVENTES INDUSTRIALES</v>
          </cell>
        </row>
        <row r="4966">
          <cell r="A4966" t="str">
            <v>99-E-65300</v>
          </cell>
          <cell r="E4966" t="str">
            <v>SOLVENTES INDUSTRIALES</v>
          </cell>
        </row>
        <row r="4967">
          <cell r="A4967" t="str">
            <v>99-E-65301</v>
          </cell>
          <cell r="E4967" t="str">
            <v>SOLVENTES INDUSTRIALES</v>
          </cell>
        </row>
        <row r="4968">
          <cell r="A4968" t="str">
            <v>99-E-65303</v>
          </cell>
          <cell r="E4968" t="str">
            <v>SOLVENTES INDUSTRIALES</v>
          </cell>
        </row>
        <row r="4969">
          <cell r="A4969" t="str">
            <v>99-E-65304</v>
          </cell>
          <cell r="E4969" t="str">
            <v>SOLVENTES INDUSTRIALES</v>
          </cell>
        </row>
        <row r="4970">
          <cell r="A4970" t="str">
            <v>99-E-65581</v>
          </cell>
          <cell r="E4970" t="str">
            <v>FONDO DE NITROCELULOSA</v>
          </cell>
        </row>
        <row r="4971">
          <cell r="A4971" t="str">
            <v>99-E-65641</v>
          </cell>
          <cell r="E4971" t="str">
            <v>FONDO DE POLIURETANO</v>
          </cell>
        </row>
        <row r="4972">
          <cell r="A4972" t="str">
            <v>99-E-65651</v>
          </cell>
          <cell r="E4972" t="str">
            <v>SELLADORES DE POLIURETANO</v>
          </cell>
        </row>
        <row r="4973">
          <cell r="A4973" t="str">
            <v>99-E-65653</v>
          </cell>
          <cell r="E4973" t="str">
            <v>SELLADORES DE POLIURETANO</v>
          </cell>
        </row>
        <row r="4974">
          <cell r="A4974" t="str">
            <v>99-E-65654</v>
          </cell>
          <cell r="E4974" t="str">
            <v>SELLADORES DE POLIURETANO</v>
          </cell>
        </row>
        <row r="4975">
          <cell r="A4975" t="str">
            <v>99-E-65661</v>
          </cell>
          <cell r="E4975" t="str">
            <v>BARNIZ DE POLIURETANO SIGLO</v>
          </cell>
        </row>
        <row r="4976">
          <cell r="A4976" t="str">
            <v>99-E-65663</v>
          </cell>
          <cell r="E4976" t="str">
            <v>BARNIZ DE POLIURETANO SIGLO</v>
          </cell>
        </row>
        <row r="4977">
          <cell r="A4977" t="str">
            <v>99-E-65664</v>
          </cell>
          <cell r="E4977" t="str">
            <v>BARNIZ DE POLIURETANO SIGLO</v>
          </cell>
        </row>
        <row r="4978">
          <cell r="A4978" t="str">
            <v>99-E-65771</v>
          </cell>
          <cell r="E4978" t="str">
            <v>LACA NITRO TRANSPARENTE SIGLO</v>
          </cell>
        </row>
        <row r="4979">
          <cell r="A4979" t="str">
            <v>99-E-66061</v>
          </cell>
          <cell r="E4979" t="str">
            <v>BARNIZ DE POLIURETANO SIGLO</v>
          </cell>
        </row>
        <row r="4980">
          <cell r="A4980" t="str">
            <v>99-E-66063</v>
          </cell>
          <cell r="E4980" t="str">
            <v>BARNIZ DE POLIURETANO SIGLO</v>
          </cell>
        </row>
        <row r="4981">
          <cell r="A4981" t="str">
            <v>99-E-66064</v>
          </cell>
          <cell r="E4981" t="str">
            <v>BARNIZ DE POLIURETANO SIGLO</v>
          </cell>
        </row>
        <row r="4982">
          <cell r="A4982" t="str">
            <v>99-E-66151</v>
          </cell>
          <cell r="E4982" t="str">
            <v>FONDO UNIVERSAL</v>
          </cell>
        </row>
        <row r="4983">
          <cell r="A4983" t="str">
            <v>99-E-66153</v>
          </cell>
          <cell r="E4983" t="str">
            <v>FONDO UNIVERSAL</v>
          </cell>
        </row>
        <row r="4984">
          <cell r="A4984" t="str">
            <v>99-E-66154</v>
          </cell>
          <cell r="E4984" t="str">
            <v>FONDO UNIVERSAL</v>
          </cell>
        </row>
        <row r="4985">
          <cell r="A4985" t="str">
            <v>99-E-66211</v>
          </cell>
          <cell r="E4985" t="str">
            <v>BARNIZ DE POLIURETANO SIGLO</v>
          </cell>
        </row>
        <row r="4986">
          <cell r="A4986" t="str">
            <v>99-E-66241</v>
          </cell>
          <cell r="E4986" t="str">
            <v>FONDO DE POLIURETANO</v>
          </cell>
        </row>
        <row r="4987">
          <cell r="A4987" t="str">
            <v>99-E-66560</v>
          </cell>
          <cell r="E4987" t="str">
            <v>LACA NITRO TRANSPARENTE SIGLO</v>
          </cell>
        </row>
        <row r="4988">
          <cell r="A4988" t="str">
            <v>99-E-66640</v>
          </cell>
          <cell r="E4988" t="str">
            <v>TINTAS BASE SOLVENTE P/MADERA</v>
          </cell>
        </row>
        <row r="4989">
          <cell r="A4989" t="str">
            <v>99-E-66641</v>
          </cell>
          <cell r="E4989" t="str">
            <v>TINTAS BASE SOLVENTE P/MADERA</v>
          </cell>
        </row>
        <row r="4990">
          <cell r="A4990" t="str">
            <v>99-E-66801</v>
          </cell>
          <cell r="E4990" t="str">
            <v>BARNIZ DE POLIURETANO SIGLO</v>
          </cell>
        </row>
        <row r="4991">
          <cell r="A4991" t="str">
            <v>99-E-66841</v>
          </cell>
          <cell r="E4991" t="str">
            <v>LACA ACRILICA</v>
          </cell>
        </row>
        <row r="4992">
          <cell r="A4992" t="str">
            <v>99-E-66890</v>
          </cell>
          <cell r="E4992" t="str">
            <v>BARNIZ DE SECADO RAPIDO SIGLO</v>
          </cell>
        </row>
        <row r="4993">
          <cell r="A4993" t="str">
            <v>99-E-66891</v>
          </cell>
          <cell r="E4993" t="str">
            <v>BARNIZ DE SECADO RAPIDO SIGLO</v>
          </cell>
        </row>
        <row r="4994">
          <cell r="A4994" t="str">
            <v>99-E-66893</v>
          </cell>
          <cell r="E4994" t="str">
            <v>BARNIZ DE SECADO RAPIDO SIGLO</v>
          </cell>
        </row>
        <row r="4995">
          <cell r="A4995" t="str">
            <v>99-E-66894</v>
          </cell>
          <cell r="E4995" t="str">
            <v>BARNIZ DE SECADO RAPIDO SIGLO</v>
          </cell>
        </row>
        <row r="4996">
          <cell r="A4996" t="str">
            <v>99-E-66951</v>
          </cell>
          <cell r="E4996" t="str">
            <v>FONDO UNIVERSAL</v>
          </cell>
        </row>
        <row r="4997">
          <cell r="A4997" t="str">
            <v>99-E-66953</v>
          </cell>
          <cell r="E4997" t="str">
            <v>FONDO UNIVERSAL</v>
          </cell>
        </row>
        <row r="4998">
          <cell r="A4998" t="str">
            <v>99-E-66954</v>
          </cell>
          <cell r="E4998" t="str">
            <v>FONDO UNIVERSAL</v>
          </cell>
        </row>
        <row r="4999">
          <cell r="A4999" t="str">
            <v>99-E-67171</v>
          </cell>
          <cell r="E4999" t="str">
            <v>LACA NITRO INDUSTRIAL</v>
          </cell>
        </row>
        <row r="5000">
          <cell r="A5000" t="str">
            <v>99-E-67280</v>
          </cell>
          <cell r="E5000" t="str">
            <v>SELLADORES DE NITROCELULOSA</v>
          </cell>
        </row>
        <row r="5001">
          <cell r="A5001" t="str">
            <v>99-E-67281</v>
          </cell>
          <cell r="E5001" t="str">
            <v>SELLADORES DE NITROCELULOSA</v>
          </cell>
        </row>
        <row r="5002">
          <cell r="A5002" t="str">
            <v>99-E-67283</v>
          </cell>
          <cell r="E5002" t="str">
            <v>SELLADORES DE NITROCELULOSA</v>
          </cell>
        </row>
        <row r="5003">
          <cell r="A5003" t="str">
            <v>99-E-67531</v>
          </cell>
          <cell r="E5003" t="str">
            <v>LACA NITRO INDUSTRIAL</v>
          </cell>
        </row>
        <row r="5004">
          <cell r="A5004" t="str">
            <v>99-E-67640</v>
          </cell>
          <cell r="E5004" t="str">
            <v>LACA NITRO TRANSPARENTE SIGLO</v>
          </cell>
        </row>
        <row r="5005">
          <cell r="A5005" t="str">
            <v>99-E-67761</v>
          </cell>
          <cell r="E5005" t="str">
            <v>BARNIZ DE POLIURETANO SIGLO</v>
          </cell>
        </row>
        <row r="5006">
          <cell r="A5006" t="str">
            <v>99-E-67763</v>
          </cell>
          <cell r="E5006" t="str">
            <v>BARNIZ DE POLIURETANO SIGLO</v>
          </cell>
        </row>
        <row r="5007">
          <cell r="A5007" t="str">
            <v>99-E-67764</v>
          </cell>
          <cell r="E5007" t="str">
            <v>BARNIZ DE POLIURETANO SIGLO</v>
          </cell>
        </row>
        <row r="5008">
          <cell r="A5008" t="str">
            <v>99-E-67971</v>
          </cell>
          <cell r="E5008" t="str">
            <v>SELLADORES DE POLIURETANO</v>
          </cell>
        </row>
        <row r="5009">
          <cell r="A5009" t="str">
            <v>99-E-68010</v>
          </cell>
          <cell r="E5009" t="str">
            <v>SELLADORES DE POLIURETANO</v>
          </cell>
        </row>
        <row r="5010">
          <cell r="A5010" t="str">
            <v>99-E-68011</v>
          </cell>
          <cell r="E5010" t="str">
            <v>SELLADORES DE POLIURETANO</v>
          </cell>
        </row>
        <row r="5011">
          <cell r="A5011" t="str">
            <v>99-E-68013</v>
          </cell>
          <cell r="E5011" t="str">
            <v>SELLADORES DE POLIURETANO</v>
          </cell>
        </row>
        <row r="5012">
          <cell r="A5012" t="str">
            <v>99-E-68014</v>
          </cell>
          <cell r="E5012" t="str">
            <v>SELLADORES DE POLIURETANO</v>
          </cell>
        </row>
        <row r="5013">
          <cell r="A5013" t="str">
            <v>99-E-68021</v>
          </cell>
          <cell r="E5013" t="str">
            <v>BARNIZ DE POLIURETANO SIGLO</v>
          </cell>
        </row>
        <row r="5014">
          <cell r="A5014" t="str">
            <v>99-E-68023</v>
          </cell>
          <cell r="E5014" t="str">
            <v>BARNIZ DE POLIURETANO SIGLO</v>
          </cell>
        </row>
        <row r="5015">
          <cell r="A5015" t="str">
            <v>99-E-68131</v>
          </cell>
          <cell r="E5015" t="str">
            <v>BARNIZ DE POLIURETANO SIGLO</v>
          </cell>
        </row>
        <row r="5016">
          <cell r="A5016" t="str">
            <v>99-E-68133</v>
          </cell>
          <cell r="E5016" t="str">
            <v>BARNIZ DE POLIURETANO SIGLO</v>
          </cell>
        </row>
        <row r="5017">
          <cell r="A5017" t="str">
            <v>99-E-68134</v>
          </cell>
          <cell r="E5017" t="str">
            <v>BARNIZ DE POLIURETANO SIGLO</v>
          </cell>
        </row>
        <row r="5018">
          <cell r="A5018" t="str">
            <v>99-E-68141</v>
          </cell>
          <cell r="E5018" t="str">
            <v>BARNIZ DE POLIURETANO SIGLO</v>
          </cell>
        </row>
        <row r="5019">
          <cell r="A5019" t="str">
            <v>99-E-68143</v>
          </cell>
          <cell r="E5019" t="str">
            <v>BARNIZ DE POLIURETANO SIGLO</v>
          </cell>
        </row>
        <row r="5020">
          <cell r="A5020" t="str">
            <v>99-E-68144</v>
          </cell>
          <cell r="E5020" t="str">
            <v>BARNIZ DE POLIURETANO SIGLO</v>
          </cell>
        </row>
        <row r="5021">
          <cell r="A5021" t="str">
            <v>99-E-68251</v>
          </cell>
          <cell r="E5021" t="str">
            <v>BARNIZ DE POLIURETANO SIGLO</v>
          </cell>
        </row>
        <row r="5022">
          <cell r="A5022" t="str">
            <v>99-E-68261</v>
          </cell>
          <cell r="E5022" t="str">
            <v>LACA ACRILICA</v>
          </cell>
        </row>
        <row r="5023">
          <cell r="A5023" t="str">
            <v>99-E-68281</v>
          </cell>
          <cell r="E5023" t="str">
            <v>LACA ACRILICA</v>
          </cell>
        </row>
        <row r="5024">
          <cell r="A5024" t="str">
            <v>99-E-68311</v>
          </cell>
          <cell r="E5024" t="str">
            <v>BARNIZ DE POLIURETANO SIGLO</v>
          </cell>
        </row>
        <row r="5025">
          <cell r="A5025" t="str">
            <v>99-E-68313</v>
          </cell>
          <cell r="E5025" t="str">
            <v>BARNIZ DE POLIURETANO SIGLO</v>
          </cell>
        </row>
        <row r="5026">
          <cell r="A5026" t="str">
            <v>99-E-68314</v>
          </cell>
          <cell r="E5026" t="str">
            <v>BARNIZ DE POLIURETANO SIGLO</v>
          </cell>
        </row>
        <row r="5027">
          <cell r="A5027" t="str">
            <v>99-E-68461</v>
          </cell>
          <cell r="E5027" t="str">
            <v>LACA NITRO INDUSTRIAL</v>
          </cell>
        </row>
        <row r="5028">
          <cell r="A5028" t="str">
            <v>99-E-68590</v>
          </cell>
          <cell r="E5028" t="str">
            <v>LACA NITRO TRANSPARENTE SIGLO</v>
          </cell>
        </row>
        <row r="5029">
          <cell r="A5029" t="str">
            <v>99-E-68691</v>
          </cell>
          <cell r="E5029" t="str">
            <v>LACA NITRO INDUSTRIAL</v>
          </cell>
        </row>
        <row r="5030">
          <cell r="A5030" t="str">
            <v>99-E-68693</v>
          </cell>
          <cell r="E5030" t="str">
            <v>LACA NITRO INDUSTRIAL</v>
          </cell>
        </row>
        <row r="5031">
          <cell r="A5031" t="str">
            <v>99-E-68781</v>
          </cell>
          <cell r="E5031" t="str">
            <v>TINTAS BASE SOLVENTE P/MADERA</v>
          </cell>
        </row>
        <row r="5032">
          <cell r="A5032" t="str">
            <v>99-E-68890</v>
          </cell>
          <cell r="E5032" t="str">
            <v>SELLADORES DE NITROCELULOSA</v>
          </cell>
        </row>
        <row r="5033">
          <cell r="A5033" t="str">
            <v>99-E-69070</v>
          </cell>
          <cell r="E5033" t="str">
            <v>LACA NITRO TRANSPARENTE SIGLO</v>
          </cell>
        </row>
        <row r="5034">
          <cell r="A5034" t="str">
            <v>99-E-69071</v>
          </cell>
          <cell r="E5034" t="str">
            <v>LACA NITRO TRANSPARENTE SIGLO</v>
          </cell>
        </row>
        <row r="5035">
          <cell r="A5035" t="str">
            <v>99-E-69073</v>
          </cell>
          <cell r="E5035" t="str">
            <v>LACA NITRO TRANSPARENTE SIGLO</v>
          </cell>
        </row>
        <row r="5036">
          <cell r="A5036" t="str">
            <v>99-E-69074</v>
          </cell>
          <cell r="E5036" t="str">
            <v>LACA NITRO TRANSPARENTE SIGLO</v>
          </cell>
        </row>
        <row r="5037">
          <cell r="A5037" t="str">
            <v>99-E-69081</v>
          </cell>
          <cell r="E5037" t="str">
            <v>LACA NITRO TRANSPARENTE SIGLO</v>
          </cell>
        </row>
        <row r="5038">
          <cell r="A5038" t="str">
            <v>99-E-69083</v>
          </cell>
          <cell r="E5038" t="str">
            <v>LACA NITRO TRANSPARENTE SIGLO</v>
          </cell>
        </row>
        <row r="5039">
          <cell r="A5039" t="str">
            <v>99-E-69084</v>
          </cell>
          <cell r="E5039" t="str">
            <v>LACA NITRO TRANSPARENTE SIGLO</v>
          </cell>
        </row>
        <row r="5040">
          <cell r="A5040" t="str">
            <v>99-E-69091</v>
          </cell>
          <cell r="E5040" t="str">
            <v>LACA NITRO TRANSPARENTE SIGLO</v>
          </cell>
        </row>
        <row r="5041">
          <cell r="A5041" t="str">
            <v>99-E-69093</v>
          </cell>
          <cell r="E5041" t="str">
            <v>LACA NITRO TRANSPARENTE SIGLO</v>
          </cell>
        </row>
        <row r="5042">
          <cell r="A5042" t="str">
            <v>99-E-69161</v>
          </cell>
          <cell r="E5042" t="str">
            <v>BARNIZ DE POLIURETANO SIGLO</v>
          </cell>
        </row>
        <row r="5043">
          <cell r="A5043" t="str">
            <v>99-E-69163</v>
          </cell>
          <cell r="E5043" t="str">
            <v>BARNIZ DE POLIURETANO SIGLO</v>
          </cell>
        </row>
        <row r="5044">
          <cell r="A5044" t="str">
            <v>99-E-69164</v>
          </cell>
          <cell r="E5044" t="str">
            <v>BARNIZ DE POLIURETANO SIGLO</v>
          </cell>
        </row>
        <row r="5045">
          <cell r="A5045" t="str">
            <v>99-E-69171</v>
          </cell>
          <cell r="E5045" t="str">
            <v>BARNIZ DE POLIURETANO SIGLO</v>
          </cell>
        </row>
        <row r="5046">
          <cell r="A5046" t="str">
            <v>99-E-69291</v>
          </cell>
          <cell r="E5046" t="str">
            <v>LACA ACRILICA</v>
          </cell>
        </row>
        <row r="5047">
          <cell r="A5047" t="str">
            <v>99-E-69331</v>
          </cell>
          <cell r="E5047" t="str">
            <v>SELLADORES ACRILICOS</v>
          </cell>
        </row>
        <row r="5048">
          <cell r="A5048" t="str">
            <v>99-E-69340</v>
          </cell>
          <cell r="E5048" t="str">
            <v>LACA NITRO INDUSTRIAL</v>
          </cell>
        </row>
        <row r="5049">
          <cell r="A5049" t="str">
            <v>99-E-69341</v>
          </cell>
          <cell r="E5049" t="str">
            <v>LACA NITRO INDUSTRIAL</v>
          </cell>
        </row>
        <row r="5050">
          <cell r="A5050" t="str">
            <v>99-E-69361</v>
          </cell>
          <cell r="E5050" t="str">
            <v>FONDO DE NITROCELULOSA</v>
          </cell>
        </row>
        <row r="5051">
          <cell r="A5051" t="str">
            <v>99-E-69400</v>
          </cell>
          <cell r="E5051" t="str">
            <v>BARNIZ DE SECADO RAPIDO SIGLO</v>
          </cell>
        </row>
        <row r="5052">
          <cell r="A5052" t="str">
            <v>99-E-69401</v>
          </cell>
          <cell r="E5052" t="str">
            <v>BARNIZ DE SECADO RAPIDO SIGLO</v>
          </cell>
        </row>
        <row r="5053">
          <cell r="A5053" t="str">
            <v>99-E-69470</v>
          </cell>
          <cell r="E5053" t="str">
            <v>LACA NITRO INDUSTRIAL</v>
          </cell>
        </row>
        <row r="5054">
          <cell r="A5054" t="str">
            <v>99-E-69471</v>
          </cell>
          <cell r="E5054" t="str">
            <v>LACA NITRO INDUSTRIAL</v>
          </cell>
        </row>
        <row r="5055">
          <cell r="A5055" t="str">
            <v>99-E-69580</v>
          </cell>
          <cell r="E5055" t="str">
            <v>FONDO POLIACRILICO Y POLIESTER</v>
          </cell>
        </row>
        <row r="5056">
          <cell r="A5056" t="str">
            <v>99-E-69581</v>
          </cell>
          <cell r="E5056" t="str">
            <v>FONDO POLIACRILICO Y POLIESTER</v>
          </cell>
        </row>
        <row r="5057">
          <cell r="A5057" t="str">
            <v>99-E-69583</v>
          </cell>
          <cell r="E5057" t="str">
            <v>FONDO POLIACRILICO Y POLIESTER</v>
          </cell>
        </row>
        <row r="5058">
          <cell r="A5058" t="str">
            <v>99-E-69593</v>
          </cell>
          <cell r="E5058" t="str">
            <v>FONDO POLIACRILICO Y POLIESTER</v>
          </cell>
        </row>
        <row r="5059">
          <cell r="A5059" t="str">
            <v>99-E-69604</v>
          </cell>
          <cell r="E5059" t="str">
            <v>FONDO POLIACRILICO Y POLIESTER</v>
          </cell>
        </row>
        <row r="5060">
          <cell r="A5060" t="str">
            <v>99-E-69611</v>
          </cell>
          <cell r="E5060" t="str">
            <v>BARNIZ DE POLIURETANO SIGLO</v>
          </cell>
        </row>
        <row r="5061">
          <cell r="A5061" t="str">
            <v>99-E-69613</v>
          </cell>
          <cell r="E5061" t="str">
            <v>BARNIZ DE POLIURETANO SIGLO</v>
          </cell>
        </row>
        <row r="5062">
          <cell r="A5062" t="str">
            <v>99-E-69614</v>
          </cell>
          <cell r="E5062" t="str">
            <v>BARNIZ DE POLIURETANO SIGLO</v>
          </cell>
        </row>
        <row r="5063">
          <cell r="A5063" t="str">
            <v>99-E-69631</v>
          </cell>
          <cell r="E5063" t="str">
            <v>SOLVENTES INDUSTRIALES</v>
          </cell>
        </row>
        <row r="5064">
          <cell r="A5064" t="str">
            <v>99-E-69801</v>
          </cell>
          <cell r="E5064" t="str">
            <v>MANCHAS PARA MADERA</v>
          </cell>
        </row>
        <row r="5065">
          <cell r="A5065" t="str">
            <v>99-E-69870</v>
          </cell>
          <cell r="E5065" t="str">
            <v>LACA NITRO TRANSPARENTE SIGLO</v>
          </cell>
        </row>
        <row r="5066">
          <cell r="A5066" t="str">
            <v>99-E-69901</v>
          </cell>
          <cell r="E5066" t="str">
            <v>LACA NITRO TRANSPARENTE SIGLO</v>
          </cell>
        </row>
        <row r="5067">
          <cell r="A5067" t="str">
            <v>99-E-69981</v>
          </cell>
          <cell r="E5067" t="str">
            <v>SELLADORES DE NITROCELULOSA</v>
          </cell>
        </row>
        <row r="5068">
          <cell r="A5068" t="str">
            <v>99-E-69983</v>
          </cell>
          <cell r="E5068" t="str">
            <v>SELLADORES DE NITROCELULOSA</v>
          </cell>
        </row>
        <row r="5069">
          <cell r="A5069" t="str">
            <v>99-E-70151</v>
          </cell>
          <cell r="E5069" t="str">
            <v>TINTAS BASE SOLVENTE P/MADERA</v>
          </cell>
        </row>
        <row r="5070">
          <cell r="A5070" t="str">
            <v>99-E-70230</v>
          </cell>
          <cell r="E5070" t="str">
            <v>SELLADORES DE NITROCELULOSA</v>
          </cell>
        </row>
        <row r="5071">
          <cell r="A5071" t="str">
            <v>99-E-70331</v>
          </cell>
          <cell r="E5071" t="str">
            <v>SELLADORES DE POLIURETANO</v>
          </cell>
        </row>
        <row r="5072">
          <cell r="A5072" t="str">
            <v>99-E-70341</v>
          </cell>
          <cell r="E5072" t="str">
            <v>FONDO DE POLIURETANO</v>
          </cell>
        </row>
        <row r="5073">
          <cell r="A5073" t="str">
            <v>99-E-70400</v>
          </cell>
          <cell r="E5073" t="str">
            <v>LACA ACRILICA</v>
          </cell>
        </row>
        <row r="5074">
          <cell r="A5074" t="str">
            <v>99-E-70401</v>
          </cell>
          <cell r="E5074" t="str">
            <v>LACA ACRILICA</v>
          </cell>
        </row>
        <row r="5075">
          <cell r="A5075" t="str">
            <v>99-E-70471</v>
          </cell>
          <cell r="E5075" t="str">
            <v>TINTAS BASE SOLVENTE P/MADERA</v>
          </cell>
        </row>
        <row r="5076">
          <cell r="A5076" t="str">
            <v>99-E-71140</v>
          </cell>
          <cell r="E5076" t="str">
            <v>LACA NITRO TRANSPARENTE SIGLO</v>
          </cell>
        </row>
        <row r="5077">
          <cell r="A5077" t="str">
            <v>99-E-71151</v>
          </cell>
          <cell r="E5077" t="str">
            <v>SELLADORES DE NITROCELULOSA</v>
          </cell>
        </row>
        <row r="5078">
          <cell r="A5078" t="str">
            <v>99-E-71161</v>
          </cell>
          <cell r="E5078" t="str">
            <v>LACA NITRO TRANSPARENTE SIGLO</v>
          </cell>
        </row>
        <row r="5079">
          <cell r="A5079" t="str">
            <v>99-E-71480</v>
          </cell>
          <cell r="E5079" t="str">
            <v>FONDO DE NITROCELULOSA</v>
          </cell>
        </row>
        <row r="5080">
          <cell r="A5080" t="str">
            <v>99-E-71481</v>
          </cell>
          <cell r="E5080" t="str">
            <v>FONDO DE NITROCELULOSA</v>
          </cell>
        </row>
        <row r="5081">
          <cell r="A5081" t="str">
            <v>99-E-71483</v>
          </cell>
          <cell r="E5081" t="str">
            <v>FONDO DE NITROCELULOSA</v>
          </cell>
        </row>
        <row r="5082">
          <cell r="A5082" t="str">
            <v>99-E-71511</v>
          </cell>
          <cell r="E5082" t="str">
            <v>LACA NITRO INDUSTRIAL</v>
          </cell>
        </row>
        <row r="5083">
          <cell r="A5083" t="str">
            <v>99-E-71591</v>
          </cell>
          <cell r="E5083" t="str">
            <v>TINTAS BASE SOLVENTE P/MADERA</v>
          </cell>
        </row>
        <row r="5084">
          <cell r="A5084" t="str">
            <v>99-E-71593</v>
          </cell>
          <cell r="E5084" t="str">
            <v>TINTAS BASE SOLVENTE P/MADERA</v>
          </cell>
        </row>
        <row r="5085">
          <cell r="A5085" t="str">
            <v>99-E-71611</v>
          </cell>
          <cell r="E5085" t="str">
            <v>TINTAS BASE SOLVENTE P/MADERA</v>
          </cell>
        </row>
        <row r="5086">
          <cell r="A5086" t="str">
            <v>99-E-71613</v>
          </cell>
          <cell r="E5086" t="str">
            <v>TINTAS BASE SOLVENTE P/MADERA</v>
          </cell>
        </row>
        <row r="5087">
          <cell r="A5087" t="str">
            <v>99-E-72111</v>
          </cell>
          <cell r="E5087" t="str">
            <v>LACA NITRO TRANSPARENTE SIGLO</v>
          </cell>
        </row>
        <row r="5088">
          <cell r="A5088" t="str">
            <v>99-E-72151</v>
          </cell>
          <cell r="E5088" t="str">
            <v>PRETRATAMIENTO METALICO INDUST</v>
          </cell>
        </row>
        <row r="5089">
          <cell r="A5089" t="str">
            <v>99-E-72280</v>
          </cell>
          <cell r="E5089" t="str">
            <v>FONDO POLIACRILICO Y POLIESTER</v>
          </cell>
        </row>
        <row r="5090">
          <cell r="A5090" t="str">
            <v>99-E-72281</v>
          </cell>
          <cell r="E5090" t="str">
            <v>FONDO POLIACRILICO Y POLIESTER</v>
          </cell>
        </row>
        <row r="5091">
          <cell r="A5091" t="str">
            <v>99-E-72321</v>
          </cell>
          <cell r="E5091" t="str">
            <v>MANCHAS PARA MADERA</v>
          </cell>
        </row>
        <row r="5092">
          <cell r="A5092" t="str">
            <v>99-E-72351</v>
          </cell>
          <cell r="E5092" t="str">
            <v>FONDO DE POLIURETANO</v>
          </cell>
        </row>
        <row r="5093">
          <cell r="A5093" t="str">
            <v>99-E-72391</v>
          </cell>
          <cell r="E5093" t="str">
            <v>TAPAPOROS Y RESANES PARA MADER</v>
          </cell>
        </row>
        <row r="5094">
          <cell r="A5094" t="str">
            <v>99-E-72393</v>
          </cell>
          <cell r="E5094" t="str">
            <v>TAPAPOROS Y RESANES PARA MADER</v>
          </cell>
        </row>
        <row r="5095">
          <cell r="A5095" t="str">
            <v>99-E-72394</v>
          </cell>
          <cell r="E5095" t="str">
            <v>TAPAPOROS Y RESANES PARA MADER</v>
          </cell>
        </row>
        <row r="5096">
          <cell r="A5096" t="str">
            <v>99-E-72481</v>
          </cell>
          <cell r="E5096" t="str">
            <v>BARNIZ DE POLIURETANO SIGLO</v>
          </cell>
        </row>
        <row r="5097">
          <cell r="A5097" t="str">
            <v>99-E-72483</v>
          </cell>
          <cell r="E5097" t="str">
            <v>BARNIZ DE POLIURETANO SIGLO</v>
          </cell>
        </row>
        <row r="5098">
          <cell r="A5098" t="str">
            <v>99-E-72641</v>
          </cell>
          <cell r="E5098" t="str">
            <v>TINTAS BASE SOLVENTE P/MADERA</v>
          </cell>
        </row>
        <row r="5099">
          <cell r="A5099" t="str">
            <v>99-E-72700</v>
          </cell>
          <cell r="E5099" t="str">
            <v>LACA NITRO TRANSPARENTE SIGLO</v>
          </cell>
        </row>
        <row r="5100">
          <cell r="A5100" t="str">
            <v>99-E-72801</v>
          </cell>
          <cell r="E5100" t="str">
            <v>TINTAS BASE SOLVENTE P/MADERA</v>
          </cell>
        </row>
        <row r="5101">
          <cell r="A5101" t="str">
            <v>99-E-72831</v>
          </cell>
          <cell r="E5101" t="str">
            <v>OTROS ACABADOS INDUSTRIALES</v>
          </cell>
        </row>
        <row r="5102">
          <cell r="A5102" t="str">
            <v>99-E-72961</v>
          </cell>
          <cell r="E5102" t="str">
            <v>LACA NITRO TRANSPARENTE SIGLO</v>
          </cell>
        </row>
        <row r="5103">
          <cell r="A5103" t="str">
            <v>99-E-73051</v>
          </cell>
          <cell r="E5103" t="str">
            <v>TAPAPOROS Y RESANES PARA MADER</v>
          </cell>
        </row>
        <row r="5104">
          <cell r="A5104" t="str">
            <v>99-E-73053</v>
          </cell>
          <cell r="E5104" t="str">
            <v>TAPAPOROS Y RESANES PARA MADER</v>
          </cell>
        </row>
        <row r="5105">
          <cell r="A5105" t="str">
            <v>99-E-73054</v>
          </cell>
          <cell r="E5105" t="str">
            <v>TAPAPOROS Y RESANES PARA MADER</v>
          </cell>
        </row>
        <row r="5106">
          <cell r="A5106" t="str">
            <v>99-E-73055</v>
          </cell>
          <cell r="E5106" t="str">
            <v>TAPAPOROS Y RESANES PARA MADER</v>
          </cell>
        </row>
        <row r="5107">
          <cell r="A5107" t="str">
            <v>99-E-73063</v>
          </cell>
          <cell r="E5107" t="str">
            <v>TAPAPOROS Y RESANES PARA MADER</v>
          </cell>
        </row>
        <row r="5108">
          <cell r="A5108" t="str">
            <v>99-E-73064</v>
          </cell>
          <cell r="E5108" t="str">
            <v>TAPAPOROS Y RESANES PARA MADER</v>
          </cell>
        </row>
        <row r="5109">
          <cell r="A5109" t="str">
            <v>99-E-73065</v>
          </cell>
          <cell r="E5109" t="str">
            <v>TAPAPOROS Y RESANES PARA MADER</v>
          </cell>
        </row>
        <row r="5110">
          <cell r="A5110" t="str">
            <v>99-E-73071</v>
          </cell>
          <cell r="E5110" t="str">
            <v>TAPAPOROS Y RESANES PARA MADER</v>
          </cell>
        </row>
        <row r="5111">
          <cell r="A5111" t="str">
            <v>99-E-73073</v>
          </cell>
          <cell r="E5111" t="str">
            <v>TAPAPOROS Y RESANES PARA MADER</v>
          </cell>
        </row>
        <row r="5112">
          <cell r="A5112" t="str">
            <v>99-E-73074</v>
          </cell>
          <cell r="E5112" t="str">
            <v>TAPAPOROS Y RESANES PARA MADER</v>
          </cell>
        </row>
        <row r="5113">
          <cell r="A5113" t="str">
            <v>99-E-73075</v>
          </cell>
          <cell r="E5113" t="str">
            <v>TAPAPOROS Y RESANES PARA MADER</v>
          </cell>
        </row>
        <row r="5114">
          <cell r="A5114" t="str">
            <v>99-E-73261</v>
          </cell>
          <cell r="E5114" t="str">
            <v>BARNIZ DE POLIURETANO SIGLO</v>
          </cell>
        </row>
        <row r="5115">
          <cell r="A5115" t="str">
            <v>99-E-73281</v>
          </cell>
          <cell r="E5115" t="str">
            <v>ESMALTE ACRILICO</v>
          </cell>
        </row>
        <row r="5116">
          <cell r="A5116" t="str">
            <v>99-E-73391</v>
          </cell>
          <cell r="E5116" t="str">
            <v>SOLVENTES INDUSTRIALES</v>
          </cell>
        </row>
        <row r="5117">
          <cell r="A5117" t="str">
            <v>99-E-73411</v>
          </cell>
          <cell r="E5117" t="str">
            <v>FONDO DE POLIURETANO</v>
          </cell>
        </row>
        <row r="5118">
          <cell r="A5118" t="str">
            <v>99-E-73510</v>
          </cell>
          <cell r="E5118" t="str">
            <v>LACA NITRO TRANSPARENTE SIGLO</v>
          </cell>
        </row>
        <row r="5119">
          <cell r="A5119" t="str">
            <v>99-E-73511</v>
          </cell>
          <cell r="E5119" t="str">
            <v>LACA NITRO TRANSPARENTE SIGLO</v>
          </cell>
        </row>
        <row r="5120">
          <cell r="A5120" t="str">
            <v>99-E-73551</v>
          </cell>
          <cell r="E5120" t="str">
            <v>SELLADORES DE POLIURETANO</v>
          </cell>
        </row>
        <row r="5121">
          <cell r="A5121" t="str">
            <v>99-E-73553</v>
          </cell>
          <cell r="E5121" t="str">
            <v>SELLADORES DE POLIURETANO</v>
          </cell>
        </row>
        <row r="5122">
          <cell r="A5122" t="str">
            <v>99-E-73554</v>
          </cell>
          <cell r="E5122" t="str">
            <v>SELLADORES DE POLIURETANO</v>
          </cell>
        </row>
        <row r="5123">
          <cell r="A5123" t="str">
            <v>99-E-73621</v>
          </cell>
          <cell r="E5123" t="str">
            <v>TINTAS BASE SOLVENTE P/MADERA</v>
          </cell>
        </row>
        <row r="5124">
          <cell r="A5124" t="str">
            <v>99-E-73761</v>
          </cell>
          <cell r="E5124" t="str">
            <v>LACA ACRILICA</v>
          </cell>
        </row>
        <row r="5125">
          <cell r="A5125" t="str">
            <v>99-E-73790</v>
          </cell>
          <cell r="E5125" t="str">
            <v>BARNIZ DE SECADO RAPIDO SIGLO</v>
          </cell>
        </row>
        <row r="5126">
          <cell r="A5126" t="str">
            <v>99-E-73791</v>
          </cell>
          <cell r="E5126" t="str">
            <v>BARNIZ DE SECADO RAPIDO SIGLO</v>
          </cell>
        </row>
        <row r="5127">
          <cell r="A5127" t="str">
            <v>99-E-73841</v>
          </cell>
          <cell r="E5127" t="str">
            <v>TINTAS BASE SOLVENTE P/MADERA</v>
          </cell>
        </row>
        <row r="5128">
          <cell r="A5128" t="str">
            <v>99-E-73891</v>
          </cell>
          <cell r="E5128" t="str">
            <v>TAPAPOROS Y RESANES PARA MADER</v>
          </cell>
        </row>
        <row r="5129">
          <cell r="A5129" t="str">
            <v>99-E-73971</v>
          </cell>
          <cell r="E5129" t="str">
            <v>BARNIZ DE POLIURETANO SIGLO</v>
          </cell>
        </row>
        <row r="5130">
          <cell r="A5130" t="str">
            <v>99-E-74220</v>
          </cell>
          <cell r="E5130" t="str">
            <v>LACA NITRO INDUSTRIAL</v>
          </cell>
        </row>
        <row r="5131">
          <cell r="A5131" t="str">
            <v>99-E-74241</v>
          </cell>
          <cell r="E5131" t="str">
            <v>SOLVENTES INDUSTRIALES</v>
          </cell>
        </row>
        <row r="5132">
          <cell r="A5132" t="str">
            <v>99-E-74250</v>
          </cell>
          <cell r="E5132" t="str">
            <v>FONDO DE POLIURETANO</v>
          </cell>
        </row>
        <row r="5133">
          <cell r="A5133" t="str">
            <v>99-E-74290</v>
          </cell>
          <cell r="E5133" t="str">
            <v>LACA NITRO TRANSPARENTE SIGLO</v>
          </cell>
        </row>
        <row r="5134">
          <cell r="A5134" t="str">
            <v>99-E-74300</v>
          </cell>
          <cell r="E5134" t="str">
            <v>LACA NITRO TRANSPARENTE SIGLO</v>
          </cell>
        </row>
        <row r="5135">
          <cell r="A5135" t="str">
            <v>99-E-74321</v>
          </cell>
          <cell r="E5135" t="str">
            <v>FONDO DE NITROCELULOSA</v>
          </cell>
        </row>
        <row r="5136">
          <cell r="A5136" t="str">
            <v>99-E-74323</v>
          </cell>
          <cell r="E5136" t="str">
            <v>FONDO DE NITROCELULOSA</v>
          </cell>
        </row>
        <row r="5137">
          <cell r="A5137" t="str">
            <v>99-E-74381</v>
          </cell>
          <cell r="E5137" t="str">
            <v>TINTAS BASE SOLVENTE P/MADERA</v>
          </cell>
        </row>
        <row r="5138">
          <cell r="A5138" t="str">
            <v>99-E-74411</v>
          </cell>
          <cell r="E5138" t="str">
            <v>FONDO DE NITROCELULOSA</v>
          </cell>
        </row>
        <row r="5139">
          <cell r="A5139" t="str">
            <v>99-E-74413</v>
          </cell>
          <cell r="E5139" t="str">
            <v>FONDO DE NITROCELULOSA</v>
          </cell>
        </row>
        <row r="5140">
          <cell r="A5140" t="str">
            <v>99-E-74414</v>
          </cell>
          <cell r="E5140" t="str">
            <v>FONDO DE NITROCELULOSA</v>
          </cell>
        </row>
        <row r="5141">
          <cell r="A5141" t="str">
            <v>99-E-74420</v>
          </cell>
          <cell r="E5141" t="str">
            <v>FONDO DE NITROCELULOSA</v>
          </cell>
        </row>
        <row r="5142">
          <cell r="A5142" t="str">
            <v>99-E-74421</v>
          </cell>
          <cell r="E5142" t="str">
            <v>FONDO DE NITROCELULOSA</v>
          </cell>
        </row>
        <row r="5143">
          <cell r="A5143" t="str">
            <v>99-E-74423</v>
          </cell>
          <cell r="E5143" t="str">
            <v>FONDO DE NITROCELULOSA</v>
          </cell>
        </row>
        <row r="5144">
          <cell r="A5144" t="str">
            <v>99-E-74424</v>
          </cell>
          <cell r="E5144" t="str">
            <v>FONDO DE NITROCELULOSA</v>
          </cell>
        </row>
        <row r="5145">
          <cell r="A5145" t="str">
            <v>99-E-74451</v>
          </cell>
          <cell r="E5145" t="str">
            <v>FONDO DE NITROCELULOSA</v>
          </cell>
        </row>
        <row r="5146">
          <cell r="A5146" t="str">
            <v>99-E-74491</v>
          </cell>
          <cell r="E5146" t="str">
            <v>TAPAPOROS Y RESANES PARA MADER</v>
          </cell>
        </row>
        <row r="5147">
          <cell r="A5147" t="str">
            <v>99-E-74591</v>
          </cell>
          <cell r="E5147" t="str">
            <v>BARNIZ DE POLIURETANO SIGLO</v>
          </cell>
        </row>
        <row r="5148">
          <cell r="A5148" t="str">
            <v>99-E-74871</v>
          </cell>
          <cell r="E5148" t="str">
            <v>SELLADORES DE POLIURETANO</v>
          </cell>
        </row>
        <row r="5149">
          <cell r="A5149" t="str">
            <v>99-E-74920</v>
          </cell>
          <cell r="E5149" t="str">
            <v>LACA NITRO TRANSPARENTE SIGLO</v>
          </cell>
        </row>
        <row r="5150">
          <cell r="A5150" t="str">
            <v>99-E-74961</v>
          </cell>
          <cell r="E5150" t="str">
            <v>LACA BASE AGUA</v>
          </cell>
        </row>
        <row r="5151">
          <cell r="A5151" t="str">
            <v>99-E-75051</v>
          </cell>
          <cell r="E5151" t="str">
            <v>FONDO DE POLIURETANO</v>
          </cell>
        </row>
        <row r="5152">
          <cell r="A5152" t="str">
            <v>99-E-75121</v>
          </cell>
          <cell r="E5152" t="str">
            <v>SOLVENTES INDUSTRIALES</v>
          </cell>
        </row>
        <row r="5153">
          <cell r="A5153" t="str">
            <v>99-E-75130</v>
          </cell>
          <cell r="E5153" t="str">
            <v>LACA NITRO TRANSPARENTE SIGLO</v>
          </cell>
        </row>
        <row r="5154">
          <cell r="A5154" t="str">
            <v>99-E-75144</v>
          </cell>
          <cell r="E5154" t="str">
            <v>TINTAS BASE SOLVENTE P/MADERA</v>
          </cell>
        </row>
        <row r="5155">
          <cell r="A5155" t="str">
            <v>99-E-75154</v>
          </cell>
          <cell r="E5155" t="str">
            <v>TINTAS BASE SOLVENTE P/MADERA</v>
          </cell>
        </row>
        <row r="5156">
          <cell r="A5156" t="str">
            <v>99-E-75164</v>
          </cell>
          <cell r="E5156" t="str">
            <v>MANCHAS PARA MADERA</v>
          </cell>
        </row>
        <row r="5157">
          <cell r="A5157" t="str">
            <v>99-E-75174</v>
          </cell>
          <cell r="E5157" t="str">
            <v>MANCHAS PARA MADERA</v>
          </cell>
        </row>
        <row r="5158">
          <cell r="A5158" t="str">
            <v>99-E-75184</v>
          </cell>
          <cell r="E5158" t="str">
            <v>MANCHAS PARA MADERA</v>
          </cell>
        </row>
        <row r="5159">
          <cell r="A5159" t="str">
            <v>99-E-75191</v>
          </cell>
          <cell r="E5159" t="str">
            <v>MANCHAS PARA MADERA</v>
          </cell>
        </row>
        <row r="5160">
          <cell r="A5160" t="str">
            <v>99-E-75193</v>
          </cell>
          <cell r="E5160" t="str">
            <v>MANCHAS PARA MADERA</v>
          </cell>
        </row>
        <row r="5161">
          <cell r="A5161" t="str">
            <v>99-E-75194</v>
          </cell>
          <cell r="E5161" t="str">
            <v>MANCHAS PARA MADERA</v>
          </cell>
        </row>
        <row r="5162">
          <cell r="A5162" t="str">
            <v>99-E-75220</v>
          </cell>
          <cell r="E5162" t="str">
            <v>FONDO DE NITROCELULOSA</v>
          </cell>
        </row>
        <row r="5163">
          <cell r="A5163" t="str">
            <v>99-E-75221</v>
          </cell>
          <cell r="E5163" t="str">
            <v>FONDO DE NITROCELULOSA</v>
          </cell>
        </row>
        <row r="5164">
          <cell r="A5164" t="str">
            <v>99-E-75260</v>
          </cell>
          <cell r="E5164" t="str">
            <v>LACA NITRO TRANSPARENTE SIGLO</v>
          </cell>
        </row>
        <row r="5165">
          <cell r="A5165" t="str">
            <v>99-E-75300</v>
          </cell>
          <cell r="E5165" t="str">
            <v>LACA NITRO TRANSPARENTE SIGLO</v>
          </cell>
        </row>
        <row r="5166">
          <cell r="A5166" t="str">
            <v>99-E-75420</v>
          </cell>
          <cell r="E5166" t="str">
            <v>SELLADORES DE NITRO ECONOMICOS</v>
          </cell>
        </row>
        <row r="5167">
          <cell r="A5167" t="str">
            <v>99-E-75421</v>
          </cell>
          <cell r="E5167" t="str">
            <v>SELLADORES DE NITRO ECONOMICOS</v>
          </cell>
        </row>
        <row r="5168">
          <cell r="A5168" t="str">
            <v>99-E-75423</v>
          </cell>
          <cell r="E5168" t="str">
            <v>SELLADORES DE NITRO ECONOMICOS</v>
          </cell>
        </row>
        <row r="5169">
          <cell r="A5169" t="str">
            <v>99-E-75424</v>
          </cell>
          <cell r="E5169" t="str">
            <v>SELLADORES DE NITRO ECONOMICOS</v>
          </cell>
        </row>
        <row r="5170">
          <cell r="A5170" t="str">
            <v>99-E-75471</v>
          </cell>
          <cell r="E5170" t="str">
            <v>BARNIZ DE POLIURETANO SIGLO</v>
          </cell>
        </row>
        <row r="5171">
          <cell r="A5171" t="str">
            <v>99-E-75521</v>
          </cell>
          <cell r="E5171" t="str">
            <v>LACA NITRO INDUSTRIAL</v>
          </cell>
        </row>
        <row r="5172">
          <cell r="A5172" t="str">
            <v>99-E-75581</v>
          </cell>
          <cell r="E5172" t="str">
            <v>LACA NITRO INDUSTRIAL</v>
          </cell>
        </row>
        <row r="5173">
          <cell r="A5173" t="str">
            <v>99-E-75621</v>
          </cell>
          <cell r="E5173" t="str">
            <v>FONDO DE NITROCELULOSA</v>
          </cell>
        </row>
        <row r="5174">
          <cell r="A5174" t="str">
            <v>99-E-75661</v>
          </cell>
          <cell r="E5174" t="str">
            <v>SELLADORES DE NITROCELULOSA</v>
          </cell>
        </row>
        <row r="5175">
          <cell r="A5175" t="str">
            <v>99-E-75663</v>
          </cell>
          <cell r="E5175" t="str">
            <v>SELLADORES DE NITROCELULOSA</v>
          </cell>
        </row>
        <row r="5176">
          <cell r="A5176" t="str">
            <v>99-E-75664</v>
          </cell>
          <cell r="E5176" t="str">
            <v>SELLADORES DE NITROCELULOSA</v>
          </cell>
        </row>
        <row r="5177">
          <cell r="A5177" t="str">
            <v>99-E-75670</v>
          </cell>
          <cell r="E5177" t="str">
            <v>LACA ACRILICA</v>
          </cell>
        </row>
        <row r="5178">
          <cell r="A5178" t="str">
            <v>99-E-75690</v>
          </cell>
          <cell r="E5178" t="str">
            <v>LACA NITRO TRANSPARENTE SIGLO</v>
          </cell>
        </row>
        <row r="5179">
          <cell r="A5179" t="str">
            <v>99-E-75701</v>
          </cell>
          <cell r="E5179" t="str">
            <v>SELLADORES DE NITROCELULOSA</v>
          </cell>
        </row>
        <row r="5180">
          <cell r="A5180" t="str">
            <v>99-E-75821</v>
          </cell>
          <cell r="E5180" t="str">
            <v>FONDO DE POLIURETANO</v>
          </cell>
        </row>
        <row r="5181">
          <cell r="A5181" t="str">
            <v>99-E-75830</v>
          </cell>
          <cell r="E5181" t="str">
            <v>SELLADORES DE NITROCELULOSA</v>
          </cell>
        </row>
        <row r="5182">
          <cell r="A5182" t="str">
            <v>99-E-75831</v>
          </cell>
          <cell r="E5182" t="str">
            <v>SELLADORES DE POLIURETANO</v>
          </cell>
        </row>
        <row r="5183">
          <cell r="A5183" t="str">
            <v>99-E-75870</v>
          </cell>
          <cell r="E5183" t="str">
            <v>LACA NITRO TRANSPARENTE SIGLO</v>
          </cell>
        </row>
        <row r="5184">
          <cell r="A5184" t="str">
            <v>99-E-75871</v>
          </cell>
          <cell r="E5184" t="str">
            <v>LACA NITRO TRANSPARENTE SIGLO</v>
          </cell>
        </row>
        <row r="5185">
          <cell r="A5185" t="str">
            <v>99-E-75901</v>
          </cell>
          <cell r="E5185" t="str">
            <v>ESMALTE ACRILICO</v>
          </cell>
        </row>
        <row r="5186">
          <cell r="A5186" t="str">
            <v>99-E-75921</v>
          </cell>
          <cell r="E5186" t="str">
            <v>LACA NITRO TRANSPARENTE SIGLO</v>
          </cell>
        </row>
        <row r="5187">
          <cell r="A5187" t="str">
            <v>99-E-75923</v>
          </cell>
          <cell r="E5187" t="str">
            <v>LACA NITRO TRANSPARENTE SIGLO</v>
          </cell>
        </row>
        <row r="5188">
          <cell r="A5188" t="str">
            <v>99-E-75931</v>
          </cell>
          <cell r="E5188" t="str">
            <v>FONDO DE POLIURETANO</v>
          </cell>
        </row>
        <row r="5189">
          <cell r="A5189" t="str">
            <v>99-E-76011</v>
          </cell>
          <cell r="E5189" t="str">
            <v>BARNIZ DE POLIURETANO SIGLO</v>
          </cell>
        </row>
        <row r="5190">
          <cell r="A5190" t="str">
            <v>99-E-76021</v>
          </cell>
          <cell r="E5190" t="str">
            <v>FONDO DE POLIURETANO</v>
          </cell>
        </row>
        <row r="5191">
          <cell r="A5191" t="str">
            <v>99-E-76051</v>
          </cell>
          <cell r="E5191" t="str">
            <v>TINTAS BASE SOLVENTE P/MADERA</v>
          </cell>
        </row>
        <row r="5192">
          <cell r="A5192" t="str">
            <v>99-E-76080</v>
          </cell>
          <cell r="E5192" t="str">
            <v>TINTAS BASE SOLVENTE P/MADERA</v>
          </cell>
        </row>
        <row r="5193">
          <cell r="A5193" t="str">
            <v>99-E-76140</v>
          </cell>
          <cell r="E5193" t="str">
            <v>FONDO DE POLIURETANO</v>
          </cell>
        </row>
        <row r="5194">
          <cell r="A5194" t="str">
            <v>99-E-76141</v>
          </cell>
          <cell r="E5194" t="str">
            <v>FONDO DE POLIURETANO</v>
          </cell>
        </row>
        <row r="5195">
          <cell r="A5195" t="str">
            <v>99-E-76181</v>
          </cell>
          <cell r="E5195" t="str">
            <v>BARNIZ DE POLIURETANO SIGLO</v>
          </cell>
        </row>
        <row r="5196">
          <cell r="A5196" t="str">
            <v>99-E-76360</v>
          </cell>
          <cell r="E5196" t="str">
            <v>LACA NITRO TRANSPARENTE SIGLO</v>
          </cell>
        </row>
        <row r="5197">
          <cell r="A5197" t="str">
            <v>99-E-76400</v>
          </cell>
          <cell r="E5197" t="str">
            <v>LACA NITRO TRANSPARENTE SIGLO</v>
          </cell>
        </row>
        <row r="5198">
          <cell r="A5198" t="str">
            <v>99-E-76421</v>
          </cell>
          <cell r="E5198" t="str">
            <v>BARNIZ DE POLIURETANO SIGLO</v>
          </cell>
        </row>
        <row r="5199">
          <cell r="A5199" t="str">
            <v>99-E-80311</v>
          </cell>
          <cell r="E5199" t="str">
            <v>VINILICA - OTRAS</v>
          </cell>
        </row>
        <row r="5200">
          <cell r="A5200" t="str">
            <v>99-E-80591</v>
          </cell>
          <cell r="E5200" t="str">
            <v>VINILICA - PRISASPORT</v>
          </cell>
        </row>
        <row r="5201">
          <cell r="A5201" t="str">
            <v>99-E-80651</v>
          </cell>
          <cell r="E5201" t="str">
            <v>VINILICA - OTRAS</v>
          </cell>
        </row>
        <row r="5202">
          <cell r="A5202" t="str">
            <v>99-E-80811</v>
          </cell>
          <cell r="E5202" t="str">
            <v>VINILICA - VINIBAR</v>
          </cell>
        </row>
        <row r="5203">
          <cell r="A5203" t="str">
            <v>99-E-81481</v>
          </cell>
          <cell r="E5203" t="str">
            <v>FONDOS ARQUITECTONICOS</v>
          </cell>
        </row>
        <row r="5204">
          <cell r="A5204" t="str">
            <v>99-E-81483</v>
          </cell>
          <cell r="E5204" t="str">
            <v>FONDOS ARQUITECTONICOS</v>
          </cell>
        </row>
        <row r="5205">
          <cell r="A5205" t="str">
            <v>99-E-81901</v>
          </cell>
          <cell r="E5205" t="str">
            <v>VINILICA - PINTAVIN</v>
          </cell>
        </row>
        <row r="5206">
          <cell r="A5206" t="str">
            <v>99-E-83001</v>
          </cell>
          <cell r="E5206" t="str">
            <v>VINILICA - MAXIPRISA</v>
          </cell>
        </row>
        <row r="5207">
          <cell r="A5207" t="str">
            <v>99-E-83070</v>
          </cell>
          <cell r="E5207" t="str">
            <v>TRAFICO BASE AGUA</v>
          </cell>
        </row>
        <row r="5208">
          <cell r="A5208" t="str">
            <v>99-E-83071</v>
          </cell>
          <cell r="E5208" t="str">
            <v>TRAFICO BASE AGUA</v>
          </cell>
        </row>
        <row r="5209">
          <cell r="A5209" t="str">
            <v>99-E-83080</v>
          </cell>
          <cell r="E5209" t="str">
            <v>TRAFICO BASE AGUA</v>
          </cell>
        </row>
        <row r="5210">
          <cell r="A5210" t="str">
            <v>99-E-83081</v>
          </cell>
          <cell r="E5210" t="str">
            <v>TRAFICO BASE AGUA</v>
          </cell>
        </row>
        <row r="5211">
          <cell r="A5211" t="str">
            <v>99-E-83250</v>
          </cell>
          <cell r="E5211" t="str">
            <v>FONDOS ARQUITECTONICOS</v>
          </cell>
        </row>
        <row r="5212">
          <cell r="A5212" t="str">
            <v>99-E-83251</v>
          </cell>
          <cell r="E5212" t="str">
            <v>FONDOS ARQUITECTONICOS</v>
          </cell>
        </row>
        <row r="5213">
          <cell r="A5213" t="str">
            <v>99-E-83253</v>
          </cell>
          <cell r="E5213" t="str">
            <v>FONDOS ARQUITECTONICOS</v>
          </cell>
        </row>
        <row r="5214">
          <cell r="A5214" t="str">
            <v>99-E-83331</v>
          </cell>
          <cell r="E5214" t="str">
            <v>VINILICA - POLIPRISA</v>
          </cell>
        </row>
        <row r="5215">
          <cell r="A5215" t="str">
            <v>99-E-83341</v>
          </cell>
          <cell r="E5215" t="str">
            <v>VINILICA - POLIPRISA</v>
          </cell>
        </row>
        <row r="5216">
          <cell r="A5216" t="str">
            <v>99-E-83601</v>
          </cell>
          <cell r="E5216" t="str">
            <v>VINILICA - POLIPRISA</v>
          </cell>
        </row>
        <row r="5217">
          <cell r="A5217" t="str">
            <v>99-E-84131</v>
          </cell>
          <cell r="E5217" t="str">
            <v>VINILICA - MAXIPRISA</v>
          </cell>
        </row>
        <row r="5218">
          <cell r="A5218" t="str">
            <v>99-E-84133</v>
          </cell>
          <cell r="E5218" t="str">
            <v>VINILICA - MAXIPRISA</v>
          </cell>
        </row>
        <row r="5219">
          <cell r="A5219" t="str">
            <v>99-E-84141</v>
          </cell>
          <cell r="E5219" t="str">
            <v>VINILICA - MAXIPRISA</v>
          </cell>
        </row>
        <row r="5220">
          <cell r="A5220" t="str">
            <v>99-E-84143</v>
          </cell>
          <cell r="E5220" t="str">
            <v>VINILICA - MAXIPRISA</v>
          </cell>
        </row>
        <row r="5221">
          <cell r="A5221" t="str">
            <v>99-E-84151</v>
          </cell>
          <cell r="E5221" t="str">
            <v>VINILICA - MAXIPRISA</v>
          </cell>
        </row>
        <row r="5222">
          <cell r="A5222" t="str">
            <v>99-E-84153</v>
          </cell>
          <cell r="E5222" t="str">
            <v>VINILICA - MAXIPRISA</v>
          </cell>
        </row>
        <row r="5223">
          <cell r="A5223" t="str">
            <v>99-E-84270</v>
          </cell>
          <cell r="E5223" t="str">
            <v>SELLADOR VINILICO H-55</v>
          </cell>
        </row>
        <row r="5224">
          <cell r="A5224" t="str">
            <v>99-E-84271</v>
          </cell>
          <cell r="E5224" t="str">
            <v>SELLADOR VINILICO H-55</v>
          </cell>
        </row>
        <row r="5225">
          <cell r="A5225" t="str">
            <v>99-E-84691</v>
          </cell>
          <cell r="E5225" t="str">
            <v>VINILICA - POLIPRISA</v>
          </cell>
        </row>
        <row r="5226">
          <cell r="A5226" t="str">
            <v>99-E-84781</v>
          </cell>
          <cell r="E5226" t="str">
            <v>FONDOS ARQUITECTONICOS</v>
          </cell>
        </row>
        <row r="5227">
          <cell r="A5227" t="str">
            <v>99-E-84890</v>
          </cell>
          <cell r="E5227" t="str">
            <v>SELLADOR - VINILICO (RIVI)</v>
          </cell>
        </row>
        <row r="5228">
          <cell r="A5228" t="str">
            <v>99-E-84891</v>
          </cell>
          <cell r="E5228" t="str">
            <v>SELLADOR - VINILICO (RIVI)</v>
          </cell>
        </row>
        <row r="5229">
          <cell r="A5229" t="str">
            <v>99-E-84921</v>
          </cell>
          <cell r="E5229" t="str">
            <v>VINILICA - POLIPRISA</v>
          </cell>
        </row>
        <row r="5230">
          <cell r="A5230" t="str">
            <v>99-E-90190</v>
          </cell>
          <cell r="E5230" t="str">
            <v>PRIMARIOS ESTRUCTURALES ALQUID</v>
          </cell>
        </row>
        <row r="5231">
          <cell r="A5231" t="str">
            <v>99-E-90191</v>
          </cell>
          <cell r="E5231" t="str">
            <v>PRIMARIOS ESTRUCTURALES ALQUID</v>
          </cell>
        </row>
        <row r="5232">
          <cell r="A5232" t="str">
            <v>99-E-90193</v>
          </cell>
          <cell r="E5232" t="str">
            <v>PRIMARIOS ESTRUCTURALES ALQUID</v>
          </cell>
        </row>
        <row r="5233">
          <cell r="A5233" t="str">
            <v>99-E-90194</v>
          </cell>
          <cell r="E5233" t="str">
            <v>PRIMARIOS ESTRUCTURALES ALQUID</v>
          </cell>
        </row>
        <row r="5234">
          <cell r="A5234" t="str">
            <v>99-E-90245</v>
          </cell>
          <cell r="E5234" t="str">
            <v>PRETRATAMIENTO METALICO INDUST</v>
          </cell>
        </row>
        <row r="5235">
          <cell r="A5235" t="str">
            <v>99-E-90381</v>
          </cell>
          <cell r="E5235" t="str">
            <v>PRIMARIOS ALQUIDALICOS</v>
          </cell>
        </row>
        <row r="5236">
          <cell r="A5236" t="str">
            <v>99-E-90383</v>
          </cell>
          <cell r="E5236" t="str">
            <v>PRIMARIOS ALQUIDALICOS</v>
          </cell>
        </row>
        <row r="5237">
          <cell r="A5237" t="str">
            <v>99-E-90384</v>
          </cell>
          <cell r="E5237" t="str">
            <v>PRIMARIOS ALQUIDALICOS</v>
          </cell>
        </row>
        <row r="5238">
          <cell r="A5238" t="str">
            <v>99-E-95050</v>
          </cell>
          <cell r="E5238" t="str">
            <v>ESMALTE DE HORNEO BASE SOLVENT</v>
          </cell>
        </row>
        <row r="5239">
          <cell r="A5239" t="str">
            <v>99-E-95110</v>
          </cell>
          <cell r="E5239" t="str">
            <v>ESMALTE DE HORNEO BASE SOLVENT</v>
          </cell>
        </row>
        <row r="5240">
          <cell r="A5240" t="str">
            <v>99-E-95120</v>
          </cell>
          <cell r="E5240" t="str">
            <v>ESMALTE DE HORNEO BASE SOLVENT</v>
          </cell>
        </row>
        <row r="5241">
          <cell r="A5241" t="str">
            <v>99-E-95251</v>
          </cell>
          <cell r="E5241" t="str">
            <v>ESMALTE DE HORNEO BASE SOLVENT</v>
          </cell>
        </row>
        <row r="5242">
          <cell r="A5242" t="str">
            <v>99-E-95270</v>
          </cell>
          <cell r="E5242" t="str">
            <v>PRIMARIOS ESTRUCTURALES ALQUID</v>
          </cell>
        </row>
        <row r="5243">
          <cell r="A5243" t="str">
            <v>99-E-95391</v>
          </cell>
          <cell r="E5243" t="str">
            <v>PRIMARIOS ESTRUCTURALES ALQUID</v>
          </cell>
        </row>
        <row r="5244">
          <cell r="A5244" t="str">
            <v>99-E-95874</v>
          </cell>
          <cell r="E5244" t="str">
            <v>PRIMARIOS ESTRUCTURALES ALQUID</v>
          </cell>
        </row>
        <row r="5245">
          <cell r="A5245" t="str">
            <v>99-E-96120</v>
          </cell>
          <cell r="E5245" t="str">
            <v>ESM SECADO RAPIDO BASE SOLVENT</v>
          </cell>
        </row>
        <row r="5246">
          <cell r="A5246" t="str">
            <v>99-E-96140</v>
          </cell>
          <cell r="E5246" t="str">
            <v>ESM SECADO RAPIDO BASE SOLVENT</v>
          </cell>
        </row>
        <row r="5247">
          <cell r="A5247" t="str">
            <v>99-E-96180</v>
          </cell>
          <cell r="E5247" t="str">
            <v>PRIMARIOS ESTRUCTURALES ALQUID</v>
          </cell>
        </row>
        <row r="5248">
          <cell r="A5248" t="str">
            <v>99-E-96181</v>
          </cell>
          <cell r="E5248" t="str">
            <v>PRIMARIOS ESTRUCTURALES ALQUID</v>
          </cell>
        </row>
        <row r="5249">
          <cell r="A5249" t="str">
            <v>99-E-96183</v>
          </cell>
          <cell r="E5249" t="str">
            <v>PRIMARIOS ESTRUCTURALES ALQUID</v>
          </cell>
        </row>
        <row r="5250">
          <cell r="A5250" t="str">
            <v>99-E-96184</v>
          </cell>
          <cell r="E5250" t="str">
            <v>PRIMARIOS ESTRUCTURALES ALQUID</v>
          </cell>
        </row>
        <row r="5251">
          <cell r="A5251" t="str">
            <v>99-E-96220</v>
          </cell>
          <cell r="E5251" t="str">
            <v>ESM SECADO RAPIDO BASE SOLVENT</v>
          </cell>
        </row>
        <row r="5252">
          <cell r="A5252" t="str">
            <v>99-E-96221</v>
          </cell>
          <cell r="E5252" t="str">
            <v>ESM SECADO RAPIDO BASE SOLVENT</v>
          </cell>
        </row>
        <row r="5253">
          <cell r="A5253" t="str">
            <v>99-E-96223</v>
          </cell>
          <cell r="E5253" t="str">
            <v>ESM SECADO RAPIDO BASE SOLVENT</v>
          </cell>
        </row>
        <row r="5254">
          <cell r="A5254" t="str">
            <v>99-E-96350</v>
          </cell>
          <cell r="E5254" t="str">
            <v>ESMALTE DE HORNEO BASE SOLVENT</v>
          </cell>
        </row>
        <row r="5255">
          <cell r="A5255" t="str">
            <v>99-E-96470</v>
          </cell>
          <cell r="E5255" t="str">
            <v>ESM SECADO RAPIDO BASE SOLVENT</v>
          </cell>
        </row>
        <row r="5256">
          <cell r="A5256" t="str">
            <v>99-E-96471</v>
          </cell>
          <cell r="E5256" t="str">
            <v>ESM SECADO RAPIDO BASE SOLVENT</v>
          </cell>
        </row>
        <row r="5257">
          <cell r="A5257" t="str">
            <v>99-E-96650</v>
          </cell>
          <cell r="E5257" t="str">
            <v>PRIMARIOS ESTRUCTURALES ALQUID</v>
          </cell>
        </row>
        <row r="5258">
          <cell r="A5258" t="str">
            <v>99-E-96880</v>
          </cell>
          <cell r="E5258" t="str">
            <v>ESMALTE DE HORNEO BASE SOLVENT</v>
          </cell>
        </row>
        <row r="5259">
          <cell r="A5259" t="str">
            <v>99-E-9709TB</v>
          </cell>
          <cell r="E5259" t="str">
            <v>ESM SECADO RAPIDO BASE SOLVENT</v>
          </cell>
        </row>
        <row r="5260">
          <cell r="A5260" t="str">
            <v>99-E-97131</v>
          </cell>
          <cell r="E5260" t="str">
            <v>ESM SECADO RAPIDO BASE AGUA</v>
          </cell>
        </row>
        <row r="5261">
          <cell r="A5261" t="str">
            <v>99-E-97210</v>
          </cell>
          <cell r="E5261" t="str">
            <v>ESMALTE DE HORNEO BASE SOLVENT</v>
          </cell>
        </row>
        <row r="5262">
          <cell r="A5262" t="str">
            <v>99-E-97421</v>
          </cell>
          <cell r="E5262" t="str">
            <v>ACABADO MARTILLADO  SR</v>
          </cell>
        </row>
        <row r="5263">
          <cell r="A5263" t="str">
            <v>99-E-97451</v>
          </cell>
          <cell r="E5263" t="str">
            <v>PRIMARIOS ESTRUCTURALES ALQUID</v>
          </cell>
        </row>
        <row r="5264">
          <cell r="A5264" t="str">
            <v>99-E-97480</v>
          </cell>
          <cell r="E5264" t="str">
            <v>ESMALTE DE HORNEO BASE SOLVENT</v>
          </cell>
        </row>
        <row r="5265">
          <cell r="A5265" t="str">
            <v>99-E-97633</v>
          </cell>
          <cell r="E5265" t="str">
            <v>ESM SECADO RAPIDO BASE SOLVENT</v>
          </cell>
        </row>
        <row r="5266">
          <cell r="A5266" t="str">
            <v>99-E-97753</v>
          </cell>
          <cell r="E5266" t="str">
            <v>PRETRATAMIENTO METALICO INDUST</v>
          </cell>
        </row>
        <row r="5267">
          <cell r="A5267" t="str">
            <v>99-E-97880</v>
          </cell>
          <cell r="E5267" t="str">
            <v>ESMALTE DE HORNEO BASE SOLVENT</v>
          </cell>
        </row>
        <row r="5268">
          <cell r="A5268" t="str">
            <v>99-E-98010</v>
          </cell>
          <cell r="E5268" t="str">
            <v>ESMALTE DE HORNEO BASE SOLVENT</v>
          </cell>
        </row>
        <row r="5269">
          <cell r="A5269" t="str">
            <v>99-E-98080</v>
          </cell>
          <cell r="E5269" t="str">
            <v>ESMALTE DE HORNEO BASE SOLVENT</v>
          </cell>
        </row>
        <row r="5270">
          <cell r="A5270" t="str">
            <v>99-E-98421</v>
          </cell>
          <cell r="E5270" t="str">
            <v>ESM SECADO RAPIDO BASE SOLVENT</v>
          </cell>
        </row>
        <row r="5271">
          <cell r="A5271" t="str">
            <v>99-E-98430</v>
          </cell>
          <cell r="E5271" t="str">
            <v>ESM SECADO RAPIDO BASE SOLVENT</v>
          </cell>
        </row>
        <row r="5272">
          <cell r="A5272" t="str">
            <v>99-E-98650</v>
          </cell>
          <cell r="E5272" t="str">
            <v>ESMALTE DE HORNEO BASE SOLVENT</v>
          </cell>
        </row>
        <row r="5273">
          <cell r="A5273" t="str">
            <v>99-E-98670</v>
          </cell>
          <cell r="E5273" t="str">
            <v>ESMALTE DE HORNEO BASE SOLVENT</v>
          </cell>
        </row>
        <row r="5274">
          <cell r="A5274" t="str">
            <v>99-E-98781</v>
          </cell>
          <cell r="E5274" t="str">
            <v>ESM SECADO RAPIDO BASE SOLVENT</v>
          </cell>
        </row>
        <row r="5275">
          <cell r="A5275" t="str">
            <v>99-E-98940</v>
          </cell>
          <cell r="E5275" t="str">
            <v>ESMALTE DE HORNEO BASE SOLVENT</v>
          </cell>
        </row>
        <row r="5276">
          <cell r="A5276" t="str">
            <v>99-E-99230</v>
          </cell>
          <cell r="E5276" t="str">
            <v>ESMALTE DE HORNEO BASE SOLVENT</v>
          </cell>
        </row>
        <row r="5277">
          <cell r="A5277" t="str">
            <v>99-E-99241</v>
          </cell>
          <cell r="E5277" t="str">
            <v>ESM SECADO RAPIDO BASE SOLVENT</v>
          </cell>
        </row>
        <row r="5278">
          <cell r="A5278" t="str">
            <v>99-E-99243</v>
          </cell>
          <cell r="E5278" t="str">
            <v>ESM SECADO RAPIDO BASE SOLVENT</v>
          </cell>
        </row>
        <row r="5279">
          <cell r="A5279" t="str">
            <v>99-E-99244</v>
          </cell>
          <cell r="E5279" t="str">
            <v>ESM SECADO RAPIDO BASE SOLVENT</v>
          </cell>
        </row>
        <row r="5280">
          <cell r="A5280" t="str">
            <v>99-E-99250</v>
          </cell>
          <cell r="E5280" t="str">
            <v>ESMALTE DE HORNEO BASE SOLVENT</v>
          </cell>
        </row>
        <row r="5281">
          <cell r="A5281" t="str">
            <v>99-E-99330</v>
          </cell>
          <cell r="E5281" t="str">
            <v>OTROS ACABADOS INDUSTRIALES</v>
          </cell>
        </row>
        <row r="5282">
          <cell r="A5282" t="str">
            <v>99-E-99331</v>
          </cell>
          <cell r="E5282" t="str">
            <v>OTROS ACABADOS INDUSTRIALES</v>
          </cell>
        </row>
        <row r="5283">
          <cell r="A5283" t="str">
            <v>99-E-99370</v>
          </cell>
          <cell r="E5283" t="str">
            <v>ESM SECADO RAPIDO BASE SOLVENT</v>
          </cell>
        </row>
        <row r="5284">
          <cell r="A5284" t="str">
            <v>99-E-99390</v>
          </cell>
          <cell r="E5284" t="str">
            <v>ESMALTE DE HORNEO BASE SOLVENT</v>
          </cell>
        </row>
        <row r="5285">
          <cell r="A5285" t="str">
            <v>99-ES-00021</v>
          </cell>
          <cell r="E5285" t="str">
            <v>ESMALTE DE HORNEO BASE SOLVENT</v>
          </cell>
        </row>
        <row r="5286">
          <cell r="A5286" t="str">
            <v>99-ES-00031</v>
          </cell>
          <cell r="E5286" t="str">
            <v>ESM SECADO RAPIDO BASE SOLVENT</v>
          </cell>
        </row>
        <row r="5287">
          <cell r="A5287" t="str">
            <v>99-ES-00033</v>
          </cell>
          <cell r="E5287" t="str">
            <v>ESM SECADO RAPIDO BASE SOLVENT</v>
          </cell>
        </row>
        <row r="5288">
          <cell r="A5288" t="str">
            <v>99-ES-00141</v>
          </cell>
          <cell r="E5288" t="str">
            <v>ESM SECADO RAPIDO BASE SOLVENT</v>
          </cell>
        </row>
        <row r="5289">
          <cell r="A5289" t="str">
            <v>99-ES-00200</v>
          </cell>
          <cell r="E5289" t="str">
            <v>ESMALTE DE HORNEO BASE SOLVENT</v>
          </cell>
        </row>
        <row r="5290">
          <cell r="A5290" t="str">
            <v>99-ES-00210</v>
          </cell>
          <cell r="E5290" t="str">
            <v>ESMALTE DE HORNEO BASE SOLVENT</v>
          </cell>
        </row>
        <row r="5291">
          <cell r="A5291" t="str">
            <v>99-ES-00221</v>
          </cell>
          <cell r="E5291" t="str">
            <v>ESM SECADO RAPIDO BASE SOLVENT</v>
          </cell>
        </row>
        <row r="5292">
          <cell r="A5292" t="str">
            <v>99-ES-00320</v>
          </cell>
          <cell r="E5292" t="str">
            <v>ESMALTE DE HORNEO BASE SOLVENT</v>
          </cell>
        </row>
        <row r="5293">
          <cell r="A5293" t="str">
            <v>99-ES-00321</v>
          </cell>
          <cell r="E5293" t="str">
            <v>ESMALTE DE HORNEO BASE SOLVENT</v>
          </cell>
        </row>
        <row r="5294">
          <cell r="A5294" t="str">
            <v>99-ES-00341</v>
          </cell>
          <cell r="E5294" t="str">
            <v>ESMALTE DE HORNEO BASE SOLVENT</v>
          </cell>
        </row>
        <row r="5295">
          <cell r="A5295" t="str">
            <v>99-ES-00361</v>
          </cell>
          <cell r="E5295" t="str">
            <v>ESM SECADO RAPIDO BASE SOLVENT</v>
          </cell>
        </row>
        <row r="5296">
          <cell r="A5296" t="str">
            <v>99-ES-00380</v>
          </cell>
          <cell r="E5296" t="str">
            <v>ESMALTE DE HORNEO BASE SOLVENT</v>
          </cell>
        </row>
        <row r="5297">
          <cell r="A5297" t="str">
            <v>99-ES-00410</v>
          </cell>
          <cell r="E5297" t="str">
            <v>ESMALTE DE HORNEO BASE SOLVENT</v>
          </cell>
        </row>
        <row r="5298">
          <cell r="A5298" t="str">
            <v>99-ES-00590</v>
          </cell>
          <cell r="E5298" t="str">
            <v>ESMALTE DE HORNEO BASE SOLVENT</v>
          </cell>
        </row>
        <row r="5299">
          <cell r="A5299" t="str">
            <v>99-ES-00600</v>
          </cell>
          <cell r="E5299" t="str">
            <v>ESMALTE DE HORNEO BASE SOLVENT</v>
          </cell>
        </row>
        <row r="5300">
          <cell r="A5300" t="str">
            <v>99-ES-00670</v>
          </cell>
          <cell r="E5300" t="str">
            <v>ESMALTE DE HORNEO BASE SOLVENT</v>
          </cell>
        </row>
        <row r="5301">
          <cell r="A5301" t="str">
            <v>99-ES-00780</v>
          </cell>
          <cell r="E5301" t="str">
            <v>ESMALTE DE HORNEO BASE SOLVENT</v>
          </cell>
        </row>
        <row r="5302">
          <cell r="A5302" t="str">
            <v>99-ES-00804</v>
          </cell>
          <cell r="E5302" t="str">
            <v>PRIMARIOS ESTRUCTURALES ALQUID</v>
          </cell>
        </row>
        <row r="5303">
          <cell r="A5303" t="str">
            <v>99-ES-00830</v>
          </cell>
          <cell r="E5303" t="str">
            <v>ACABADO MARTILLADO  SR</v>
          </cell>
        </row>
        <row r="5304">
          <cell r="A5304" t="str">
            <v>99-ES-00831</v>
          </cell>
          <cell r="E5304" t="str">
            <v>ACABADO MARTILLADO  SR</v>
          </cell>
        </row>
        <row r="5305">
          <cell r="A5305" t="str">
            <v>99-ES-00840</v>
          </cell>
          <cell r="E5305" t="str">
            <v>ACABADO MARTILLADO  SR</v>
          </cell>
        </row>
        <row r="5306">
          <cell r="A5306" t="str">
            <v>99-ES-00920</v>
          </cell>
          <cell r="E5306" t="str">
            <v>ESMALTE DE HORNEO BASE SOLVENT</v>
          </cell>
        </row>
        <row r="5307">
          <cell r="A5307" t="str">
            <v>99-ES-00950</v>
          </cell>
          <cell r="E5307" t="str">
            <v>ESMALTE DE HORNEO BASE SOLVENT</v>
          </cell>
        </row>
        <row r="5308">
          <cell r="A5308" t="str">
            <v>99-ES-01030</v>
          </cell>
          <cell r="E5308" t="str">
            <v>ESMALTE DE HORNEO BASE SOLVENT</v>
          </cell>
        </row>
        <row r="5309">
          <cell r="A5309" t="str">
            <v>99-ES-01050</v>
          </cell>
          <cell r="E5309" t="str">
            <v>ESMALTE DE HORNEO BASE SOLVENT</v>
          </cell>
        </row>
        <row r="5310">
          <cell r="A5310" t="str">
            <v>99-ES-01070</v>
          </cell>
          <cell r="E5310" t="str">
            <v>ESM SECADO RAPIDO BASE SOLVENT</v>
          </cell>
        </row>
        <row r="5311">
          <cell r="A5311" t="str">
            <v>99-ES-01103</v>
          </cell>
          <cell r="E5311" t="str">
            <v>ESM SECADO RAPIDO BASE SOLVENT</v>
          </cell>
        </row>
        <row r="5312">
          <cell r="A5312" t="str">
            <v>99-ES-01104</v>
          </cell>
          <cell r="E5312" t="str">
            <v>ESM SECADO RAPIDO BASE SOLVENT</v>
          </cell>
        </row>
        <row r="5313">
          <cell r="A5313" t="str">
            <v>99-ES-01173</v>
          </cell>
          <cell r="E5313" t="str">
            <v>OTROS ACABADOS INDUSTRIALES</v>
          </cell>
        </row>
        <row r="5314">
          <cell r="A5314" t="str">
            <v>99-ES-01181</v>
          </cell>
          <cell r="E5314" t="str">
            <v>ESM SECADO RAPIDO BASE SOLVENT</v>
          </cell>
        </row>
        <row r="5315">
          <cell r="A5315" t="str">
            <v>99-ES-01210</v>
          </cell>
          <cell r="E5315" t="str">
            <v>ESMALTE DE HORNEO BASE SOLVENT</v>
          </cell>
        </row>
        <row r="5316">
          <cell r="A5316" t="str">
            <v>99-ES-01280</v>
          </cell>
          <cell r="E5316" t="str">
            <v>ACABADOS ALQUIDALICOS</v>
          </cell>
        </row>
        <row r="5317">
          <cell r="A5317" t="str">
            <v>99-ES-01281</v>
          </cell>
          <cell r="E5317" t="str">
            <v>ACABADOS ALQUIDALICOS</v>
          </cell>
        </row>
        <row r="5318">
          <cell r="A5318" t="str">
            <v>99-ES-01283</v>
          </cell>
          <cell r="E5318" t="str">
            <v>ACABADOS ALQUIDALICOS</v>
          </cell>
        </row>
        <row r="5319">
          <cell r="A5319" t="str">
            <v>99-ES-01410</v>
          </cell>
          <cell r="E5319" t="str">
            <v>ESMALTE DE HORNEO BASE SOLVENT</v>
          </cell>
        </row>
        <row r="5320">
          <cell r="A5320" t="str">
            <v>99-ES-01470</v>
          </cell>
          <cell r="E5320" t="str">
            <v>PINTURA PARA TRAFICO</v>
          </cell>
        </row>
        <row r="5321">
          <cell r="A5321" t="str">
            <v>99-ES-01471</v>
          </cell>
          <cell r="E5321" t="str">
            <v>PINTURA PARA TRAFICO</v>
          </cell>
        </row>
        <row r="5322">
          <cell r="A5322" t="str">
            <v>99-ES-01500</v>
          </cell>
          <cell r="E5322" t="str">
            <v>PINTURA PARA TRAFICO</v>
          </cell>
        </row>
        <row r="5323">
          <cell r="A5323" t="str">
            <v>99-ES-01501</v>
          </cell>
          <cell r="E5323" t="str">
            <v>PINTURA PARA TRAFICO</v>
          </cell>
        </row>
        <row r="5324">
          <cell r="A5324" t="str">
            <v>99-ES-01551</v>
          </cell>
          <cell r="E5324" t="str">
            <v>PRIMARIOS ESTRUCTURALES ALQUID</v>
          </cell>
        </row>
        <row r="5325">
          <cell r="A5325" t="str">
            <v>99-ES-01583</v>
          </cell>
          <cell r="E5325" t="str">
            <v>ESM SECADO RAPIDO BASE SOLVENT</v>
          </cell>
        </row>
        <row r="5326">
          <cell r="A5326" t="str">
            <v>99-ES-01601</v>
          </cell>
          <cell r="E5326" t="str">
            <v>ESM SECADO RAPIDO BASE SOLVENT</v>
          </cell>
        </row>
        <row r="5327">
          <cell r="A5327" t="str">
            <v>99-ES-01740</v>
          </cell>
          <cell r="E5327" t="str">
            <v>ESMALTE DE HORNEO BASE SOLVENT</v>
          </cell>
        </row>
        <row r="5328">
          <cell r="A5328" t="str">
            <v>99-ES-01891</v>
          </cell>
          <cell r="E5328" t="str">
            <v>ESM SECADO RAPIDO BASE SOLVENT</v>
          </cell>
        </row>
        <row r="5329">
          <cell r="A5329" t="str">
            <v>99-ES-01931</v>
          </cell>
          <cell r="E5329" t="str">
            <v>PINTURA PARA TRAFICO</v>
          </cell>
        </row>
        <row r="5330">
          <cell r="A5330" t="str">
            <v>99-ES-01970</v>
          </cell>
          <cell r="E5330" t="str">
            <v>ACABADOS ALQUIDALICOS</v>
          </cell>
        </row>
        <row r="5331">
          <cell r="A5331" t="str">
            <v>99-ES-02010</v>
          </cell>
          <cell r="E5331" t="str">
            <v>PRIMARIOS ESTRUCTURALES ALQUID</v>
          </cell>
        </row>
        <row r="5332">
          <cell r="A5332" t="str">
            <v>99-ES-02011</v>
          </cell>
          <cell r="E5332" t="str">
            <v>PRIMARIOS ESTRUCTURALES ALQUID</v>
          </cell>
        </row>
        <row r="5333">
          <cell r="A5333" t="str">
            <v>99-ES-02040</v>
          </cell>
          <cell r="E5333" t="str">
            <v>PRIMARIOS ESTRUCTURALES ALQUID</v>
          </cell>
        </row>
        <row r="5334">
          <cell r="A5334" t="str">
            <v>99-ES-02041</v>
          </cell>
          <cell r="E5334" t="str">
            <v>PRIMARIOS ESTRUCTURALES ALQUID</v>
          </cell>
        </row>
        <row r="5335">
          <cell r="A5335" t="str">
            <v>99-ES-02043</v>
          </cell>
          <cell r="E5335" t="str">
            <v>PRIMARIOS ESTRUCTURALES ALQUID</v>
          </cell>
        </row>
        <row r="5336">
          <cell r="A5336" t="str">
            <v>99-ES-02060</v>
          </cell>
          <cell r="E5336" t="str">
            <v>ESMALTE DE HORNEO BASE SOLVENT</v>
          </cell>
        </row>
        <row r="5337">
          <cell r="A5337" t="str">
            <v>99-ES-02080</v>
          </cell>
          <cell r="E5337" t="str">
            <v>ESMALTE DE HORNEO BASE SOLVENT</v>
          </cell>
        </row>
        <row r="5338">
          <cell r="A5338" t="str">
            <v>99-ES-02110</v>
          </cell>
          <cell r="E5338" t="str">
            <v>ESMALTE DE HORNEO BASE SOLVENT</v>
          </cell>
        </row>
        <row r="5339">
          <cell r="A5339" t="str">
            <v>99-ES-02140</v>
          </cell>
          <cell r="E5339" t="str">
            <v>PRIMARIOS ESTRUCTURALES ALQUID</v>
          </cell>
        </row>
        <row r="5340">
          <cell r="A5340" t="str">
            <v>99-ES-02160</v>
          </cell>
          <cell r="E5340" t="str">
            <v>ESMALTE DE HORNEO BASE SOLVENT</v>
          </cell>
        </row>
        <row r="5341">
          <cell r="A5341" t="str">
            <v>99-ES-02201</v>
          </cell>
          <cell r="E5341" t="str">
            <v>ESMALTE DE HORNEO BASE SOLVENT</v>
          </cell>
        </row>
        <row r="5342">
          <cell r="A5342" t="str">
            <v>99-ES-02251</v>
          </cell>
          <cell r="E5342" t="str">
            <v>ACABADOS ALQUIDALICOS AF</v>
          </cell>
        </row>
        <row r="5343">
          <cell r="A5343" t="str">
            <v>99-ES-02260</v>
          </cell>
          <cell r="E5343" t="str">
            <v>ESMALTE DE HORNEO BASE SOLVENT</v>
          </cell>
        </row>
        <row r="5344">
          <cell r="A5344" t="str">
            <v>99-ES-02331</v>
          </cell>
          <cell r="E5344" t="str">
            <v>ESM SECADO RAPIDO BASE SOLVENT</v>
          </cell>
        </row>
        <row r="5345">
          <cell r="A5345" t="str">
            <v>99-ES-02441</v>
          </cell>
          <cell r="E5345" t="str">
            <v>ESM SECADO RAPIDO BASE SOLVENT</v>
          </cell>
        </row>
        <row r="5346">
          <cell r="A5346" t="str">
            <v>99-ES-02450</v>
          </cell>
          <cell r="E5346" t="str">
            <v>ACABADO MARTILLADO  SR</v>
          </cell>
        </row>
        <row r="5347">
          <cell r="A5347" t="str">
            <v>99-ES-02481</v>
          </cell>
          <cell r="E5347" t="str">
            <v>ESMALTE DE HORNEO BASE SOLVENT</v>
          </cell>
        </row>
        <row r="5348">
          <cell r="A5348" t="str">
            <v>99-ES-02490</v>
          </cell>
          <cell r="E5348" t="str">
            <v>ESMALTE DE HORNEO BASE SOLVENT</v>
          </cell>
        </row>
        <row r="5349">
          <cell r="A5349" t="str">
            <v>99-ES-02531</v>
          </cell>
          <cell r="E5349" t="str">
            <v>PINTURA PARA TRAFICO</v>
          </cell>
        </row>
        <row r="5350">
          <cell r="A5350" t="str">
            <v>99-ES-02631</v>
          </cell>
          <cell r="E5350" t="str">
            <v>ESM SECADO RAPIDO BASE SOLVENT</v>
          </cell>
        </row>
        <row r="5351">
          <cell r="A5351" t="str">
            <v>99-ES-02850</v>
          </cell>
          <cell r="E5351" t="str">
            <v>ESMALTE DE HORNEO BASE SOLVENT</v>
          </cell>
        </row>
        <row r="5352">
          <cell r="A5352" t="str">
            <v>99-ES-02870</v>
          </cell>
          <cell r="E5352" t="str">
            <v>ESMALTE DE HORNEO BASE SOLVENT</v>
          </cell>
        </row>
        <row r="5353">
          <cell r="A5353" t="str">
            <v>99-ES-02950</v>
          </cell>
          <cell r="E5353" t="str">
            <v>ESMALTE DE HORNEO BASE SOLVENT</v>
          </cell>
        </row>
        <row r="5354">
          <cell r="A5354" t="str">
            <v>99-ES-02970</v>
          </cell>
          <cell r="E5354" t="str">
            <v>OTROS ACABADOS INDUSTRIALES</v>
          </cell>
        </row>
        <row r="5355">
          <cell r="A5355" t="str">
            <v>99-ES-03040</v>
          </cell>
          <cell r="E5355" t="str">
            <v>ESMALTE DE HORNEO BASE SOLVENT</v>
          </cell>
        </row>
        <row r="5356">
          <cell r="A5356" t="str">
            <v>99-ES-03081</v>
          </cell>
          <cell r="E5356" t="str">
            <v>PRIMARIOS ESTRUCTURALES ALQUID</v>
          </cell>
        </row>
        <row r="5357">
          <cell r="A5357" t="str">
            <v>99-ES-03090</v>
          </cell>
          <cell r="E5357" t="str">
            <v>PRIMARIOS ESTRUCTURALES ALQUID</v>
          </cell>
        </row>
        <row r="5358">
          <cell r="A5358" t="str">
            <v>99-ES-03120</v>
          </cell>
          <cell r="E5358" t="str">
            <v>PRIMARIOS ESTRUCTURALES ALQUID</v>
          </cell>
        </row>
        <row r="5359">
          <cell r="A5359" t="str">
            <v>99-ES-03200</v>
          </cell>
          <cell r="E5359" t="str">
            <v>ESM SECADO RAPIDO BASE SOLVENT</v>
          </cell>
        </row>
        <row r="5360">
          <cell r="A5360" t="str">
            <v>99-ES-03250</v>
          </cell>
          <cell r="E5360" t="str">
            <v>PRIMARIOS ESTRUCTURALES ALQUID</v>
          </cell>
        </row>
        <row r="5361">
          <cell r="A5361" t="str">
            <v>99-ES-03300</v>
          </cell>
          <cell r="E5361" t="str">
            <v>ESMALTE DE HORNEO BASE SOLVENT</v>
          </cell>
        </row>
        <row r="5362">
          <cell r="A5362" t="str">
            <v>99-ES-03330</v>
          </cell>
          <cell r="E5362" t="str">
            <v>ESM SECADO RAPIDO BASE SOLVENT</v>
          </cell>
        </row>
        <row r="5363">
          <cell r="A5363" t="str">
            <v>99-ES-0338TB</v>
          </cell>
          <cell r="E5363" t="str">
            <v>PRIMARIOS ESTRUCTURALES ALQUID</v>
          </cell>
        </row>
        <row r="5364">
          <cell r="A5364" t="str">
            <v>99-ES-03440</v>
          </cell>
          <cell r="E5364" t="str">
            <v>ESMALTE DE HORNEO BASE SOLVENT</v>
          </cell>
        </row>
        <row r="5365">
          <cell r="A5365" t="str">
            <v>99-ES-03450</v>
          </cell>
          <cell r="E5365" t="str">
            <v>ESMALTE DE HORNEO BASE SOLVENT</v>
          </cell>
        </row>
        <row r="5366">
          <cell r="A5366" t="str">
            <v>99-ES-03460</v>
          </cell>
          <cell r="E5366" t="str">
            <v>ESMALTE DE HORNEO BASE SOLVENT</v>
          </cell>
        </row>
        <row r="5367">
          <cell r="A5367" t="str">
            <v>99-ES-03490</v>
          </cell>
          <cell r="E5367" t="str">
            <v>ESMALTE DE HORNEO BASE SOLVENT</v>
          </cell>
        </row>
        <row r="5368">
          <cell r="A5368" t="str">
            <v>99-ES-03500</v>
          </cell>
          <cell r="E5368" t="str">
            <v>ESMALTE DE HORNEO BASE SOLVENT</v>
          </cell>
        </row>
        <row r="5369">
          <cell r="A5369" t="str">
            <v>99-ES-03510</v>
          </cell>
          <cell r="E5369" t="str">
            <v>ESMALTE DE HORNEO BASE SOLVENT</v>
          </cell>
        </row>
        <row r="5370">
          <cell r="A5370" t="str">
            <v>99-ES-03733</v>
          </cell>
          <cell r="E5370" t="str">
            <v>OTROS ACABADOS INDUSTRIALES</v>
          </cell>
        </row>
        <row r="5371">
          <cell r="A5371" t="str">
            <v>99-ES-03771</v>
          </cell>
          <cell r="E5371" t="str">
            <v>OTROS ACABADOS INDUSTRIALES</v>
          </cell>
        </row>
        <row r="5372">
          <cell r="A5372" t="str">
            <v>99-ES-03781</v>
          </cell>
          <cell r="E5372" t="str">
            <v>ACABADOS ALQUIDALICOS AF</v>
          </cell>
        </row>
        <row r="5373">
          <cell r="A5373" t="str">
            <v>99-ES-03800</v>
          </cell>
          <cell r="E5373" t="str">
            <v>ESMALTE DE HORNEO BASE SOLVENT</v>
          </cell>
        </row>
        <row r="5374">
          <cell r="A5374" t="str">
            <v>99-ES-03810</v>
          </cell>
          <cell r="E5374" t="str">
            <v>ESMALTE DE HORNEO BASE SOLVENT</v>
          </cell>
        </row>
        <row r="5375">
          <cell r="A5375" t="str">
            <v>99-ES-03883</v>
          </cell>
          <cell r="E5375" t="str">
            <v>OTROS ACABADOS INDUSTRIALES</v>
          </cell>
        </row>
        <row r="5376">
          <cell r="A5376" t="str">
            <v>99-ES-03890</v>
          </cell>
          <cell r="E5376" t="str">
            <v>ESMALTE DE HORNEO BASE SOLVENT</v>
          </cell>
        </row>
        <row r="5377">
          <cell r="A5377" t="str">
            <v>99-ES-03900</v>
          </cell>
          <cell r="E5377" t="str">
            <v>ESMALTE DE HORNEO BASE SOLVENT</v>
          </cell>
        </row>
        <row r="5378">
          <cell r="A5378" t="str">
            <v>99-ES-03910</v>
          </cell>
          <cell r="E5378" t="str">
            <v>ESM SECADO RAPIDO BASE SOLVENT</v>
          </cell>
        </row>
        <row r="5379">
          <cell r="A5379" t="str">
            <v>99-ES-03930</v>
          </cell>
          <cell r="E5379" t="str">
            <v>ESMALTE DE HORNEO BASE SOLVENT</v>
          </cell>
        </row>
        <row r="5380">
          <cell r="A5380" t="str">
            <v>99-ES-03951</v>
          </cell>
          <cell r="E5380" t="str">
            <v>ESMALTE DE HORNEO BASE SOLVENT</v>
          </cell>
        </row>
        <row r="5381">
          <cell r="A5381" t="str">
            <v>99-ES-03973</v>
          </cell>
          <cell r="E5381" t="str">
            <v>OTROS ACABADOS INDUSTRIALES</v>
          </cell>
        </row>
        <row r="5382">
          <cell r="A5382" t="str">
            <v>99-ES-03990</v>
          </cell>
          <cell r="E5382" t="str">
            <v>ESMALTE DE HORNEO BASE SOLVENT</v>
          </cell>
        </row>
        <row r="5383">
          <cell r="A5383" t="str">
            <v>99-ES-04051</v>
          </cell>
          <cell r="E5383" t="str">
            <v>PRIMARIOS ESTRUCTURALES ALQUID</v>
          </cell>
        </row>
        <row r="5384">
          <cell r="A5384" t="str">
            <v>99-ES-04100</v>
          </cell>
          <cell r="E5384" t="str">
            <v>OTROS ACABADOS INDUSTRIALES</v>
          </cell>
        </row>
        <row r="5385">
          <cell r="A5385" t="str">
            <v>99-ES-04103</v>
          </cell>
          <cell r="E5385" t="str">
            <v>OTROS ACABADOS INDUSTRIALES</v>
          </cell>
        </row>
        <row r="5386">
          <cell r="A5386" t="str">
            <v>99-ES-04113</v>
          </cell>
          <cell r="E5386" t="str">
            <v>OTROS ACABADOS INDUSTRIALES</v>
          </cell>
        </row>
        <row r="5387">
          <cell r="A5387" t="str">
            <v>99-ES-04123</v>
          </cell>
          <cell r="E5387" t="str">
            <v>OTROS ACABADOS INDUSTRIALES</v>
          </cell>
        </row>
        <row r="5388">
          <cell r="A5388" t="str">
            <v>99-ES-04133</v>
          </cell>
          <cell r="E5388" t="str">
            <v>OTROS ACABADOS INDUSTRIALES</v>
          </cell>
        </row>
        <row r="5389">
          <cell r="A5389" t="str">
            <v>99-ES-04183</v>
          </cell>
          <cell r="E5389" t="str">
            <v>OTROS ACABADOS INDUSTRIALES</v>
          </cell>
        </row>
        <row r="5390">
          <cell r="A5390" t="str">
            <v>99-ES-04193</v>
          </cell>
          <cell r="E5390" t="str">
            <v>OTROS ACABADOS INDUSTRIALES</v>
          </cell>
        </row>
        <row r="5391">
          <cell r="A5391" t="str">
            <v>99-ES-04203</v>
          </cell>
          <cell r="E5391" t="str">
            <v>OTROS ACABADOS INDUSTRIALES</v>
          </cell>
        </row>
        <row r="5392">
          <cell r="A5392" t="str">
            <v>99-ES-04230</v>
          </cell>
          <cell r="E5392" t="str">
            <v>ACABADOS ALQUIDALICOS</v>
          </cell>
        </row>
        <row r="5393">
          <cell r="A5393" t="str">
            <v>99-ES-04243</v>
          </cell>
          <cell r="E5393" t="str">
            <v>OTROS ACABADOS INDUSTRIALES</v>
          </cell>
        </row>
        <row r="5394">
          <cell r="A5394" t="str">
            <v>99-ES-04250</v>
          </cell>
          <cell r="E5394" t="str">
            <v>ACABADOS ALQUIDALICOS</v>
          </cell>
        </row>
        <row r="5395">
          <cell r="A5395" t="str">
            <v>99-ES-04260</v>
          </cell>
          <cell r="E5395" t="str">
            <v>ESM SECADO RAPIDO BASE SOLVENT</v>
          </cell>
        </row>
        <row r="5396">
          <cell r="A5396" t="str">
            <v>99-ES-04290</v>
          </cell>
          <cell r="E5396" t="str">
            <v>OTROS ACABADOS INDUSTRIALES</v>
          </cell>
        </row>
        <row r="5397">
          <cell r="A5397" t="str">
            <v>99-ES-04300</v>
          </cell>
          <cell r="E5397" t="str">
            <v>OTROS ACABADOS INDUSTRIALES</v>
          </cell>
        </row>
        <row r="5398">
          <cell r="A5398" t="str">
            <v>99-ES-04311</v>
          </cell>
          <cell r="E5398" t="str">
            <v>PRIMARIOS ESTRUCTURALES ALQUID</v>
          </cell>
        </row>
        <row r="5399">
          <cell r="A5399" t="str">
            <v>99-ES-04313</v>
          </cell>
          <cell r="E5399" t="str">
            <v>PRIMARIOS ESTRUCTURALES ALQUID</v>
          </cell>
        </row>
        <row r="5400">
          <cell r="A5400" t="str">
            <v>99-ES-04314</v>
          </cell>
          <cell r="E5400" t="str">
            <v>PRIMARIOS ESTRUCTURALES ALQUID</v>
          </cell>
        </row>
        <row r="5401">
          <cell r="A5401" t="str">
            <v>99-ES-04333</v>
          </cell>
          <cell r="E5401" t="str">
            <v>OTROS ACABADOS INDUSTRIALES</v>
          </cell>
        </row>
        <row r="5402">
          <cell r="A5402" t="str">
            <v>99-ES-04343</v>
          </cell>
          <cell r="E5402" t="str">
            <v>OTROS ACABADOS INDUSTRIALES</v>
          </cell>
        </row>
        <row r="5403">
          <cell r="A5403" t="str">
            <v>99-ES-04350</v>
          </cell>
          <cell r="E5403" t="str">
            <v>PRIMARIOS ESTRUCTURALES ALQUID</v>
          </cell>
        </row>
        <row r="5404">
          <cell r="A5404" t="str">
            <v>99-ES-04370</v>
          </cell>
          <cell r="E5404" t="str">
            <v>PRIMARIOS ESTRUCTURALES ALQUID</v>
          </cell>
        </row>
        <row r="5405">
          <cell r="A5405" t="str">
            <v>99-ES-04371</v>
          </cell>
          <cell r="E5405" t="str">
            <v>PRIMARIOS ESTRUCTURALES ALQUID</v>
          </cell>
        </row>
        <row r="5406">
          <cell r="A5406" t="str">
            <v>99-ES-04373</v>
          </cell>
          <cell r="E5406" t="str">
            <v>PRIMARIOS ESTRUCTURALES ALQUID</v>
          </cell>
        </row>
        <row r="5407">
          <cell r="A5407" t="str">
            <v>99-ES-04374</v>
          </cell>
          <cell r="E5407" t="str">
            <v>PRIMARIOS ESTRUCTURALES ALQUID</v>
          </cell>
        </row>
        <row r="5408">
          <cell r="A5408" t="str">
            <v>99-ES-04380</v>
          </cell>
          <cell r="E5408" t="str">
            <v>ESM SECADO RAPIDO BASE SOLVENT</v>
          </cell>
        </row>
        <row r="5409">
          <cell r="A5409" t="str">
            <v>99-ES-04391</v>
          </cell>
          <cell r="E5409" t="str">
            <v>ESM SECADO RAPIDO BASE AGUA</v>
          </cell>
        </row>
        <row r="5410">
          <cell r="A5410" t="str">
            <v>99-ES-04403</v>
          </cell>
          <cell r="E5410" t="str">
            <v>OTROS ACABADOS INDUSTRIALES</v>
          </cell>
        </row>
        <row r="5411">
          <cell r="A5411" t="str">
            <v>99-ES-04411</v>
          </cell>
          <cell r="E5411" t="str">
            <v>ESM SECADO RAPIDO BASE AGUA</v>
          </cell>
        </row>
        <row r="5412">
          <cell r="A5412" t="str">
            <v>99-ES-04413</v>
          </cell>
          <cell r="E5412" t="str">
            <v>ESM SECADO RAPIDO BASE AGUA</v>
          </cell>
        </row>
        <row r="5413">
          <cell r="A5413" t="str">
            <v>99-ES-04440</v>
          </cell>
          <cell r="E5413" t="str">
            <v>ACABADOS ALQUIDALICOS</v>
          </cell>
        </row>
        <row r="5414">
          <cell r="A5414" t="str">
            <v>99-ES-04451</v>
          </cell>
          <cell r="E5414" t="str">
            <v>OTROS ACABADOS INDUSTRIALES</v>
          </cell>
        </row>
        <row r="5415">
          <cell r="A5415" t="str">
            <v>99-ES-04461</v>
          </cell>
          <cell r="E5415" t="str">
            <v>OTROS ACABADOS INDUSTRIALES</v>
          </cell>
        </row>
        <row r="5416">
          <cell r="A5416" t="str">
            <v>99-ES-04491</v>
          </cell>
          <cell r="E5416" t="str">
            <v>ESMALTE DE HORNEO BASE SOLVENT</v>
          </cell>
        </row>
        <row r="5417">
          <cell r="A5417" t="str">
            <v>99-ES-04501</v>
          </cell>
          <cell r="E5417" t="str">
            <v>ESM SECADO RAPIDO BASE SOLVENT</v>
          </cell>
        </row>
        <row r="5418">
          <cell r="A5418" t="str">
            <v>99-ES-04530</v>
          </cell>
          <cell r="E5418" t="str">
            <v>ESMALTE DE HORNEO BASE SOLVENT</v>
          </cell>
        </row>
        <row r="5419">
          <cell r="A5419" t="str">
            <v>99-ES-04543</v>
          </cell>
          <cell r="E5419" t="str">
            <v>OTROS ACABADOS INDUSTRIALES</v>
          </cell>
        </row>
        <row r="5420">
          <cell r="A5420" t="str">
            <v>99-ES-04573</v>
          </cell>
          <cell r="E5420" t="str">
            <v>OTROS ACABADOS INDUSTRIALES</v>
          </cell>
        </row>
        <row r="5421">
          <cell r="A5421" t="str">
            <v>99-ES-04630</v>
          </cell>
          <cell r="E5421" t="str">
            <v>ESMALTE DE HORNEO BASE SOLVENT</v>
          </cell>
        </row>
        <row r="5422">
          <cell r="A5422" t="str">
            <v>99-ES-04650</v>
          </cell>
          <cell r="E5422" t="str">
            <v>OTROS ACABADOS INDUSTRIALES</v>
          </cell>
        </row>
        <row r="5423">
          <cell r="A5423" t="str">
            <v>99-ES-04651</v>
          </cell>
          <cell r="E5423" t="str">
            <v>OTROS ACABADOS INDUSTRIALES</v>
          </cell>
        </row>
        <row r="5424">
          <cell r="A5424" t="str">
            <v>99-ES-04670</v>
          </cell>
          <cell r="E5424" t="str">
            <v>ESM SECADO RAPIDO BASE SOLVENT</v>
          </cell>
        </row>
        <row r="5425">
          <cell r="A5425" t="str">
            <v>99-ES-04683</v>
          </cell>
          <cell r="E5425" t="str">
            <v>OTROS ACABADOS INDUSTRIALES</v>
          </cell>
        </row>
        <row r="5426">
          <cell r="A5426" t="str">
            <v>99-ES-04691</v>
          </cell>
          <cell r="E5426" t="str">
            <v>PRIMARIOS ESTRUCTURALES ALQUID</v>
          </cell>
        </row>
        <row r="5427">
          <cell r="A5427" t="str">
            <v>99-ES-04703</v>
          </cell>
          <cell r="E5427" t="str">
            <v>OTROS ACABADOS INDUSTRIALES</v>
          </cell>
        </row>
        <row r="5428">
          <cell r="A5428" t="str">
            <v>99-ES-04713</v>
          </cell>
          <cell r="E5428" t="str">
            <v>OTROS ACABADOS INDUSTRIALES</v>
          </cell>
        </row>
        <row r="5429">
          <cell r="A5429" t="str">
            <v>99-ES-04720</v>
          </cell>
          <cell r="E5429" t="str">
            <v>PRIMARIOS ESTRUCTURALES ALQUID</v>
          </cell>
        </row>
        <row r="5430">
          <cell r="A5430" t="str">
            <v>99-ES-04740</v>
          </cell>
          <cell r="E5430" t="str">
            <v>PRIMARIOS ESTRUCTURALES ALQUID</v>
          </cell>
        </row>
        <row r="5431">
          <cell r="A5431" t="str">
            <v>99-ES-04751</v>
          </cell>
          <cell r="E5431" t="str">
            <v>ESM SECADO RAPIDO BASE SOLVENT</v>
          </cell>
        </row>
        <row r="5432">
          <cell r="A5432" t="str">
            <v>99-ES-04770</v>
          </cell>
          <cell r="E5432" t="str">
            <v>OTROS ACABADOS INDUSTRIALES</v>
          </cell>
        </row>
        <row r="5433">
          <cell r="A5433" t="str">
            <v>99-ES-04803</v>
          </cell>
          <cell r="E5433" t="str">
            <v>OTROS ACABADOS INDUSTRIALES</v>
          </cell>
        </row>
        <row r="5434">
          <cell r="A5434" t="str">
            <v>99-ES-04823</v>
          </cell>
          <cell r="E5434" t="str">
            <v>OTROS ACABADOS INDUSTRIALES</v>
          </cell>
        </row>
        <row r="5435">
          <cell r="A5435" t="str">
            <v>99-ES-04830</v>
          </cell>
          <cell r="E5435" t="str">
            <v>ESM SECADO RAPIDO BASE SOLVENT</v>
          </cell>
        </row>
        <row r="5436">
          <cell r="A5436" t="str">
            <v>99-ES-04840</v>
          </cell>
          <cell r="E5436" t="str">
            <v>ESMALTE DE HORNEO BASE SOLVENT</v>
          </cell>
        </row>
        <row r="5437">
          <cell r="A5437" t="str">
            <v>99-ES-04853</v>
          </cell>
          <cell r="E5437" t="str">
            <v>ESM SECADO RAPIDO BASE SOLVENT</v>
          </cell>
        </row>
        <row r="5438">
          <cell r="A5438" t="str">
            <v>99-ES-04863</v>
          </cell>
          <cell r="E5438" t="str">
            <v>ESM SECADO RAPIDO BASE SOLVENT</v>
          </cell>
        </row>
        <row r="5439">
          <cell r="A5439" t="str">
            <v>99-ES-04873</v>
          </cell>
          <cell r="E5439" t="str">
            <v>ESM SECADO RAPIDO BASE SOLVENT</v>
          </cell>
        </row>
        <row r="5440">
          <cell r="A5440" t="str">
            <v>99-ES-04883</v>
          </cell>
          <cell r="E5440" t="str">
            <v>ESM SECADO RAPIDO BASE SOLVENT</v>
          </cell>
        </row>
        <row r="5441">
          <cell r="A5441" t="str">
            <v>99-ES-04893</v>
          </cell>
          <cell r="E5441" t="str">
            <v>ESM SECADO RAPIDO BASE SOLVENT</v>
          </cell>
        </row>
        <row r="5442">
          <cell r="A5442" t="str">
            <v>99-ES-04901</v>
          </cell>
          <cell r="E5442" t="str">
            <v>ESMALTE DE HORNEO BASE SOLVENT</v>
          </cell>
        </row>
        <row r="5443">
          <cell r="A5443" t="str">
            <v>99-ES-04911</v>
          </cell>
          <cell r="E5443" t="str">
            <v>PRIMARIOS ESTRUCTURALES ALQUID</v>
          </cell>
        </row>
        <row r="5444">
          <cell r="A5444" t="str">
            <v>99-ES-04923</v>
          </cell>
          <cell r="E5444" t="str">
            <v>OTROS ACABADOS INDUSTRIALES</v>
          </cell>
        </row>
        <row r="5445">
          <cell r="A5445" t="str">
            <v>99-ES-04931</v>
          </cell>
          <cell r="E5445" t="str">
            <v>ESM SECADO RAPIDO BASE AGUA</v>
          </cell>
        </row>
        <row r="5446">
          <cell r="A5446" t="str">
            <v>99-ES-04941</v>
          </cell>
          <cell r="E5446" t="str">
            <v>ESM SECADO RAPIDO BASE AGUA</v>
          </cell>
        </row>
        <row r="5447">
          <cell r="A5447" t="str">
            <v>99-ES-04951</v>
          </cell>
          <cell r="E5447" t="str">
            <v>ESM SECADO RAPIDO BASE AGUA</v>
          </cell>
        </row>
        <row r="5448">
          <cell r="A5448" t="str">
            <v>99-ES-04961</v>
          </cell>
          <cell r="E5448" t="str">
            <v>ESM SECADO RAPIDO BASE AGUA</v>
          </cell>
        </row>
        <row r="5449">
          <cell r="A5449" t="str">
            <v>99-ES-04971</v>
          </cell>
          <cell r="E5449" t="str">
            <v>PRIMARIOS ESTRUCTURALES ALQUID</v>
          </cell>
        </row>
        <row r="5450">
          <cell r="A5450" t="str">
            <v>99-ES-04991</v>
          </cell>
          <cell r="E5450" t="str">
            <v>ESM SECADO RAPIDO BASE SOLVENT</v>
          </cell>
        </row>
        <row r="5451">
          <cell r="A5451" t="str">
            <v>99-ES-05001</v>
          </cell>
          <cell r="E5451" t="str">
            <v>ESM SECADO RAPIDO BASE SOLVENT</v>
          </cell>
        </row>
        <row r="5452">
          <cell r="A5452" t="str">
            <v>99-ES-05011</v>
          </cell>
          <cell r="E5452" t="str">
            <v>ESM SECADO RAPIDO BASE AGUA</v>
          </cell>
        </row>
        <row r="5453">
          <cell r="A5453" t="str">
            <v>99-ES-05030</v>
          </cell>
          <cell r="E5453" t="str">
            <v>OTROS ACABADOS INDUSTRIALES</v>
          </cell>
        </row>
        <row r="5454">
          <cell r="A5454" t="str">
            <v>99-ES-05041</v>
          </cell>
          <cell r="E5454" t="str">
            <v>PRIMARIOS ESTRUCTURALES ALQUID</v>
          </cell>
        </row>
        <row r="5455">
          <cell r="A5455" t="str">
            <v>99-ES-05050</v>
          </cell>
          <cell r="E5455" t="str">
            <v>ACABADOS ALQUIDALICOS</v>
          </cell>
        </row>
        <row r="5456">
          <cell r="A5456" t="str">
            <v>99-ES-05063</v>
          </cell>
          <cell r="E5456" t="str">
            <v>OTROS ACABADOS INDUSTRIALES</v>
          </cell>
        </row>
        <row r="5457">
          <cell r="A5457" t="str">
            <v>99-ES-05071</v>
          </cell>
          <cell r="E5457" t="str">
            <v>ESM SECADO RAPIDO BASE SOLVENT</v>
          </cell>
        </row>
        <row r="5458">
          <cell r="A5458" t="str">
            <v>99-ES-05083</v>
          </cell>
          <cell r="E5458" t="str">
            <v>OTROS ACABADOS INDUSTRIALES</v>
          </cell>
        </row>
        <row r="5459">
          <cell r="A5459" t="str">
            <v>99-ES-05090</v>
          </cell>
          <cell r="E5459" t="str">
            <v>ESMALTE DE HORNEO BASE SOLVENT</v>
          </cell>
        </row>
        <row r="5460">
          <cell r="A5460" t="str">
            <v>99-ES-05100</v>
          </cell>
          <cell r="E5460" t="str">
            <v>ACABADO MARTILLADO  SR</v>
          </cell>
        </row>
        <row r="5461">
          <cell r="A5461" t="str">
            <v>99-ES-05110</v>
          </cell>
          <cell r="E5461" t="str">
            <v>PINTURA PARA TRAFICO</v>
          </cell>
        </row>
        <row r="5462">
          <cell r="A5462" t="str">
            <v>99-ES-05111</v>
          </cell>
          <cell r="E5462" t="str">
            <v>PINTURA PARA TRAFICO</v>
          </cell>
        </row>
        <row r="5463">
          <cell r="A5463" t="str">
            <v>99-ES-05120</v>
          </cell>
          <cell r="E5463" t="str">
            <v>PINTURA PARA TRAFICO</v>
          </cell>
        </row>
        <row r="5464">
          <cell r="A5464" t="str">
            <v>99-ES-05130</v>
          </cell>
          <cell r="E5464" t="str">
            <v>PRIMARIOS ESTRUCTURALES ALQUID</v>
          </cell>
        </row>
        <row r="5465">
          <cell r="A5465" t="str">
            <v>99-ES-05131</v>
          </cell>
          <cell r="E5465" t="str">
            <v>PRIMARIOS ESTRUCTURALES ALQUID</v>
          </cell>
        </row>
        <row r="5466">
          <cell r="A5466" t="str">
            <v>99-ES-05150</v>
          </cell>
          <cell r="E5466" t="str">
            <v>ESM SECADO RAPIDO BASE SOLVENT</v>
          </cell>
        </row>
        <row r="5467">
          <cell r="A5467" t="str">
            <v>99-ES-05193</v>
          </cell>
          <cell r="E5467" t="str">
            <v>OTROS ACABADOS INDUSTRIALES</v>
          </cell>
        </row>
        <row r="5468">
          <cell r="A5468" t="str">
            <v>99-ES-05203</v>
          </cell>
          <cell r="E5468" t="str">
            <v>OTROS ACABADOS INDUSTRIALES</v>
          </cell>
        </row>
        <row r="5469">
          <cell r="A5469" t="str">
            <v>99-ES-05210</v>
          </cell>
          <cell r="E5469" t="str">
            <v>ESM SECADO RAPIDO BASE SOLVENT</v>
          </cell>
        </row>
        <row r="5470">
          <cell r="A5470" t="str">
            <v>99-ES-05220</v>
          </cell>
          <cell r="E5470" t="str">
            <v>PRIMARIOS ESTRUCTURALES ALQUID</v>
          </cell>
        </row>
        <row r="5471">
          <cell r="A5471" t="str">
            <v>99-ES-05230</v>
          </cell>
          <cell r="E5471" t="str">
            <v>PRIMARIOS ESTRUCTURALES ALQUID</v>
          </cell>
        </row>
        <row r="5472">
          <cell r="A5472" t="str">
            <v>99-ES-05243</v>
          </cell>
          <cell r="E5472" t="str">
            <v>OTROS ACABADOS INDUSTRIALES</v>
          </cell>
        </row>
        <row r="5473">
          <cell r="A5473" t="str">
            <v>99-ES-05260</v>
          </cell>
          <cell r="E5473" t="str">
            <v>PRIMARIOS ESTRUCTURALES ALQUID</v>
          </cell>
        </row>
        <row r="5474">
          <cell r="A5474" t="str">
            <v>99-ES-05261</v>
          </cell>
          <cell r="E5474" t="str">
            <v>PRIMARIOS ESTRUCTURALES ALQUID</v>
          </cell>
        </row>
        <row r="5475">
          <cell r="A5475" t="str">
            <v>99-ES-05271</v>
          </cell>
          <cell r="E5475" t="str">
            <v>PRIMARIOS ESTRUCTURALES ALQUID</v>
          </cell>
        </row>
        <row r="5476">
          <cell r="A5476" t="str">
            <v>99-ES-05281</v>
          </cell>
          <cell r="E5476" t="str">
            <v>ESM SECADO RAPIDO BASE SOLVENT</v>
          </cell>
        </row>
        <row r="5477">
          <cell r="A5477" t="str">
            <v>99-ES-05283</v>
          </cell>
          <cell r="E5477" t="str">
            <v>ESM SECADO RAPIDO BASE SOLVENT</v>
          </cell>
        </row>
        <row r="5478">
          <cell r="A5478" t="str">
            <v>99-ES-05284</v>
          </cell>
          <cell r="E5478" t="str">
            <v>ESM SECADO RAPIDO BASE SOLVENT</v>
          </cell>
        </row>
        <row r="5479">
          <cell r="A5479" t="str">
            <v>99-ES-05290</v>
          </cell>
          <cell r="E5479" t="str">
            <v>PRIMARIOS ESTRUCTURALES ALQUID</v>
          </cell>
        </row>
        <row r="5480">
          <cell r="A5480" t="str">
            <v>99-ES-05310</v>
          </cell>
          <cell r="E5480" t="str">
            <v>ESM SECADO RAPIDO BASE SOLVENT</v>
          </cell>
        </row>
        <row r="5481">
          <cell r="A5481" t="str">
            <v>99-ES-05321</v>
          </cell>
          <cell r="E5481" t="str">
            <v>ESM SECADO RAPIDO BASE SOLVENT</v>
          </cell>
        </row>
        <row r="5482">
          <cell r="A5482" t="str">
            <v>99-ES-05330</v>
          </cell>
          <cell r="E5482" t="str">
            <v>ESMALTE DE HORNEO BASE SOLVENT</v>
          </cell>
        </row>
        <row r="5483">
          <cell r="A5483" t="str">
            <v>99-ES-05341</v>
          </cell>
          <cell r="E5483" t="str">
            <v>ESM SECADO RAPIDO BASE SOLVENT</v>
          </cell>
        </row>
        <row r="5484">
          <cell r="A5484" t="str">
            <v>99-ES-05350</v>
          </cell>
          <cell r="E5484" t="str">
            <v>ESMALTE DE HORNEO BASE SOLVENT</v>
          </cell>
        </row>
        <row r="5485">
          <cell r="A5485" t="str">
            <v>99-ES-05370</v>
          </cell>
          <cell r="E5485" t="str">
            <v>ACABADOS ALQUIDALICOS</v>
          </cell>
        </row>
        <row r="5486">
          <cell r="A5486" t="str">
            <v>99-ES-05371</v>
          </cell>
          <cell r="E5486" t="str">
            <v>ACABADOS ALQUIDALICOS</v>
          </cell>
        </row>
        <row r="5487">
          <cell r="A5487" t="str">
            <v>99-ES-05381</v>
          </cell>
          <cell r="E5487" t="str">
            <v>ESM SECADO RAPIDO BASE SOLVENT</v>
          </cell>
        </row>
        <row r="5488">
          <cell r="A5488" t="str">
            <v>99-ES-05393</v>
          </cell>
          <cell r="E5488" t="str">
            <v>ESM SECADO RAPIDO BASE SOLVENT</v>
          </cell>
        </row>
        <row r="5489">
          <cell r="A5489" t="str">
            <v>99-ES-05401</v>
          </cell>
          <cell r="E5489" t="str">
            <v>PRIMARIOS ESTRUCTURALES ALQUID</v>
          </cell>
        </row>
        <row r="5490">
          <cell r="A5490" t="str">
            <v>99-ES-05410</v>
          </cell>
          <cell r="E5490" t="str">
            <v>ESM SECADO RAPIDO BASE AGUA</v>
          </cell>
        </row>
        <row r="5491">
          <cell r="A5491" t="str">
            <v>99-ES-05423</v>
          </cell>
          <cell r="E5491" t="str">
            <v>OTROS ACABADOS INDUSTRIALES</v>
          </cell>
        </row>
        <row r="5492">
          <cell r="A5492" t="str">
            <v>99-ES-05430</v>
          </cell>
          <cell r="E5492" t="str">
            <v>ESM SECADO RAPIDO BASE SOLVENT</v>
          </cell>
        </row>
        <row r="5493">
          <cell r="A5493" t="str">
            <v>99-ES-05440</v>
          </cell>
          <cell r="E5493" t="str">
            <v>OTROS ACABADOS INDUSTRIALES</v>
          </cell>
        </row>
        <row r="5494">
          <cell r="A5494" t="str">
            <v>99-ES-05441</v>
          </cell>
          <cell r="E5494" t="str">
            <v>OTROS ACABADOS INDUSTRIALES</v>
          </cell>
        </row>
        <row r="5495">
          <cell r="A5495" t="str">
            <v>99-ES-05451</v>
          </cell>
          <cell r="E5495" t="str">
            <v>PRIMARIOS ESTRUCTURALES ALQUID</v>
          </cell>
        </row>
        <row r="5496">
          <cell r="A5496" t="str">
            <v>99-ES-05460</v>
          </cell>
          <cell r="E5496" t="str">
            <v>OTROS ACABADOS INDUSTRIALES</v>
          </cell>
        </row>
        <row r="5497">
          <cell r="A5497" t="str">
            <v>99-ES-05470</v>
          </cell>
          <cell r="E5497" t="str">
            <v>PRIMARIOS ESTRUCTURALES ALQUID</v>
          </cell>
        </row>
        <row r="5498">
          <cell r="A5498" t="str">
            <v>99-ES-05481</v>
          </cell>
          <cell r="E5498" t="str">
            <v>OTROS ACABADOS INDUSTRIALES</v>
          </cell>
        </row>
        <row r="5499">
          <cell r="A5499" t="str">
            <v>99-ES-05500</v>
          </cell>
          <cell r="E5499" t="str">
            <v>OTROS ACABADOS INDUSTRIALES</v>
          </cell>
        </row>
        <row r="5500">
          <cell r="A5500" t="str">
            <v>99-ES-05511</v>
          </cell>
          <cell r="E5500" t="str">
            <v>ESM SECADO RAPIDO BASE SOLVENT</v>
          </cell>
        </row>
        <row r="5501">
          <cell r="A5501" t="str">
            <v>99-ES-05513</v>
          </cell>
          <cell r="E5501" t="str">
            <v>ESM SECADO RAPIDO BASE SOLVENT</v>
          </cell>
        </row>
        <row r="5502">
          <cell r="A5502" t="str">
            <v>99-ES-05520</v>
          </cell>
          <cell r="E5502" t="str">
            <v>ESMALTE DE HORNEO BASE SOLVENT</v>
          </cell>
        </row>
        <row r="5503">
          <cell r="A5503" t="str">
            <v>99-ES-05530</v>
          </cell>
          <cell r="E5503" t="str">
            <v>ACABADOS ALQUIDALICOS AF</v>
          </cell>
        </row>
        <row r="5504">
          <cell r="A5504" t="str">
            <v>99-ES-05553</v>
          </cell>
          <cell r="E5504" t="str">
            <v>OTROS ACABADOS INDUSTRIALES</v>
          </cell>
        </row>
        <row r="5505">
          <cell r="A5505" t="str">
            <v>99-ES-05560</v>
          </cell>
          <cell r="E5505" t="str">
            <v>OTROS ACABADOS INDUSTRIALES</v>
          </cell>
        </row>
        <row r="5506">
          <cell r="A5506" t="str">
            <v>99-ES-05561</v>
          </cell>
          <cell r="E5506" t="str">
            <v>OTROS ACABADOS INDUSTRIALES</v>
          </cell>
        </row>
        <row r="5507">
          <cell r="A5507" t="str">
            <v>99-ES-05573</v>
          </cell>
          <cell r="E5507" t="str">
            <v>OTROS ACABADOS INDUSTRIALES</v>
          </cell>
        </row>
        <row r="5508">
          <cell r="A5508" t="str">
            <v>99-ES-05591</v>
          </cell>
          <cell r="E5508" t="str">
            <v>PRIMARIOS ESTRUCTURALES ALQUID</v>
          </cell>
        </row>
        <row r="5509">
          <cell r="A5509" t="str">
            <v>99-ES-05600</v>
          </cell>
          <cell r="E5509" t="str">
            <v>ESMALTE DE HORNEO BASE SOLVENT</v>
          </cell>
        </row>
        <row r="5510">
          <cell r="A5510" t="str">
            <v>99-ES-05610</v>
          </cell>
          <cell r="E5510" t="str">
            <v>ESMALTE DE HORNEO BASE SOLVENT</v>
          </cell>
        </row>
        <row r="5511">
          <cell r="A5511" t="str">
            <v>99-ES-05620</v>
          </cell>
          <cell r="E5511" t="str">
            <v>OTROS ACABADOS INDUSTRIALES</v>
          </cell>
        </row>
        <row r="5512">
          <cell r="A5512" t="str">
            <v>99-ES-05650</v>
          </cell>
          <cell r="E5512" t="str">
            <v>ESM SECADO RAPIDO BASE SOLVENT</v>
          </cell>
        </row>
        <row r="5513">
          <cell r="A5513" t="str">
            <v>99-ES-05661</v>
          </cell>
          <cell r="E5513" t="str">
            <v>OTROS ACABADOS INDUSTRIALES</v>
          </cell>
        </row>
        <row r="5514">
          <cell r="A5514" t="str">
            <v>99-ES-05693</v>
          </cell>
          <cell r="E5514" t="str">
            <v>OTROS ACABADOS INDUSTRIALES</v>
          </cell>
        </row>
        <row r="5515">
          <cell r="A5515" t="str">
            <v>99-ES-05700</v>
          </cell>
          <cell r="E5515" t="str">
            <v>ACABADOS ALQUIDALICOS</v>
          </cell>
        </row>
        <row r="5516">
          <cell r="A5516" t="str">
            <v>99-ES-05711</v>
          </cell>
          <cell r="E5516" t="str">
            <v>ESMALTE DE HORNEO BASE SOLVENT</v>
          </cell>
        </row>
        <row r="5517">
          <cell r="A5517" t="str">
            <v>99-ES-05721</v>
          </cell>
          <cell r="E5517" t="str">
            <v>ESM SECADO RAPIDO BASE SOLVENT</v>
          </cell>
        </row>
        <row r="5518">
          <cell r="A5518" t="str">
            <v>99-ES-05740</v>
          </cell>
          <cell r="E5518" t="str">
            <v>ESMALTE DE HORNEO BASE SOLVENT</v>
          </cell>
        </row>
        <row r="5519">
          <cell r="A5519" t="str">
            <v>99-ES-05780</v>
          </cell>
          <cell r="E5519" t="str">
            <v>ESMALTE DE HORNEO BASE SOLVENT</v>
          </cell>
        </row>
        <row r="5520">
          <cell r="A5520" t="str">
            <v>99-ES-05790</v>
          </cell>
          <cell r="E5520" t="str">
            <v>ESMALTE DE HORNEO BASE SOLVENT</v>
          </cell>
        </row>
        <row r="5521">
          <cell r="A5521" t="str">
            <v>99-ES-05800</v>
          </cell>
          <cell r="E5521" t="str">
            <v>ESM SECADO RAPIDO BASE SOLVENT</v>
          </cell>
        </row>
        <row r="5522">
          <cell r="A5522" t="str">
            <v>99-ES-05810</v>
          </cell>
          <cell r="E5522" t="str">
            <v>ESMALTE DE HORNEO BASE SOLVENT</v>
          </cell>
        </row>
        <row r="5523">
          <cell r="A5523" t="str">
            <v>99-ES-05850</v>
          </cell>
          <cell r="E5523" t="str">
            <v>ESM SECADO RAPIDO BASE SOLVENT</v>
          </cell>
        </row>
        <row r="5524">
          <cell r="A5524" t="str">
            <v>99-ES-05900</v>
          </cell>
          <cell r="E5524" t="str">
            <v>ESMALTE DE HORNEO BASE SOLVENT</v>
          </cell>
        </row>
        <row r="5525">
          <cell r="A5525" t="str">
            <v>99-ES-06000</v>
          </cell>
          <cell r="E5525" t="str">
            <v>ESMALTE DE HORNEO BASE SOLVENT</v>
          </cell>
        </row>
        <row r="5526">
          <cell r="A5526" t="str">
            <v>99-ES-0604TB</v>
          </cell>
          <cell r="E5526" t="str">
            <v>ESM SECADO RAPIDO BASE AGUA</v>
          </cell>
        </row>
        <row r="5527">
          <cell r="A5527" t="str">
            <v>99-ES-06070</v>
          </cell>
          <cell r="E5527" t="str">
            <v>ESM SECADO RAPIDO BASE SOLVENT</v>
          </cell>
        </row>
        <row r="5528">
          <cell r="A5528" t="str">
            <v>99-ES-06141</v>
          </cell>
          <cell r="E5528" t="str">
            <v>ESM SECADO RAPIDO BASE AGUA</v>
          </cell>
        </row>
        <row r="5529">
          <cell r="A5529" t="str">
            <v>99-ES-06200</v>
          </cell>
          <cell r="E5529" t="str">
            <v>ESM SECADO RAPIDO BASE SOLVENT</v>
          </cell>
        </row>
        <row r="5530">
          <cell r="A5530" t="str">
            <v>99-ES-06340</v>
          </cell>
          <cell r="E5530" t="str">
            <v>TRAFICO BASE AGUA</v>
          </cell>
        </row>
        <row r="5531">
          <cell r="A5531" t="str">
            <v>99-ES-06341</v>
          </cell>
          <cell r="E5531" t="str">
            <v>TRAFICO BASE AGUA</v>
          </cell>
        </row>
        <row r="5532">
          <cell r="A5532" t="str">
            <v>99-ES-06360</v>
          </cell>
          <cell r="E5532" t="str">
            <v>PRIMARIOS ESTRUCTURALES ALQUID</v>
          </cell>
        </row>
        <row r="5533">
          <cell r="A5533" t="str">
            <v>99-ES-06410</v>
          </cell>
          <cell r="E5533" t="str">
            <v>ESMALTE DE HORNEO BASE SOLVENT</v>
          </cell>
        </row>
        <row r="5534">
          <cell r="A5534" t="str">
            <v>99-ES-07051</v>
          </cell>
          <cell r="E5534" t="str">
            <v>PINTURA PARA TRAFICO</v>
          </cell>
        </row>
        <row r="5535">
          <cell r="A5535" t="str">
            <v>99-ES-07150</v>
          </cell>
          <cell r="E5535" t="str">
            <v>ESM SECADO RAPIDO BASE AGUA</v>
          </cell>
        </row>
        <row r="5536">
          <cell r="A5536" t="str">
            <v>99-ES-07160</v>
          </cell>
          <cell r="E5536" t="str">
            <v>ESM SECADO RAPIDO BASE AGUA</v>
          </cell>
        </row>
        <row r="5537">
          <cell r="A5537" t="str">
            <v>99-ES-40020</v>
          </cell>
          <cell r="E5537" t="str">
            <v>LACA NITRO INDUSTRIAL</v>
          </cell>
        </row>
        <row r="5538">
          <cell r="A5538" t="str">
            <v>99-ES-40021</v>
          </cell>
          <cell r="E5538" t="str">
            <v>LACA NITRO INDUSTRIAL</v>
          </cell>
        </row>
        <row r="5539">
          <cell r="A5539" t="str">
            <v>99-ES-40051</v>
          </cell>
          <cell r="E5539" t="str">
            <v>FONDO DE POLIURETANO</v>
          </cell>
        </row>
        <row r="5540">
          <cell r="A5540" t="str">
            <v>99-ES-40080</v>
          </cell>
          <cell r="E5540" t="str">
            <v>LACA NITRO TRANSPARENTE SIGLO</v>
          </cell>
        </row>
        <row r="5541">
          <cell r="A5541" t="str">
            <v>99-ES-40104</v>
          </cell>
          <cell r="E5541" t="str">
            <v>MANCHAS PARA MADERA</v>
          </cell>
        </row>
        <row r="5542">
          <cell r="A5542" t="str">
            <v>99-ES-40114</v>
          </cell>
          <cell r="E5542" t="str">
            <v>MANCHAS PARA MADERA</v>
          </cell>
        </row>
        <row r="5543">
          <cell r="A5543" t="str">
            <v>99-ES-40124</v>
          </cell>
          <cell r="E5543" t="str">
            <v>MANCHAS PARA MADERA</v>
          </cell>
        </row>
        <row r="5544">
          <cell r="A5544" t="str">
            <v>99-ES-40134</v>
          </cell>
          <cell r="E5544" t="str">
            <v>MANCHAS PARA MADERA</v>
          </cell>
        </row>
        <row r="5545">
          <cell r="A5545" t="str">
            <v>99-ES-40144</v>
          </cell>
          <cell r="E5545" t="str">
            <v>MANCHAS PARA MADERA</v>
          </cell>
        </row>
        <row r="5546">
          <cell r="A5546" t="str">
            <v>99-ES-40154</v>
          </cell>
          <cell r="E5546" t="str">
            <v>MANCHAS PARA MADERA</v>
          </cell>
        </row>
        <row r="5547">
          <cell r="A5547" t="str">
            <v>99-ES-40181</v>
          </cell>
          <cell r="E5547" t="str">
            <v>FONDO DE POLIURETANO</v>
          </cell>
        </row>
        <row r="5548">
          <cell r="A5548" t="str">
            <v>99-ES-40231</v>
          </cell>
          <cell r="E5548" t="str">
            <v>FONDO DE NITROCELULOSA</v>
          </cell>
        </row>
        <row r="5549">
          <cell r="A5549" t="str">
            <v>99-ES-40251</v>
          </cell>
          <cell r="E5549" t="str">
            <v>TAPAPOROS Y RESANES PARA MADER</v>
          </cell>
        </row>
        <row r="5550">
          <cell r="A5550" t="str">
            <v>99-ES-40301</v>
          </cell>
          <cell r="E5550" t="str">
            <v>BARNIZ DE POLIURETANO SIGLO</v>
          </cell>
        </row>
        <row r="5551">
          <cell r="A5551" t="str">
            <v>99-ES-40311</v>
          </cell>
          <cell r="E5551" t="str">
            <v>FONDO DE POLIURETANO</v>
          </cell>
        </row>
        <row r="5552">
          <cell r="A5552" t="str">
            <v>99-ES-40350</v>
          </cell>
          <cell r="E5552" t="str">
            <v>FONDO DE NITROCELULOSA</v>
          </cell>
        </row>
        <row r="5553">
          <cell r="A5553" t="str">
            <v>99-ES-40351</v>
          </cell>
          <cell r="E5553" t="str">
            <v>FONDO DE NITROCELULOSA</v>
          </cell>
        </row>
        <row r="5554">
          <cell r="A5554" t="str">
            <v>99-ES-40421</v>
          </cell>
          <cell r="E5554" t="str">
            <v>ESMALTE ACRILICO</v>
          </cell>
        </row>
        <row r="5555">
          <cell r="A5555" t="str">
            <v>99-ES-40440</v>
          </cell>
          <cell r="E5555" t="str">
            <v>LACA NITRO INDUSTRIAL</v>
          </cell>
        </row>
        <row r="5556">
          <cell r="A5556" t="str">
            <v>99-ES-40544</v>
          </cell>
          <cell r="E5556" t="str">
            <v>MANCHAS PARA MADERA</v>
          </cell>
        </row>
        <row r="5557">
          <cell r="A5557" t="str">
            <v>99-ES-40554</v>
          </cell>
          <cell r="E5557" t="str">
            <v>MANCHAS PARA MADERA</v>
          </cell>
        </row>
        <row r="5558">
          <cell r="A5558" t="str">
            <v>99-ES-40563</v>
          </cell>
          <cell r="E5558" t="str">
            <v>MANCHAS PARA MADERA</v>
          </cell>
        </row>
        <row r="5559">
          <cell r="A5559" t="str">
            <v>99-ES-40564</v>
          </cell>
          <cell r="E5559" t="str">
            <v>MANCHAS PARA MADERA</v>
          </cell>
        </row>
        <row r="5560">
          <cell r="A5560" t="str">
            <v>99-ES-40574</v>
          </cell>
          <cell r="E5560" t="str">
            <v>MANCHAS PARA MADERA</v>
          </cell>
        </row>
        <row r="5561">
          <cell r="A5561" t="str">
            <v>99-ES-40584</v>
          </cell>
          <cell r="E5561" t="str">
            <v>MANCHAS PARA MADERA</v>
          </cell>
        </row>
        <row r="5562">
          <cell r="A5562" t="str">
            <v>99-ES-40621</v>
          </cell>
          <cell r="E5562" t="str">
            <v>FONDO DE POLIURETANO</v>
          </cell>
        </row>
        <row r="5563">
          <cell r="A5563" t="str">
            <v>99-ES-40691</v>
          </cell>
          <cell r="E5563" t="str">
            <v>FONDO DE POLIURETANO</v>
          </cell>
        </row>
        <row r="5564">
          <cell r="A5564" t="str">
            <v>99-ES-40701</v>
          </cell>
          <cell r="E5564" t="str">
            <v>FONDO DE POLIURETANO</v>
          </cell>
        </row>
        <row r="5565">
          <cell r="A5565" t="str">
            <v>99-ES-40721</v>
          </cell>
          <cell r="E5565" t="str">
            <v>BARNIZ DE POLIURETANO SIGLO</v>
          </cell>
        </row>
        <row r="5566">
          <cell r="A5566" t="str">
            <v>99-ES-40781</v>
          </cell>
          <cell r="E5566" t="str">
            <v>LACA NITRO TRANSPARENTE SIGLO</v>
          </cell>
        </row>
        <row r="5567">
          <cell r="A5567" t="str">
            <v>99-ES-40821</v>
          </cell>
          <cell r="E5567" t="str">
            <v>BARNIZ DE POLIURETANO SIGLO</v>
          </cell>
        </row>
        <row r="5568">
          <cell r="A5568" t="str">
            <v>99-ES-40840</v>
          </cell>
          <cell r="E5568" t="str">
            <v>LACAS PARA SOMBREROS</v>
          </cell>
        </row>
        <row r="5569">
          <cell r="A5569" t="str">
            <v>99-ES-40891</v>
          </cell>
          <cell r="E5569" t="str">
            <v>BARNIZ ALQUIDALICO SIGLO</v>
          </cell>
        </row>
        <row r="5570">
          <cell r="A5570" t="str">
            <v>99-ES-40981</v>
          </cell>
          <cell r="E5570" t="str">
            <v>TINTAS BASE SOLVENTE P/MADERA</v>
          </cell>
        </row>
        <row r="5571">
          <cell r="A5571" t="str">
            <v>99-ES-41080</v>
          </cell>
          <cell r="E5571" t="str">
            <v>PRIMARIOS ESTRUCTURALES ALQUID</v>
          </cell>
        </row>
        <row r="5572">
          <cell r="A5572" t="str">
            <v>99-ES-41081</v>
          </cell>
          <cell r="E5572" t="str">
            <v>PRIMARIOS ESTRUCTURALES ALQUID</v>
          </cell>
        </row>
        <row r="5573">
          <cell r="A5573" t="str">
            <v>99-ES-41141</v>
          </cell>
          <cell r="E5573" t="str">
            <v>BARNIZ DE POLIURETANO SIGLO</v>
          </cell>
        </row>
        <row r="5574">
          <cell r="A5574" t="str">
            <v>99-ES-41181</v>
          </cell>
          <cell r="E5574" t="str">
            <v>BARNIZ DE POLIURETANO SIGLO</v>
          </cell>
        </row>
        <row r="5575">
          <cell r="A5575" t="str">
            <v>99-ES-41200</v>
          </cell>
          <cell r="E5575" t="str">
            <v>PRIMARIOS ESTRUCTURALES ALQUID</v>
          </cell>
        </row>
        <row r="5576">
          <cell r="A5576" t="str">
            <v>99-ES-41220</v>
          </cell>
          <cell r="E5576" t="str">
            <v>SOLVENTES INDUSTRIALES</v>
          </cell>
        </row>
        <row r="5577">
          <cell r="A5577" t="str">
            <v>99-ES-41221</v>
          </cell>
          <cell r="E5577" t="str">
            <v>SOLVENTES INDUSTRIALES</v>
          </cell>
        </row>
        <row r="5578">
          <cell r="A5578" t="str">
            <v>99-ES-41241</v>
          </cell>
          <cell r="E5578" t="str">
            <v>BARNIZ DE POLIURETANO SIGLO</v>
          </cell>
        </row>
        <row r="5579">
          <cell r="A5579" t="str">
            <v>99-ES-41251</v>
          </cell>
          <cell r="E5579" t="str">
            <v>BARNIZ DE POLIURETANO SIGLO</v>
          </cell>
        </row>
        <row r="5580">
          <cell r="A5580" t="str">
            <v>99-ES-41261</v>
          </cell>
          <cell r="E5580" t="str">
            <v>TAPAPOROS Y RESANES PARA MADER</v>
          </cell>
        </row>
        <row r="5581">
          <cell r="A5581" t="str">
            <v>99-ES-41271</v>
          </cell>
          <cell r="E5581" t="str">
            <v>SOLVENTES INDUSTRIALES</v>
          </cell>
        </row>
        <row r="5582">
          <cell r="A5582" t="str">
            <v>99-ES-41361</v>
          </cell>
          <cell r="E5582" t="str">
            <v>FONDO DE POLIURETANO</v>
          </cell>
        </row>
        <row r="5583">
          <cell r="A5583" t="str">
            <v>99-ES-41381</v>
          </cell>
          <cell r="E5583" t="str">
            <v>MANCHAS PARA MADERA</v>
          </cell>
        </row>
        <row r="5584">
          <cell r="A5584" t="str">
            <v>99-ES-41430</v>
          </cell>
          <cell r="E5584" t="str">
            <v>LACA NITRO TRANSPARENTE SIGLO</v>
          </cell>
        </row>
        <row r="5585">
          <cell r="A5585" t="str">
            <v>99-ES-41451</v>
          </cell>
          <cell r="E5585" t="str">
            <v>FONDO DE POLIURETANO</v>
          </cell>
        </row>
        <row r="5586">
          <cell r="A5586" t="str">
            <v>99-ES-41511</v>
          </cell>
          <cell r="E5586" t="str">
            <v>LACA NITRO INDUSTRIAL</v>
          </cell>
        </row>
        <row r="5587">
          <cell r="A5587" t="str">
            <v>99-ES-41521</v>
          </cell>
          <cell r="E5587" t="str">
            <v>LACA NITRO INDUSTRIAL</v>
          </cell>
        </row>
        <row r="5588">
          <cell r="A5588" t="str">
            <v>99-ES-41523</v>
          </cell>
          <cell r="E5588" t="str">
            <v>LACA NITRO INDUSTRIAL</v>
          </cell>
        </row>
        <row r="5589">
          <cell r="A5589" t="str">
            <v>99-ES-41524</v>
          </cell>
          <cell r="E5589" t="str">
            <v>LACA NITRO INDUSTRIAL</v>
          </cell>
        </row>
        <row r="5590">
          <cell r="A5590" t="str">
            <v>99-ES-41531</v>
          </cell>
          <cell r="E5590" t="str">
            <v>SELLADORES DE NITROCELULOSA</v>
          </cell>
        </row>
        <row r="5591">
          <cell r="A5591" t="str">
            <v>99-ES-41550</v>
          </cell>
          <cell r="E5591" t="str">
            <v>LACA NITRO TRANSPARENTE SIGLO</v>
          </cell>
        </row>
        <row r="5592">
          <cell r="A5592" t="str">
            <v>99-ES-41561</v>
          </cell>
          <cell r="E5592" t="str">
            <v>ESMALTE ACRILICO</v>
          </cell>
        </row>
        <row r="5593">
          <cell r="A5593" t="str">
            <v>99-ES-41563</v>
          </cell>
          <cell r="E5593" t="str">
            <v>ESMALTE ACRILICO</v>
          </cell>
        </row>
        <row r="5594">
          <cell r="A5594" t="str">
            <v>99-ES-41564</v>
          </cell>
          <cell r="E5594" t="str">
            <v>ESMALTE ACRILICO</v>
          </cell>
        </row>
        <row r="5595">
          <cell r="A5595" t="str">
            <v>99-ES-41571</v>
          </cell>
          <cell r="E5595" t="str">
            <v>ESMALTE ACRILICO</v>
          </cell>
        </row>
        <row r="5596">
          <cell r="A5596" t="str">
            <v>99-ES-41573</v>
          </cell>
          <cell r="E5596" t="str">
            <v>ESMALTE ACRILICO</v>
          </cell>
        </row>
        <row r="5597">
          <cell r="A5597" t="str">
            <v>99-ES-41574</v>
          </cell>
          <cell r="E5597" t="str">
            <v>ESMALTE ACRILICO</v>
          </cell>
        </row>
        <row r="5598">
          <cell r="A5598" t="str">
            <v>99-ES-41591</v>
          </cell>
          <cell r="E5598" t="str">
            <v>LACA NITRO INDUSTRIAL</v>
          </cell>
        </row>
        <row r="5599">
          <cell r="A5599" t="str">
            <v>99-ES-41611</v>
          </cell>
          <cell r="E5599" t="str">
            <v>FONDO DE POLIURETANO</v>
          </cell>
        </row>
        <row r="5600">
          <cell r="A5600" t="str">
            <v>99-ES-41651</v>
          </cell>
          <cell r="E5600" t="str">
            <v>FONDO DE POLIURETANO</v>
          </cell>
        </row>
        <row r="5601">
          <cell r="A5601" t="str">
            <v>99-ES-41661</v>
          </cell>
          <cell r="E5601" t="str">
            <v>FONDO DE POLIURETANO</v>
          </cell>
        </row>
        <row r="5602">
          <cell r="A5602" t="str">
            <v>99-ES-41701</v>
          </cell>
          <cell r="E5602" t="str">
            <v>FONDO DE POLIURETANO</v>
          </cell>
        </row>
        <row r="5603">
          <cell r="A5603" t="str">
            <v>99-ES-41771</v>
          </cell>
          <cell r="E5603" t="str">
            <v>BARNIZ DE POLIURETANO SIGLO</v>
          </cell>
        </row>
        <row r="5604">
          <cell r="A5604" t="str">
            <v>99-ES-41811</v>
          </cell>
          <cell r="E5604" t="str">
            <v>BARNIZ DE POLIURETANO SIGLO</v>
          </cell>
        </row>
        <row r="5605">
          <cell r="A5605" t="str">
            <v>99-ES-41860</v>
          </cell>
          <cell r="E5605" t="str">
            <v>LACA NITRO TRANSPARENTE SIGLO</v>
          </cell>
        </row>
        <row r="5606">
          <cell r="A5606" t="str">
            <v>99-ES-41931</v>
          </cell>
          <cell r="E5606" t="str">
            <v>LACA NITRO INDUSTRIAL</v>
          </cell>
        </row>
        <row r="5607">
          <cell r="A5607" t="str">
            <v>99-ES-41970</v>
          </cell>
          <cell r="E5607" t="str">
            <v>OTROS ACABADOS PARA MADERA SIG</v>
          </cell>
        </row>
        <row r="5608">
          <cell r="A5608" t="str">
            <v>99-ES-41971</v>
          </cell>
          <cell r="E5608" t="str">
            <v>OTROS ACABADOS PARA MADERA SIG</v>
          </cell>
        </row>
        <row r="5609">
          <cell r="A5609" t="str">
            <v>99-ES-42001</v>
          </cell>
          <cell r="E5609" t="str">
            <v>FONDO DE POLIURETANO</v>
          </cell>
        </row>
        <row r="5610">
          <cell r="A5610" t="str">
            <v>99-ES-42021</v>
          </cell>
          <cell r="E5610" t="str">
            <v>LACA NITRO TRANSPARENTE SIGLO</v>
          </cell>
        </row>
        <row r="5611">
          <cell r="A5611" t="str">
            <v>99-ES-42061</v>
          </cell>
          <cell r="E5611" t="str">
            <v>LACA NITRO INDUSTRIAL</v>
          </cell>
        </row>
        <row r="5612">
          <cell r="A5612" t="str">
            <v>99-ES-42081</v>
          </cell>
          <cell r="E5612" t="str">
            <v>LACA NITRO INDUSTRIAL</v>
          </cell>
        </row>
        <row r="5613">
          <cell r="A5613" t="str">
            <v>99-ES-42091</v>
          </cell>
          <cell r="E5613" t="str">
            <v>TINTAS BASE SOLVENTE P/MADERA</v>
          </cell>
        </row>
        <row r="5614">
          <cell r="A5614" t="str">
            <v>99-ES-42121</v>
          </cell>
          <cell r="E5614" t="str">
            <v>LACA NITRO TRANSPARENTE SIGLO</v>
          </cell>
        </row>
        <row r="5615">
          <cell r="A5615" t="str">
            <v>99-ES-42141</v>
          </cell>
          <cell r="E5615" t="str">
            <v>LACA NITRO TRANSPARENTE SIGLO</v>
          </cell>
        </row>
        <row r="5616">
          <cell r="A5616" t="str">
            <v>99-ES-42171</v>
          </cell>
          <cell r="E5616" t="str">
            <v>LACA NITRO INDUSTRIAL</v>
          </cell>
        </row>
        <row r="5617">
          <cell r="A5617" t="str">
            <v>99-ES-42181</v>
          </cell>
          <cell r="E5617" t="str">
            <v>LACA NITRO INDUSTRIAL</v>
          </cell>
        </row>
        <row r="5618">
          <cell r="A5618" t="str">
            <v>99-ES-42251</v>
          </cell>
          <cell r="E5618" t="str">
            <v>ESMALTE ACRILICO</v>
          </cell>
        </row>
        <row r="5619">
          <cell r="A5619" t="str">
            <v>99-ES-42260</v>
          </cell>
          <cell r="E5619" t="str">
            <v>LACA NITRO TRANSPARENTE SIGLO</v>
          </cell>
        </row>
        <row r="5620">
          <cell r="A5620" t="str">
            <v>99-ES-42261</v>
          </cell>
          <cell r="E5620" t="str">
            <v>LACA NITRO TRANSPARENTE SIGLO</v>
          </cell>
        </row>
        <row r="5621">
          <cell r="A5621" t="str">
            <v>99-ES-42311</v>
          </cell>
          <cell r="E5621" t="str">
            <v>FONDO DE NITROCELULOSA</v>
          </cell>
        </row>
        <row r="5622">
          <cell r="A5622" t="str">
            <v>99-ES-42313</v>
          </cell>
          <cell r="E5622" t="str">
            <v>FONDO DE NITROCELULOSA</v>
          </cell>
        </row>
        <row r="5623">
          <cell r="A5623" t="str">
            <v>99-ES-42351</v>
          </cell>
          <cell r="E5623" t="str">
            <v>LACA NITRO INDUSTRIAL</v>
          </cell>
        </row>
        <row r="5624">
          <cell r="A5624" t="str">
            <v>99-ES-42361</v>
          </cell>
          <cell r="E5624" t="str">
            <v>TINTAS BASE SOLVENTE P/MADERA</v>
          </cell>
        </row>
        <row r="5625">
          <cell r="A5625" t="str">
            <v>99-ES-42391</v>
          </cell>
          <cell r="E5625" t="str">
            <v>FONDO DE NITROCELULOSA</v>
          </cell>
        </row>
        <row r="5626">
          <cell r="A5626" t="str">
            <v>99-ES-42401</v>
          </cell>
          <cell r="E5626" t="str">
            <v>LACA NITRO INDUSTRIAL</v>
          </cell>
        </row>
        <row r="5627">
          <cell r="A5627" t="str">
            <v>99-ES-42431</v>
          </cell>
          <cell r="E5627" t="str">
            <v>LACA NITRO TRANSPARENTE SIGLO</v>
          </cell>
        </row>
        <row r="5628">
          <cell r="A5628" t="str">
            <v>99-ES-42464</v>
          </cell>
          <cell r="E5628" t="str">
            <v>BARNIZ DE POLIURETANO SIGLO</v>
          </cell>
        </row>
        <row r="5629">
          <cell r="A5629" t="str">
            <v>99-ES-42471</v>
          </cell>
          <cell r="E5629" t="str">
            <v>ESMALTE ACRILICO</v>
          </cell>
        </row>
        <row r="5630">
          <cell r="A5630" t="str">
            <v>99-ES-42541</v>
          </cell>
          <cell r="E5630" t="str">
            <v>LACAS PARA SOMBREROS</v>
          </cell>
        </row>
        <row r="5631">
          <cell r="A5631" t="str">
            <v>99-ES-42650</v>
          </cell>
          <cell r="E5631" t="str">
            <v>LACAS PARA SOMBREROS</v>
          </cell>
        </row>
        <row r="5632">
          <cell r="A5632" t="str">
            <v>99-ES-42670</v>
          </cell>
          <cell r="E5632" t="str">
            <v>LACA NITRO TRANSPARENTE SIGLO</v>
          </cell>
        </row>
        <row r="5633">
          <cell r="A5633" t="str">
            <v>99-ES-42751</v>
          </cell>
          <cell r="E5633" t="str">
            <v>ACABADOS DE PU</v>
          </cell>
        </row>
        <row r="5634">
          <cell r="A5634" t="str">
            <v>99-ES-42781</v>
          </cell>
          <cell r="E5634" t="str">
            <v>OTROS ACABADOS PARA MADERA SIG</v>
          </cell>
        </row>
        <row r="5635">
          <cell r="A5635" t="str">
            <v>99-ES-42821</v>
          </cell>
          <cell r="E5635" t="str">
            <v>LACA NITRO TRANSPARENTE SIGLO</v>
          </cell>
        </row>
        <row r="5636">
          <cell r="A5636" t="str">
            <v>99-ES-42851</v>
          </cell>
          <cell r="E5636" t="str">
            <v>FONDO DE POLIURETANO</v>
          </cell>
        </row>
        <row r="5637">
          <cell r="A5637" t="str">
            <v>99-ES-42870</v>
          </cell>
          <cell r="E5637" t="str">
            <v>LACAS PARA SOMBREROS</v>
          </cell>
        </row>
        <row r="5638">
          <cell r="A5638" t="str">
            <v>99-ES-42911</v>
          </cell>
          <cell r="E5638" t="str">
            <v>FONDO DE POLIURETANO</v>
          </cell>
        </row>
        <row r="5639">
          <cell r="A5639" t="str">
            <v>99-ES-42921</v>
          </cell>
          <cell r="E5639" t="str">
            <v>BARNIZ DE POLIURETANO SIGLO</v>
          </cell>
        </row>
        <row r="5640">
          <cell r="A5640" t="str">
            <v>99-ES-42931</v>
          </cell>
          <cell r="E5640" t="str">
            <v>FONDO DE POLIURETANO</v>
          </cell>
        </row>
        <row r="5641">
          <cell r="A5641" t="str">
            <v>99-ES-42941</v>
          </cell>
          <cell r="E5641" t="str">
            <v>LACA NITRO INDUSTRIAL</v>
          </cell>
        </row>
        <row r="5642">
          <cell r="A5642" t="str">
            <v>99-ES-42981</v>
          </cell>
          <cell r="E5642" t="str">
            <v>LACA NITRO INDUSTRIAL</v>
          </cell>
        </row>
        <row r="5643">
          <cell r="A5643" t="str">
            <v>99-ES-43010</v>
          </cell>
          <cell r="E5643" t="str">
            <v>LACAS PARA SOMBREROS</v>
          </cell>
        </row>
        <row r="5644">
          <cell r="A5644" t="str">
            <v>99-ES-43011</v>
          </cell>
          <cell r="E5644" t="str">
            <v>LACAS PARA SOMBREROS</v>
          </cell>
        </row>
        <row r="5645">
          <cell r="A5645" t="str">
            <v>99-ES-43031</v>
          </cell>
          <cell r="E5645" t="str">
            <v>FONDO DE NITROCELULOSA</v>
          </cell>
        </row>
        <row r="5646">
          <cell r="A5646" t="str">
            <v>99-ES-43041</v>
          </cell>
          <cell r="E5646" t="str">
            <v>FONDO DE NITROCELULOSA</v>
          </cell>
        </row>
        <row r="5647">
          <cell r="A5647" t="str">
            <v>99-ES-43051</v>
          </cell>
          <cell r="E5647" t="str">
            <v>FONDO DE NITROCELULOSA</v>
          </cell>
        </row>
        <row r="5648">
          <cell r="A5648" t="str">
            <v>99-ES-43061</v>
          </cell>
          <cell r="E5648" t="str">
            <v>BARNIZ DE POLIURETANO SIGLO</v>
          </cell>
        </row>
        <row r="5649">
          <cell r="A5649" t="str">
            <v>99-ES-43071</v>
          </cell>
          <cell r="E5649" t="str">
            <v>BARNIZ DE POLIURETANO SIGLO</v>
          </cell>
        </row>
        <row r="5650">
          <cell r="A5650" t="str">
            <v>99-ES-43081</v>
          </cell>
          <cell r="E5650" t="str">
            <v>BARNIZ DE POLIURETANO SIGLO</v>
          </cell>
        </row>
        <row r="5651">
          <cell r="A5651" t="str">
            <v>99-ES-43091</v>
          </cell>
          <cell r="E5651" t="str">
            <v>FONDO DE POLIURETANO</v>
          </cell>
        </row>
        <row r="5652">
          <cell r="A5652" t="str">
            <v>99-ES-43101</v>
          </cell>
          <cell r="E5652" t="str">
            <v>FONDO DE POLIURETANO</v>
          </cell>
        </row>
        <row r="5653">
          <cell r="A5653" t="str">
            <v>99-ES-43111</v>
          </cell>
          <cell r="E5653" t="str">
            <v>SELLADORES DE POLIURETANO</v>
          </cell>
        </row>
        <row r="5654">
          <cell r="A5654" t="str">
            <v>99-ES-43121</v>
          </cell>
          <cell r="E5654" t="str">
            <v>FONDO DE POLIURETANO</v>
          </cell>
        </row>
        <row r="5655">
          <cell r="A5655" t="str">
            <v>99-ES-43151</v>
          </cell>
          <cell r="E5655" t="str">
            <v>OTROS ACABADOS PARA MADERA SIG</v>
          </cell>
        </row>
        <row r="5656">
          <cell r="A5656" t="str">
            <v>99-ES-43153</v>
          </cell>
          <cell r="E5656" t="str">
            <v>OTROS ACABADOS PARA MADERA SIG</v>
          </cell>
        </row>
        <row r="5657">
          <cell r="A5657" t="str">
            <v>99-ES-43160</v>
          </cell>
          <cell r="E5657" t="str">
            <v>FONDO DE POLIURETANO</v>
          </cell>
        </row>
        <row r="5658">
          <cell r="A5658" t="str">
            <v>99-ES-43171</v>
          </cell>
          <cell r="E5658" t="str">
            <v>ESMALTE ACRILICO</v>
          </cell>
        </row>
        <row r="5659">
          <cell r="A5659" t="str">
            <v>99-ES-43173</v>
          </cell>
          <cell r="E5659" t="str">
            <v>ESMALTE ACRILICO</v>
          </cell>
        </row>
        <row r="5660">
          <cell r="A5660" t="str">
            <v>99-ES-43174</v>
          </cell>
          <cell r="E5660" t="str">
            <v>ESMALTE ACRILICO</v>
          </cell>
        </row>
        <row r="5661">
          <cell r="A5661" t="str">
            <v>99-ES-43181</v>
          </cell>
          <cell r="E5661" t="str">
            <v>OTROS ACABADOS PARA MADERA SIG</v>
          </cell>
        </row>
        <row r="5662">
          <cell r="A5662" t="str">
            <v>99-ES-43210</v>
          </cell>
          <cell r="E5662" t="str">
            <v>LACA NITRO INDUSTRIAL</v>
          </cell>
        </row>
        <row r="5663">
          <cell r="A5663" t="str">
            <v>99-ES-43230</v>
          </cell>
          <cell r="E5663" t="str">
            <v>LACA NITRO INDUSTRIAL</v>
          </cell>
        </row>
        <row r="5664">
          <cell r="A5664" t="str">
            <v>99-ES-43240</v>
          </cell>
          <cell r="E5664" t="str">
            <v>LACA NITRO TRANSPARENTE SIGLO</v>
          </cell>
        </row>
        <row r="5665">
          <cell r="A5665" t="str">
            <v>99-ES-43251</v>
          </cell>
          <cell r="E5665" t="str">
            <v>BARNIZ DE SECADO RAPIDO SIGLO</v>
          </cell>
        </row>
        <row r="5666">
          <cell r="A5666" t="str">
            <v>99-ES-43254</v>
          </cell>
          <cell r="E5666" t="str">
            <v>BARNIZ DE SECADO RAPIDO SIGLO</v>
          </cell>
        </row>
        <row r="5667">
          <cell r="A5667" t="str">
            <v>99-ES-43261</v>
          </cell>
          <cell r="E5667" t="str">
            <v>FONDO DE POLIURETANO</v>
          </cell>
        </row>
        <row r="5668">
          <cell r="A5668" t="str">
            <v>99-ES-43280</v>
          </cell>
          <cell r="E5668" t="str">
            <v>SELLADORES DE NITROCELULOSA</v>
          </cell>
        </row>
        <row r="5669">
          <cell r="A5669" t="str">
            <v>99-ES-43291</v>
          </cell>
          <cell r="E5669" t="str">
            <v>BARNIZ DE POLIURETANO SIGLO</v>
          </cell>
        </row>
        <row r="5670">
          <cell r="A5670" t="str">
            <v>99-ES-43301</v>
          </cell>
          <cell r="E5670" t="str">
            <v>LACA NITRO INDUSTRIAL</v>
          </cell>
        </row>
        <row r="5671">
          <cell r="A5671" t="str">
            <v>99-ES-43311</v>
          </cell>
          <cell r="E5671" t="str">
            <v>MANCHAS PARA MADERA</v>
          </cell>
        </row>
        <row r="5672">
          <cell r="A5672" t="str">
            <v>99-ES-43314</v>
          </cell>
          <cell r="E5672" t="str">
            <v>MANCHAS PARA MADERA</v>
          </cell>
        </row>
        <row r="5673">
          <cell r="A5673" t="str">
            <v>99-ES-43321</v>
          </cell>
          <cell r="E5673" t="str">
            <v>MANCHAS PARA MADERA</v>
          </cell>
        </row>
        <row r="5674">
          <cell r="A5674" t="str">
            <v>99-ES-43324</v>
          </cell>
          <cell r="E5674" t="str">
            <v>MANCHAS PARA MADERA</v>
          </cell>
        </row>
        <row r="5675">
          <cell r="A5675" t="str">
            <v>99-ES-43331</v>
          </cell>
          <cell r="E5675" t="str">
            <v>MANCHAS PARA MADERA</v>
          </cell>
        </row>
        <row r="5676">
          <cell r="A5676" t="str">
            <v>99-ES-43334</v>
          </cell>
          <cell r="E5676" t="str">
            <v>MANCHAS PARA MADERA</v>
          </cell>
        </row>
        <row r="5677">
          <cell r="A5677" t="str">
            <v>99-ES-43341</v>
          </cell>
          <cell r="E5677" t="str">
            <v>MANCHAS PARA MADERA</v>
          </cell>
        </row>
        <row r="5678">
          <cell r="A5678" t="str">
            <v>99-ES-43344</v>
          </cell>
          <cell r="E5678" t="str">
            <v>MANCHAS PARA MADERA</v>
          </cell>
        </row>
        <row r="5679">
          <cell r="A5679" t="str">
            <v>99-ES-43350</v>
          </cell>
          <cell r="E5679" t="str">
            <v>SELLADORES DE NITROCELULOSA</v>
          </cell>
        </row>
        <row r="5680">
          <cell r="A5680" t="str">
            <v>99-ES-43361</v>
          </cell>
          <cell r="E5680" t="str">
            <v>LACA NITRO TRANSPARENTE SIGLO</v>
          </cell>
        </row>
        <row r="5681">
          <cell r="A5681" t="str">
            <v>99-ES-43371</v>
          </cell>
          <cell r="E5681" t="str">
            <v>LACA NITRO TRANSPARENTE SIGLO</v>
          </cell>
        </row>
        <row r="5682">
          <cell r="A5682" t="str">
            <v>99-ES-43381</v>
          </cell>
          <cell r="E5682" t="str">
            <v>LACA NITRO TRANSPARENTE SIGLO</v>
          </cell>
        </row>
        <row r="5683">
          <cell r="A5683" t="str">
            <v>99-ES-43391</v>
          </cell>
          <cell r="E5683" t="str">
            <v>LACA NITRO TRANSPARENTE SIGLO</v>
          </cell>
        </row>
        <row r="5684">
          <cell r="A5684" t="str">
            <v>99-ES-43401</v>
          </cell>
          <cell r="E5684" t="str">
            <v>LACA NITRO TRANSPARENTE SIGLO</v>
          </cell>
        </row>
        <row r="5685">
          <cell r="A5685" t="str">
            <v>99-ES-43411</v>
          </cell>
          <cell r="E5685" t="str">
            <v>FONDO DE POLIURETANO</v>
          </cell>
        </row>
        <row r="5686">
          <cell r="A5686" t="str">
            <v>99-ES-43421</v>
          </cell>
          <cell r="E5686" t="str">
            <v>BARNIZ DE POLIURETANO SIGLO</v>
          </cell>
        </row>
        <row r="5687">
          <cell r="A5687" t="str">
            <v>99-ES-43430</v>
          </cell>
          <cell r="E5687" t="str">
            <v>LACA NITRO TRANSPARENTE SIGLO</v>
          </cell>
        </row>
        <row r="5688">
          <cell r="A5688" t="str">
            <v>99-ES-43451</v>
          </cell>
          <cell r="E5688" t="str">
            <v>FONDO DE POLIURETANO</v>
          </cell>
        </row>
        <row r="5689">
          <cell r="A5689" t="str">
            <v>99-ES-43460</v>
          </cell>
          <cell r="E5689" t="str">
            <v>LACA NITRO INDUSTRIAL</v>
          </cell>
        </row>
        <row r="5690">
          <cell r="A5690" t="str">
            <v>99-ES-43981</v>
          </cell>
          <cell r="E5690" t="str">
            <v>ESMALTE ACRILICO</v>
          </cell>
        </row>
        <row r="5691">
          <cell r="A5691" t="str">
            <v>99-ES-44061</v>
          </cell>
          <cell r="E5691" t="str">
            <v>ESMALTE ACRILICO</v>
          </cell>
        </row>
        <row r="5692">
          <cell r="A5692" t="str">
            <v>99-ES-44601</v>
          </cell>
          <cell r="E5692" t="str">
            <v>ESMALTE ACRILICO</v>
          </cell>
        </row>
        <row r="5693">
          <cell r="A5693" t="str">
            <v>99-ES-44791</v>
          </cell>
          <cell r="E5693" t="str">
            <v>ESMALTE ACRILICO</v>
          </cell>
        </row>
        <row r="5694">
          <cell r="A5694" t="str">
            <v>99-ES-44801</v>
          </cell>
          <cell r="E5694" t="str">
            <v>ESMALTE ACRILICO</v>
          </cell>
        </row>
        <row r="5695">
          <cell r="A5695" t="str">
            <v>99-ES-44811</v>
          </cell>
          <cell r="E5695" t="str">
            <v>ESMALTE ACRILICO</v>
          </cell>
        </row>
        <row r="5696">
          <cell r="A5696" t="str">
            <v>99-ES-44821</v>
          </cell>
          <cell r="E5696" t="str">
            <v>ESMALTE ACRILICO</v>
          </cell>
        </row>
        <row r="5697">
          <cell r="A5697" t="str">
            <v>99-ES-44831</v>
          </cell>
          <cell r="E5697" t="str">
            <v>ESMALTE ACRILICO</v>
          </cell>
        </row>
        <row r="5698">
          <cell r="A5698" t="str">
            <v>99-ES-44841</v>
          </cell>
          <cell r="E5698" t="str">
            <v>ESMALTE ACRILICO</v>
          </cell>
        </row>
        <row r="5699">
          <cell r="A5699" t="str">
            <v>99-ES-45061</v>
          </cell>
          <cell r="E5699" t="str">
            <v>ESMALTE ACRILICO</v>
          </cell>
        </row>
        <row r="5700">
          <cell r="A5700" t="str">
            <v>99-ES-45321</v>
          </cell>
          <cell r="E5700" t="str">
            <v>ESMALTE ACRILICO</v>
          </cell>
        </row>
        <row r="5701">
          <cell r="A5701" t="str">
            <v>99-ES-60123</v>
          </cell>
          <cell r="E5701" t="str">
            <v>ACABADOS DE PU</v>
          </cell>
        </row>
        <row r="5702">
          <cell r="A5702" t="str">
            <v>99-ES-60131</v>
          </cell>
          <cell r="E5702" t="str">
            <v>ACABADOS DE PU</v>
          </cell>
        </row>
        <row r="5703">
          <cell r="A5703" t="str">
            <v>99-ES-60133</v>
          </cell>
          <cell r="E5703" t="str">
            <v>ACABADOS DE PU</v>
          </cell>
        </row>
        <row r="5704">
          <cell r="A5704" t="str">
            <v>99-ES-60143</v>
          </cell>
          <cell r="E5704" t="str">
            <v>ACABADOS DE PU</v>
          </cell>
        </row>
        <row r="5705">
          <cell r="A5705" t="str">
            <v>99-ES-60181</v>
          </cell>
          <cell r="E5705" t="str">
            <v>ACABADOS DE PU</v>
          </cell>
        </row>
        <row r="5706">
          <cell r="A5706" t="str">
            <v>99-ES-60261</v>
          </cell>
          <cell r="E5706" t="str">
            <v>ACABADOS DE PU</v>
          </cell>
        </row>
        <row r="5707">
          <cell r="A5707" t="str">
            <v>99-ES-60263</v>
          </cell>
          <cell r="E5707" t="str">
            <v>ACABADOS DE PU</v>
          </cell>
        </row>
        <row r="5708">
          <cell r="A5708" t="str">
            <v>99-ES-60281</v>
          </cell>
          <cell r="E5708" t="str">
            <v>ACABADOS DE PU</v>
          </cell>
        </row>
        <row r="5709">
          <cell r="A5709" t="str">
            <v>99-ES-60301</v>
          </cell>
          <cell r="E5709" t="str">
            <v>ACABADOS DE PU</v>
          </cell>
        </row>
        <row r="5710">
          <cell r="A5710" t="str">
            <v>99-ES-60303</v>
          </cell>
          <cell r="E5710" t="str">
            <v>ACABADOS DE PU</v>
          </cell>
        </row>
        <row r="5711">
          <cell r="A5711" t="str">
            <v>99-ES-60333</v>
          </cell>
          <cell r="E5711" t="str">
            <v>ACABADOS DE PU</v>
          </cell>
        </row>
        <row r="5712">
          <cell r="A5712" t="str">
            <v>99-ES-60363</v>
          </cell>
          <cell r="E5712" t="str">
            <v>ACABADOS EPOXICOS</v>
          </cell>
        </row>
        <row r="5713">
          <cell r="A5713" t="str">
            <v>99-ES-60503</v>
          </cell>
          <cell r="E5713" t="str">
            <v>ACABADOS DE PU</v>
          </cell>
        </row>
        <row r="5714">
          <cell r="A5714" t="str">
            <v>99-ES-60701</v>
          </cell>
          <cell r="E5714" t="str">
            <v>ACABADOS ALQUIDALICOS</v>
          </cell>
        </row>
        <row r="5715">
          <cell r="A5715" t="str">
            <v>99-ES-60793</v>
          </cell>
          <cell r="E5715" t="str">
            <v>ACABADOS EPOXICOS</v>
          </cell>
        </row>
        <row r="5716">
          <cell r="A5716" t="str">
            <v>99-ES-60803</v>
          </cell>
          <cell r="E5716" t="str">
            <v>ACABADOS DE PU</v>
          </cell>
        </row>
        <row r="5717">
          <cell r="A5717" t="str">
            <v>99-ES-60891</v>
          </cell>
          <cell r="E5717" t="str">
            <v>PRIMARIOS EPOXICOS</v>
          </cell>
        </row>
        <row r="5718">
          <cell r="A5718" t="str">
            <v>99-ES-60921</v>
          </cell>
          <cell r="E5718" t="str">
            <v>ACABADOS DE PU</v>
          </cell>
        </row>
        <row r="5719">
          <cell r="A5719" t="str">
            <v>99-ES-60931</v>
          </cell>
          <cell r="E5719" t="str">
            <v>ACABADOS DE ALTA TEMPERATURA</v>
          </cell>
        </row>
        <row r="5720">
          <cell r="A5720" t="str">
            <v>99-ES-60943</v>
          </cell>
          <cell r="E5720" t="str">
            <v>ACABADOS DE PU</v>
          </cell>
        </row>
        <row r="5721">
          <cell r="A5721" t="str">
            <v>99-ES-61071</v>
          </cell>
          <cell r="E5721" t="str">
            <v>ACABADOS EPOXICOS</v>
          </cell>
        </row>
        <row r="5722">
          <cell r="A5722" t="str">
            <v>99-ES-61083</v>
          </cell>
          <cell r="E5722" t="str">
            <v>ACABADOS DE ALTA TEMPERATURA</v>
          </cell>
        </row>
        <row r="5723">
          <cell r="A5723" t="str">
            <v>99-ES-61103</v>
          </cell>
          <cell r="E5723" t="str">
            <v>PRETRATAMIENTO METALICO INDUST</v>
          </cell>
        </row>
        <row r="5724">
          <cell r="A5724" t="str">
            <v>99-ES-61161</v>
          </cell>
          <cell r="E5724" t="str">
            <v>ACABADOS EPOXICOS</v>
          </cell>
        </row>
        <row r="5725">
          <cell r="A5725" t="str">
            <v>99-ES-61171</v>
          </cell>
          <cell r="E5725" t="str">
            <v>ACABADOS EPOXICOS</v>
          </cell>
        </row>
        <row r="5726">
          <cell r="A5726" t="str">
            <v>99-ES-61331</v>
          </cell>
          <cell r="E5726" t="str">
            <v>ACABADOS ALQUIDALICOS AL-20</v>
          </cell>
        </row>
        <row r="5727">
          <cell r="A5727" t="str">
            <v>99-ES-61341</v>
          </cell>
          <cell r="E5727" t="str">
            <v>ACABADOS ALQUIDALICOS AL-20</v>
          </cell>
        </row>
        <row r="5728">
          <cell r="A5728" t="str">
            <v>99-ES-61361</v>
          </cell>
          <cell r="E5728" t="str">
            <v>ACABADOS ALQUIDALICOS AL-20</v>
          </cell>
        </row>
        <row r="5729">
          <cell r="A5729" t="str">
            <v>99-ES-61537</v>
          </cell>
          <cell r="E5729" t="str">
            <v>PRETRATAMIENTO METALICO INDUST</v>
          </cell>
        </row>
        <row r="5730">
          <cell r="A5730" t="str">
            <v>99-ES-61541</v>
          </cell>
          <cell r="E5730" t="str">
            <v>ACABADOS DE PU</v>
          </cell>
        </row>
        <row r="5731">
          <cell r="A5731" t="str">
            <v>99-ES-61553</v>
          </cell>
          <cell r="E5731" t="str">
            <v>ACABADOS EPOXICOS</v>
          </cell>
        </row>
        <row r="5732">
          <cell r="A5732" t="str">
            <v>99-ES-61626</v>
          </cell>
          <cell r="E5732" t="str">
            <v>PRETRATAMIENTO METALICO INDUST</v>
          </cell>
        </row>
        <row r="5733">
          <cell r="A5733" t="str">
            <v>99-ES-61661</v>
          </cell>
          <cell r="E5733" t="str">
            <v>ACABADOS DE PU</v>
          </cell>
        </row>
        <row r="5734">
          <cell r="A5734" t="str">
            <v>99-ES-61671</v>
          </cell>
          <cell r="E5734" t="str">
            <v>ACABADOS DE PU</v>
          </cell>
        </row>
        <row r="5735">
          <cell r="A5735" t="str">
            <v>99-ES-61683</v>
          </cell>
          <cell r="E5735" t="str">
            <v>ACABADOS DE PU</v>
          </cell>
        </row>
        <row r="5736">
          <cell r="A5736" t="str">
            <v>99-ES-61691</v>
          </cell>
          <cell r="E5736" t="str">
            <v>ACABADOS DE PU</v>
          </cell>
        </row>
        <row r="5737">
          <cell r="A5737" t="str">
            <v>99-ES-61711</v>
          </cell>
          <cell r="E5737" t="str">
            <v>PRIMARIOS ALQUIDALICOS</v>
          </cell>
        </row>
        <row r="5738">
          <cell r="A5738" t="str">
            <v>99-ES-61744</v>
          </cell>
          <cell r="E5738" t="str">
            <v>OTROS ACABADOS INDUSTRIALES</v>
          </cell>
        </row>
        <row r="5739">
          <cell r="A5739" t="str">
            <v>99-ES-61781</v>
          </cell>
          <cell r="E5739" t="str">
            <v>ACABADOS DE PU</v>
          </cell>
        </row>
        <row r="5740">
          <cell r="A5740" t="str">
            <v>99-ES-61801</v>
          </cell>
          <cell r="E5740" t="str">
            <v>ACABADOS DE PU</v>
          </cell>
        </row>
        <row r="5741">
          <cell r="A5741" t="str">
            <v>99-ES-61983</v>
          </cell>
          <cell r="E5741" t="str">
            <v>ACABADOS DE PU</v>
          </cell>
        </row>
        <row r="5742">
          <cell r="A5742" t="str">
            <v>99-ES-62001</v>
          </cell>
          <cell r="E5742" t="str">
            <v>ACABADOS DE PU</v>
          </cell>
        </row>
        <row r="5743">
          <cell r="A5743" t="str">
            <v>99-ES-62064</v>
          </cell>
          <cell r="E5743" t="str">
            <v>ACABADOS EPOXICOS</v>
          </cell>
        </row>
        <row r="5744">
          <cell r="A5744" t="str">
            <v>99-ES-62074</v>
          </cell>
          <cell r="E5744" t="str">
            <v>ACABADOS EPOXICOS</v>
          </cell>
        </row>
        <row r="5745">
          <cell r="A5745" t="str">
            <v>99-ES-62091</v>
          </cell>
          <cell r="E5745" t="str">
            <v>ACABADOS DE PU</v>
          </cell>
        </row>
        <row r="5746">
          <cell r="A5746" t="str">
            <v>99-ES-62111</v>
          </cell>
          <cell r="E5746" t="str">
            <v>ACABADOS EPOXICOS</v>
          </cell>
        </row>
        <row r="5747">
          <cell r="A5747" t="str">
            <v>99-ES-62171</v>
          </cell>
          <cell r="E5747" t="str">
            <v>ACABADOS DE PU</v>
          </cell>
        </row>
        <row r="5748">
          <cell r="A5748" t="str">
            <v>99-ES-62181</v>
          </cell>
          <cell r="E5748" t="str">
            <v>ACABADOS DE PU</v>
          </cell>
        </row>
        <row r="5749">
          <cell r="A5749" t="str">
            <v>99-ES-62231</v>
          </cell>
          <cell r="E5749" t="str">
            <v>ACABADOS EPOXICOS</v>
          </cell>
        </row>
        <row r="5750">
          <cell r="A5750" t="str">
            <v>99-ES-62243</v>
          </cell>
          <cell r="E5750" t="str">
            <v>ACABADOS DE PU</v>
          </cell>
        </row>
        <row r="5751">
          <cell r="A5751" t="str">
            <v>99-ES-62271</v>
          </cell>
          <cell r="E5751" t="str">
            <v>ACABADOS EPOXICOS</v>
          </cell>
        </row>
        <row r="5752">
          <cell r="A5752" t="str">
            <v>99-ES-62281</v>
          </cell>
          <cell r="E5752" t="str">
            <v>ACABADOS EPOXICOS</v>
          </cell>
        </row>
        <row r="5753">
          <cell r="A5753" t="str">
            <v>99-ES-62283</v>
          </cell>
          <cell r="E5753" t="str">
            <v>ACABADOS EPOXICOS</v>
          </cell>
        </row>
        <row r="5754">
          <cell r="A5754" t="str">
            <v>99-ES-62313</v>
          </cell>
          <cell r="E5754" t="str">
            <v>ACABADOS DE PU</v>
          </cell>
        </row>
        <row r="5755">
          <cell r="A5755" t="str">
            <v>99-ES-62321</v>
          </cell>
          <cell r="E5755" t="str">
            <v>ACABADOS DE PU</v>
          </cell>
        </row>
        <row r="5756">
          <cell r="A5756" t="str">
            <v>99-ES-62333</v>
          </cell>
          <cell r="E5756" t="str">
            <v>ACABADOS DE PU</v>
          </cell>
        </row>
        <row r="5757">
          <cell r="A5757" t="str">
            <v>99-ES-62361</v>
          </cell>
          <cell r="E5757" t="str">
            <v>ACABADOS EPOXICOS</v>
          </cell>
        </row>
        <row r="5758">
          <cell r="A5758" t="str">
            <v>99-ES-62373</v>
          </cell>
          <cell r="E5758" t="str">
            <v>ACABADOS EPOXICOS</v>
          </cell>
        </row>
        <row r="5759">
          <cell r="A5759" t="str">
            <v>99-ES-62381</v>
          </cell>
          <cell r="E5759" t="str">
            <v>ACABADOS DE PU</v>
          </cell>
        </row>
        <row r="5760">
          <cell r="A5760" t="str">
            <v>99-ES-62391</v>
          </cell>
          <cell r="E5760" t="str">
            <v>ACABADOS EPOXICOS</v>
          </cell>
        </row>
        <row r="5761">
          <cell r="A5761" t="str">
            <v>99-ES-62393</v>
          </cell>
          <cell r="E5761" t="str">
            <v>ACABADOS EPOXICOS</v>
          </cell>
        </row>
        <row r="5762">
          <cell r="A5762" t="str">
            <v>99-ES-62413</v>
          </cell>
          <cell r="E5762" t="str">
            <v>ACABADOS EPOXICOS</v>
          </cell>
        </row>
        <row r="5763">
          <cell r="A5763" t="str">
            <v>99-ES-62421</v>
          </cell>
          <cell r="E5763" t="str">
            <v>ACABADOS EPOXICOS</v>
          </cell>
        </row>
        <row r="5764">
          <cell r="A5764" t="str">
            <v>99-ES-62423</v>
          </cell>
          <cell r="E5764" t="str">
            <v>ACABADOS EPOXICOS</v>
          </cell>
        </row>
        <row r="5765">
          <cell r="A5765" t="str">
            <v>99-ES-62431</v>
          </cell>
          <cell r="E5765" t="str">
            <v>ACABADOS EPOXICOS</v>
          </cell>
        </row>
        <row r="5766">
          <cell r="A5766" t="str">
            <v>99-ES-62441</v>
          </cell>
          <cell r="E5766" t="str">
            <v>ACABADOS EPOXICOS</v>
          </cell>
        </row>
        <row r="5767">
          <cell r="A5767" t="str">
            <v>99-ES-62453</v>
          </cell>
          <cell r="E5767" t="str">
            <v>ACABADOS EPOXICOS</v>
          </cell>
        </row>
        <row r="5768">
          <cell r="A5768" t="str">
            <v>99-ES-62461</v>
          </cell>
          <cell r="E5768" t="str">
            <v>ACABADOS DE PU</v>
          </cell>
        </row>
        <row r="5769">
          <cell r="A5769" t="str">
            <v>99-ES-62471</v>
          </cell>
          <cell r="E5769" t="str">
            <v>ACABADOS DE PU</v>
          </cell>
        </row>
        <row r="5770">
          <cell r="A5770" t="str">
            <v>99-ES-62481</v>
          </cell>
          <cell r="E5770" t="str">
            <v>ACABADOS ALQUIDALICOS</v>
          </cell>
        </row>
        <row r="5771">
          <cell r="A5771" t="str">
            <v>99-ES-62493</v>
          </cell>
          <cell r="E5771" t="str">
            <v>ACABADOS DE PU</v>
          </cell>
        </row>
        <row r="5772">
          <cell r="A5772" t="str">
            <v>99-ES-62503</v>
          </cell>
          <cell r="E5772" t="str">
            <v>ACABADOS EPOXICOS</v>
          </cell>
        </row>
        <row r="5773">
          <cell r="A5773" t="str">
            <v>99-ES-62513</v>
          </cell>
          <cell r="E5773" t="str">
            <v>ACABADOS EPOXICOS</v>
          </cell>
        </row>
        <row r="5774">
          <cell r="A5774" t="str">
            <v>99-ES-62523</v>
          </cell>
          <cell r="E5774" t="str">
            <v>OTROS ACABADOS INDUSTRIALES</v>
          </cell>
        </row>
        <row r="5775">
          <cell r="A5775" t="str">
            <v>99-ES-62533</v>
          </cell>
          <cell r="E5775" t="str">
            <v>ACABADOS DE PU</v>
          </cell>
        </row>
        <row r="5776">
          <cell r="A5776" t="str">
            <v>99-ES-62543</v>
          </cell>
          <cell r="E5776" t="str">
            <v>ACABADOS EPOXICOS</v>
          </cell>
        </row>
        <row r="5777">
          <cell r="A5777" t="str">
            <v>99-ES-62553</v>
          </cell>
          <cell r="E5777" t="str">
            <v>ACABADOS EPOXICOS</v>
          </cell>
        </row>
        <row r="5778">
          <cell r="A5778" t="str">
            <v>99-ES-62563</v>
          </cell>
          <cell r="E5778" t="str">
            <v>ACABADOS DE PU</v>
          </cell>
        </row>
        <row r="5779">
          <cell r="A5779" t="str">
            <v>99-ES-62593</v>
          </cell>
          <cell r="E5779" t="str">
            <v>ACABADOS EPOXICOS</v>
          </cell>
        </row>
        <row r="5780">
          <cell r="A5780" t="str">
            <v>99-ES-62603</v>
          </cell>
          <cell r="E5780" t="str">
            <v>ACABADOS DE PU</v>
          </cell>
        </row>
        <row r="5781">
          <cell r="A5781" t="str">
            <v>99-ES-62613</v>
          </cell>
          <cell r="E5781" t="str">
            <v>ACABADOS DE PU</v>
          </cell>
        </row>
        <row r="5782">
          <cell r="A5782" t="str">
            <v>99-ES-62623</v>
          </cell>
          <cell r="E5782" t="str">
            <v>ACABADOS EPOXICOS</v>
          </cell>
        </row>
        <row r="5783">
          <cell r="A5783" t="str">
            <v>99-ES-62643</v>
          </cell>
          <cell r="E5783" t="str">
            <v>ACABADOS EPOXICOS</v>
          </cell>
        </row>
        <row r="5784">
          <cell r="A5784" t="str">
            <v>99-ES-62653</v>
          </cell>
          <cell r="E5784" t="str">
            <v>ACABADOS DE PU</v>
          </cell>
        </row>
        <row r="5785">
          <cell r="A5785" t="str">
            <v>99-ES-62663</v>
          </cell>
          <cell r="E5785" t="str">
            <v>ACABADOS DE PU</v>
          </cell>
        </row>
        <row r="5786">
          <cell r="A5786" t="str">
            <v>99-ES-62673</v>
          </cell>
          <cell r="E5786" t="str">
            <v>ACABADOS EPOXICOS</v>
          </cell>
        </row>
        <row r="5787">
          <cell r="A5787" t="str">
            <v>99-ES-62681</v>
          </cell>
          <cell r="E5787" t="str">
            <v>ACABADOS DE PU</v>
          </cell>
        </row>
        <row r="5788">
          <cell r="A5788" t="str">
            <v>99-ES-62691</v>
          </cell>
          <cell r="E5788" t="str">
            <v>ACABADOS EPOXICOS</v>
          </cell>
        </row>
        <row r="5789">
          <cell r="A5789" t="str">
            <v>99-ES-62701</v>
          </cell>
          <cell r="E5789" t="str">
            <v>ACABADOS EPOXICOS</v>
          </cell>
        </row>
        <row r="5790">
          <cell r="A5790" t="str">
            <v>99-ES-62733</v>
          </cell>
          <cell r="E5790" t="str">
            <v>ACABADOS DE PU</v>
          </cell>
        </row>
        <row r="5791">
          <cell r="A5791" t="str">
            <v>99-ES-62741</v>
          </cell>
          <cell r="E5791" t="str">
            <v>ACABADOS EPOXICOS</v>
          </cell>
        </row>
        <row r="5792">
          <cell r="A5792" t="str">
            <v>99-ES-62751</v>
          </cell>
          <cell r="E5792" t="str">
            <v>ACABADOS DE PU</v>
          </cell>
        </row>
        <row r="5793">
          <cell r="A5793" t="str">
            <v>99-ES-62753</v>
          </cell>
          <cell r="E5793" t="str">
            <v>ACABADOS DE PU</v>
          </cell>
        </row>
        <row r="5794">
          <cell r="A5794" t="str">
            <v>99-ES-62761</v>
          </cell>
          <cell r="E5794" t="str">
            <v>ACABADOS EPOXICOS</v>
          </cell>
        </row>
        <row r="5795">
          <cell r="A5795" t="str">
            <v>99-ES-62773</v>
          </cell>
          <cell r="E5795" t="str">
            <v>ACABADOS EPOXICOS</v>
          </cell>
        </row>
        <row r="5796">
          <cell r="A5796" t="str">
            <v>99-ES-62793</v>
          </cell>
          <cell r="E5796" t="str">
            <v>ACABADOS DE PU</v>
          </cell>
        </row>
        <row r="5797">
          <cell r="A5797" t="str">
            <v>99-ES-62800</v>
          </cell>
          <cell r="E5797" t="str">
            <v>OTROS ACABADOS INDUSTRIALES</v>
          </cell>
        </row>
        <row r="5798">
          <cell r="A5798" t="str">
            <v>99-ES-62813</v>
          </cell>
          <cell r="E5798" t="str">
            <v>ACABADOS DE PU</v>
          </cell>
        </row>
        <row r="5799">
          <cell r="A5799" t="str">
            <v>99-ES-70421</v>
          </cell>
          <cell r="E5799" t="str">
            <v>VINILICA - RIVINOL</v>
          </cell>
        </row>
        <row r="5800">
          <cell r="A5800" t="str">
            <v>99-ES-70491</v>
          </cell>
          <cell r="E5800" t="str">
            <v>FONDOS ARQUITECTONICOS</v>
          </cell>
        </row>
        <row r="5801">
          <cell r="A5801" t="str">
            <v>99-ES-70493</v>
          </cell>
          <cell r="E5801" t="str">
            <v>FONDOS ARQUITECTONICOS</v>
          </cell>
        </row>
        <row r="5802">
          <cell r="A5802" t="str">
            <v>99-ES-70611</v>
          </cell>
          <cell r="E5802" t="str">
            <v>VINILICA - POLIPRISA</v>
          </cell>
        </row>
        <row r="5803">
          <cell r="A5803" t="str">
            <v>99-ES-70613</v>
          </cell>
          <cell r="E5803" t="str">
            <v>VINILICA - POLIPRISA</v>
          </cell>
        </row>
        <row r="5804">
          <cell r="A5804" t="str">
            <v>99-ES-70761</v>
          </cell>
          <cell r="E5804" t="str">
            <v>VINILICA - PINTAVIN</v>
          </cell>
        </row>
        <row r="5805">
          <cell r="A5805" t="str">
            <v>99-ES-70821</v>
          </cell>
          <cell r="E5805" t="str">
            <v>VINILICA - POLIPRISA</v>
          </cell>
        </row>
        <row r="5806">
          <cell r="A5806" t="str">
            <v>99-ES-70861</v>
          </cell>
          <cell r="E5806" t="str">
            <v>VINILICA - POLIPRISA</v>
          </cell>
        </row>
        <row r="5807">
          <cell r="A5807" t="str">
            <v>99-ES-70871</v>
          </cell>
          <cell r="E5807" t="str">
            <v>VINILICA - POLIPRISA</v>
          </cell>
        </row>
        <row r="5808">
          <cell r="A5808" t="str">
            <v>99-ES-71071</v>
          </cell>
          <cell r="E5808" t="str">
            <v>VINILICA - RIVINOL</v>
          </cell>
        </row>
        <row r="5809">
          <cell r="A5809" t="str">
            <v>99-ES-71141</v>
          </cell>
          <cell r="E5809" t="str">
            <v>ESMALTE - MILCO</v>
          </cell>
        </row>
        <row r="5810">
          <cell r="A5810" t="str">
            <v>99-ES-71261</v>
          </cell>
          <cell r="E5810" t="str">
            <v>VINILICA - OTRAS</v>
          </cell>
        </row>
        <row r="5811">
          <cell r="A5811" t="str">
            <v>99-ES-71321</v>
          </cell>
          <cell r="E5811" t="str">
            <v>SELLADOR ACRILICO PARAGUAS</v>
          </cell>
        </row>
        <row r="5812">
          <cell r="A5812" t="str">
            <v>99-ES-71371</v>
          </cell>
          <cell r="E5812" t="str">
            <v>VINILICA - MAXIPRISA</v>
          </cell>
        </row>
        <row r="5813">
          <cell r="A5813" t="str">
            <v>99-ES-71661</v>
          </cell>
          <cell r="E5813" t="str">
            <v>VINILICA - RIVINOL</v>
          </cell>
        </row>
        <row r="5814">
          <cell r="A5814" t="str">
            <v>99-ES-71671</v>
          </cell>
          <cell r="E5814" t="str">
            <v>VINILICA - RIVINOL</v>
          </cell>
        </row>
        <row r="5815">
          <cell r="A5815" t="str">
            <v>99-ES-71691</v>
          </cell>
          <cell r="E5815" t="str">
            <v>TRAFICO BASE AGUA</v>
          </cell>
        </row>
        <row r="5816">
          <cell r="A5816" t="str">
            <v>99-ES-71701</v>
          </cell>
          <cell r="E5816" t="str">
            <v>TRAFICO BASE AGUA</v>
          </cell>
        </row>
        <row r="5817">
          <cell r="A5817" t="str">
            <v>99-ES-71741</v>
          </cell>
          <cell r="E5817" t="str">
            <v>VINILICA LICITACIONES</v>
          </cell>
        </row>
        <row r="5818">
          <cell r="A5818" t="str">
            <v>99-ES-72441</v>
          </cell>
          <cell r="E5818" t="str">
            <v>VINILICA - RIVINOL</v>
          </cell>
        </row>
        <row r="5819">
          <cell r="A5819" t="str">
            <v>99-ES-72451</v>
          </cell>
          <cell r="E5819" t="str">
            <v>VINILICA - RIVINOL</v>
          </cell>
        </row>
        <row r="5820">
          <cell r="A5820" t="str">
            <v>99-ES-72471</v>
          </cell>
          <cell r="E5820" t="str">
            <v>VINILICA - RIVINOL</v>
          </cell>
        </row>
        <row r="5821">
          <cell r="A5821" t="str">
            <v>99-ES-72491</v>
          </cell>
          <cell r="E5821" t="str">
            <v>VINILICA - RIVINOL</v>
          </cell>
        </row>
        <row r="5822">
          <cell r="A5822" t="str">
            <v>99-ES-72501</v>
          </cell>
          <cell r="E5822" t="str">
            <v>VINILICA - RIVINOL</v>
          </cell>
        </row>
        <row r="5823">
          <cell r="A5823" t="str">
            <v>99-ES-72511</v>
          </cell>
          <cell r="E5823" t="str">
            <v>VINILICA - RIVINOL</v>
          </cell>
        </row>
        <row r="5824">
          <cell r="A5824" t="str">
            <v>99-ES-72531</v>
          </cell>
          <cell r="E5824" t="str">
            <v>VINILICA - MAXIPRISA</v>
          </cell>
        </row>
        <row r="5825">
          <cell r="A5825" t="str">
            <v>99-ES-72541</v>
          </cell>
          <cell r="E5825" t="str">
            <v>VINILICA - RIVINOL</v>
          </cell>
        </row>
        <row r="5826">
          <cell r="A5826" t="str">
            <v>99-ES-72551</v>
          </cell>
          <cell r="E5826" t="str">
            <v>VINILICA - RIVINOL</v>
          </cell>
        </row>
        <row r="5827">
          <cell r="A5827" t="str">
            <v>99-ES-72561</v>
          </cell>
          <cell r="E5827" t="str">
            <v>VINILICA - RIVINOL</v>
          </cell>
        </row>
        <row r="5828">
          <cell r="A5828" t="str">
            <v>99-ES-72571</v>
          </cell>
          <cell r="E5828" t="str">
            <v>VINILICA - RIVINOL</v>
          </cell>
        </row>
        <row r="5829">
          <cell r="A5829" t="str">
            <v>99-ES-72581</v>
          </cell>
          <cell r="E5829" t="str">
            <v>VINILICA - RIVINOL</v>
          </cell>
        </row>
        <row r="5830">
          <cell r="A5830" t="str">
            <v>99-ES-72591</v>
          </cell>
          <cell r="E5830" t="str">
            <v>VINILICA - RIVINOL</v>
          </cell>
        </row>
        <row r="5831">
          <cell r="A5831" t="str">
            <v>99-ES-72601</v>
          </cell>
          <cell r="E5831" t="str">
            <v>VINILICA - RIVINOL</v>
          </cell>
        </row>
        <row r="5832">
          <cell r="A5832" t="str">
            <v>99-ES-72603</v>
          </cell>
          <cell r="E5832" t="str">
            <v>VINILICA - RIVINOL</v>
          </cell>
        </row>
        <row r="5833">
          <cell r="A5833" t="str">
            <v>99-ES-72611</v>
          </cell>
          <cell r="E5833" t="str">
            <v>VINILICA - RIVINOL</v>
          </cell>
        </row>
        <row r="5834">
          <cell r="A5834" t="str">
            <v>99-ES-72621</v>
          </cell>
          <cell r="E5834" t="str">
            <v>VINILICA - RIVINOL</v>
          </cell>
        </row>
        <row r="5835">
          <cell r="A5835" t="str">
            <v>99-ES-72623</v>
          </cell>
          <cell r="E5835" t="str">
            <v>VINILICA - RIVINOL</v>
          </cell>
        </row>
        <row r="5836">
          <cell r="A5836" t="str">
            <v>99-ES-72641</v>
          </cell>
          <cell r="E5836" t="str">
            <v>VINILICA - RIVINOL</v>
          </cell>
        </row>
        <row r="5837">
          <cell r="A5837" t="str">
            <v>99-ES-72651</v>
          </cell>
          <cell r="E5837" t="str">
            <v>VINILICA - RIVINOL</v>
          </cell>
        </row>
        <row r="5838">
          <cell r="A5838" t="str">
            <v>99-ES-72661</v>
          </cell>
          <cell r="E5838" t="str">
            <v>VINILICA - RIVINOL</v>
          </cell>
        </row>
        <row r="5839">
          <cell r="A5839" t="str">
            <v>99-ES-72671</v>
          </cell>
          <cell r="E5839" t="str">
            <v>VINILICA - MAXIPRISA</v>
          </cell>
        </row>
        <row r="5840">
          <cell r="A5840" t="str">
            <v>99-ES-72681</v>
          </cell>
          <cell r="E5840" t="str">
            <v>VINILICA - MAXIPRISA</v>
          </cell>
        </row>
        <row r="5841">
          <cell r="A5841" t="str">
            <v>99-ES-72721</v>
          </cell>
          <cell r="E5841" t="str">
            <v>VINILICA - RIVINOL</v>
          </cell>
        </row>
        <row r="5842">
          <cell r="A5842" t="str">
            <v>99-ES-72741</v>
          </cell>
          <cell r="E5842" t="str">
            <v>VINILICA - OTRAS</v>
          </cell>
        </row>
        <row r="5843">
          <cell r="A5843" t="str">
            <v>99-ES-72831</v>
          </cell>
          <cell r="E5843" t="str">
            <v>VINILICA - POLIPRISA</v>
          </cell>
        </row>
        <row r="5844">
          <cell r="A5844" t="str">
            <v>99-ES-72871</v>
          </cell>
          <cell r="E5844" t="str">
            <v>VINILICA - POLIPRISA</v>
          </cell>
        </row>
        <row r="5845">
          <cell r="A5845" t="str">
            <v>99-ES-73001</v>
          </cell>
          <cell r="E5845" t="str">
            <v>VINILICA - RIVINOL</v>
          </cell>
        </row>
        <row r="5846">
          <cell r="A5846" t="str">
            <v>99-ES-73011</v>
          </cell>
          <cell r="E5846" t="str">
            <v>VINILICA - POLIPRISA</v>
          </cell>
        </row>
        <row r="5847">
          <cell r="A5847" t="str">
            <v>99-ES-73121</v>
          </cell>
          <cell r="E5847" t="str">
            <v>VINILICA - POLIPRISA</v>
          </cell>
        </row>
        <row r="5848">
          <cell r="A5848" t="str">
            <v>99-ES-73200</v>
          </cell>
          <cell r="E5848" t="str">
            <v>VINILICA - PRISASPORT</v>
          </cell>
        </row>
        <row r="5849">
          <cell r="A5849" t="str">
            <v>99-ES-73210</v>
          </cell>
          <cell r="E5849" t="str">
            <v>VINILICA - PRISASPORT</v>
          </cell>
        </row>
        <row r="5850">
          <cell r="A5850" t="str">
            <v>99-ES-73311</v>
          </cell>
          <cell r="E5850" t="str">
            <v>VINILICA - RIVINOL</v>
          </cell>
        </row>
        <row r="5851">
          <cell r="A5851" t="str">
            <v>99-ES-73331</v>
          </cell>
          <cell r="E5851" t="str">
            <v>VINILICA - RIVINOL</v>
          </cell>
        </row>
        <row r="5852">
          <cell r="A5852" t="str">
            <v>99-ES-73361</v>
          </cell>
          <cell r="E5852" t="str">
            <v>VINILICA - RIVINOL</v>
          </cell>
        </row>
        <row r="5853">
          <cell r="A5853" t="str">
            <v>99-ES-73391</v>
          </cell>
          <cell r="E5853" t="str">
            <v>VINILICA - RIVINOL</v>
          </cell>
        </row>
        <row r="5854">
          <cell r="A5854" t="str">
            <v>99-ES-73441</v>
          </cell>
          <cell r="E5854" t="str">
            <v>VINILICA - RIVINOL</v>
          </cell>
        </row>
        <row r="5855">
          <cell r="A5855" t="str">
            <v>99-ES-73521</v>
          </cell>
          <cell r="E5855" t="str">
            <v>VINILICA - VINIBAR</v>
          </cell>
        </row>
        <row r="5856">
          <cell r="A5856" t="str">
            <v>99-ES-73523</v>
          </cell>
          <cell r="E5856" t="str">
            <v>VINILICA - VINIBAR</v>
          </cell>
        </row>
        <row r="5857">
          <cell r="A5857" t="str">
            <v>99-ES-73531</v>
          </cell>
          <cell r="E5857" t="str">
            <v>VINILICA - POLIPRISA</v>
          </cell>
        </row>
        <row r="5858">
          <cell r="A5858" t="str">
            <v>99-ES-73631</v>
          </cell>
          <cell r="E5858" t="str">
            <v>VINILICA - POLIPRISA</v>
          </cell>
        </row>
        <row r="5859">
          <cell r="A5859" t="str">
            <v>99-ES-73641</v>
          </cell>
          <cell r="E5859" t="str">
            <v>VINILICA - POLIPRISA</v>
          </cell>
        </row>
        <row r="5860">
          <cell r="A5860" t="str">
            <v>99-ES-73661</v>
          </cell>
          <cell r="E5860" t="str">
            <v>VINILICA - PINTAVIN</v>
          </cell>
        </row>
        <row r="5861">
          <cell r="A5861" t="str">
            <v>99-ES-73681</v>
          </cell>
          <cell r="E5861" t="str">
            <v>VINILICA - VINIBAR</v>
          </cell>
        </row>
        <row r="5862">
          <cell r="A5862" t="str">
            <v>99-ES-73711</v>
          </cell>
          <cell r="E5862" t="str">
            <v>VINILICA - OTRAS</v>
          </cell>
        </row>
        <row r="5863">
          <cell r="A5863" t="str">
            <v>99-ES-73713</v>
          </cell>
          <cell r="E5863" t="str">
            <v>VINILICA - OTRAS</v>
          </cell>
        </row>
        <row r="5864">
          <cell r="A5864" t="str">
            <v>99-ES-73741</v>
          </cell>
          <cell r="E5864" t="str">
            <v>VINILICA - POLIPRISA</v>
          </cell>
        </row>
        <row r="5865">
          <cell r="A5865" t="str">
            <v>99-ES-73761</v>
          </cell>
          <cell r="E5865" t="str">
            <v>TRAFICO BASE AGUA</v>
          </cell>
        </row>
        <row r="5866">
          <cell r="A5866" t="str">
            <v>99-ES-73771</v>
          </cell>
          <cell r="E5866" t="str">
            <v>VINILICA - PINTAVIN</v>
          </cell>
        </row>
        <row r="5867">
          <cell r="A5867" t="str">
            <v>99-ES-73781</v>
          </cell>
          <cell r="E5867" t="str">
            <v>VINILICA - OTRAS</v>
          </cell>
        </row>
        <row r="5868">
          <cell r="A5868" t="str">
            <v>99-ES-73791</v>
          </cell>
          <cell r="E5868" t="str">
            <v>VINILICA - OTRAS</v>
          </cell>
        </row>
        <row r="5869">
          <cell r="A5869" t="str">
            <v>99-ES-73801</v>
          </cell>
          <cell r="E5869" t="str">
            <v>VINILICA - OTRAS</v>
          </cell>
        </row>
        <row r="5870">
          <cell r="A5870" t="str">
            <v>99-ES-73931</v>
          </cell>
          <cell r="E5870" t="str">
            <v>VINILICA - CAMPAÑA</v>
          </cell>
        </row>
        <row r="5871">
          <cell r="A5871" t="str">
            <v>99-ES-73961</v>
          </cell>
          <cell r="E5871" t="str">
            <v>VINILICA - OTRAS</v>
          </cell>
        </row>
        <row r="5872">
          <cell r="A5872" t="str">
            <v>99-ES-73981</v>
          </cell>
          <cell r="E5872" t="str">
            <v>VINILICA - OTRAS</v>
          </cell>
        </row>
        <row r="5873">
          <cell r="A5873" t="str">
            <v>99-ES-74004</v>
          </cell>
          <cell r="E5873" t="str">
            <v>VINILICA - POLIPRISA</v>
          </cell>
        </row>
        <row r="5874">
          <cell r="A5874" t="str">
            <v>99-ES-74014</v>
          </cell>
          <cell r="E5874" t="str">
            <v>VINILICA - POLIPRISA</v>
          </cell>
        </row>
        <row r="5875">
          <cell r="A5875" t="str">
            <v>99-ES-74041</v>
          </cell>
          <cell r="E5875" t="str">
            <v>VINILICA - POLIPRISA</v>
          </cell>
        </row>
        <row r="5876">
          <cell r="A5876" t="str">
            <v>99-ES-74191</v>
          </cell>
          <cell r="E5876" t="str">
            <v>VINILICA - RIVINOL</v>
          </cell>
        </row>
        <row r="5877">
          <cell r="A5877" t="str">
            <v>99-ES-74201</v>
          </cell>
          <cell r="E5877" t="str">
            <v>VINILICA - RIVINOL</v>
          </cell>
        </row>
        <row r="5878">
          <cell r="A5878" t="str">
            <v>99-ES-74231</v>
          </cell>
          <cell r="E5878" t="str">
            <v>VINILICA - POLIPRISA</v>
          </cell>
        </row>
        <row r="5879">
          <cell r="A5879" t="str">
            <v>99-ES-74241</v>
          </cell>
          <cell r="E5879" t="str">
            <v>VINILICA - POLIPRISA</v>
          </cell>
        </row>
        <row r="5880">
          <cell r="A5880" t="str">
            <v>99-ES-74261</v>
          </cell>
          <cell r="E5880" t="str">
            <v>VINILICA - POLIPRISA</v>
          </cell>
        </row>
        <row r="5881">
          <cell r="A5881" t="str">
            <v>99-ES-74321</v>
          </cell>
          <cell r="E5881" t="str">
            <v>VINILICA - OTRAS</v>
          </cell>
        </row>
        <row r="5882">
          <cell r="A5882" t="str">
            <v>99-ES-74330</v>
          </cell>
          <cell r="E5882" t="str">
            <v>VINILICA - RIVINOL</v>
          </cell>
        </row>
        <row r="5883">
          <cell r="A5883" t="str">
            <v>99-ES-74331</v>
          </cell>
          <cell r="E5883" t="str">
            <v>VINILICA - RIVINOL</v>
          </cell>
        </row>
        <row r="5884">
          <cell r="A5884" t="str">
            <v>99-ES-74333</v>
          </cell>
          <cell r="E5884" t="str">
            <v>VINILICA - RIVINOL</v>
          </cell>
        </row>
        <row r="5885">
          <cell r="A5885" t="str">
            <v>99-ES-74334</v>
          </cell>
          <cell r="E5885" t="str">
            <v>VINILICA - RIVINOL</v>
          </cell>
        </row>
        <row r="5886">
          <cell r="A5886" t="str">
            <v>99-ES-74341</v>
          </cell>
          <cell r="E5886" t="str">
            <v>VINILICA - RIVINOL</v>
          </cell>
        </row>
        <row r="5887">
          <cell r="A5887" t="str">
            <v>99-ES-74343</v>
          </cell>
          <cell r="E5887" t="str">
            <v>VINILICA - RIVINOL</v>
          </cell>
        </row>
        <row r="5888">
          <cell r="A5888" t="str">
            <v>99-ES-74344</v>
          </cell>
          <cell r="E5888" t="str">
            <v>VINILICA - RIVINOL</v>
          </cell>
        </row>
        <row r="5889">
          <cell r="A5889" t="str">
            <v>99-ES-74350</v>
          </cell>
          <cell r="E5889" t="str">
            <v>VINILICA - RIVINOL</v>
          </cell>
        </row>
        <row r="5890">
          <cell r="A5890" t="str">
            <v>99-ES-74361</v>
          </cell>
          <cell r="E5890" t="str">
            <v>VINILICA - VINIBAR</v>
          </cell>
        </row>
        <row r="5891">
          <cell r="A5891" t="str">
            <v>99-ES-74401</v>
          </cell>
          <cell r="E5891" t="str">
            <v>VINILICA - POLIPRISA</v>
          </cell>
        </row>
        <row r="5892">
          <cell r="A5892" t="str">
            <v>99-ES-74481</v>
          </cell>
          <cell r="E5892" t="str">
            <v>VINILICA - RIVINOL</v>
          </cell>
        </row>
        <row r="5893">
          <cell r="A5893" t="str">
            <v>99-ES-74491</v>
          </cell>
          <cell r="E5893" t="str">
            <v>VINILICA - RIVINOL</v>
          </cell>
        </row>
        <row r="5894">
          <cell r="A5894" t="str">
            <v>99-ES-74501</v>
          </cell>
          <cell r="E5894" t="str">
            <v>VINILICA - POLIPRISA</v>
          </cell>
        </row>
        <row r="5895">
          <cell r="A5895" t="str">
            <v>99-ES-74511</v>
          </cell>
          <cell r="E5895" t="str">
            <v>VINILICA - RIVINOL</v>
          </cell>
        </row>
        <row r="5896">
          <cell r="A5896" t="str">
            <v>99-ES-74521</v>
          </cell>
          <cell r="E5896" t="str">
            <v>VINILICA - RIVINOL</v>
          </cell>
        </row>
        <row r="5897">
          <cell r="A5897" t="str">
            <v>99-ES-74531</v>
          </cell>
          <cell r="E5897" t="str">
            <v>VINILICA - RIVINOL</v>
          </cell>
        </row>
        <row r="5898">
          <cell r="A5898" t="str">
            <v>99-ES-74541</v>
          </cell>
          <cell r="E5898" t="str">
            <v>VINILICA - POLIPRISA</v>
          </cell>
        </row>
        <row r="5899">
          <cell r="A5899" t="str">
            <v>99-ES-74551</v>
          </cell>
          <cell r="E5899" t="str">
            <v>VINILICA - POLIPRISA</v>
          </cell>
        </row>
        <row r="5900">
          <cell r="A5900" t="str">
            <v>99-ES-74561</v>
          </cell>
          <cell r="E5900" t="str">
            <v>VINILICA - POLIPRISA</v>
          </cell>
        </row>
        <row r="5901">
          <cell r="A5901" t="str">
            <v>99-ES-74571</v>
          </cell>
          <cell r="E5901" t="str">
            <v>VINILICA - RIVINOL</v>
          </cell>
        </row>
        <row r="5902">
          <cell r="A5902" t="str">
            <v>99-ES-74581</v>
          </cell>
          <cell r="E5902" t="str">
            <v>VINILICA - POLIPRISA</v>
          </cell>
        </row>
        <row r="5903">
          <cell r="A5903" t="str">
            <v>99-ES-74590</v>
          </cell>
          <cell r="E5903" t="str">
            <v>VINILICA - RIVINOL</v>
          </cell>
        </row>
        <row r="5904">
          <cell r="A5904" t="str">
            <v>99-ES-74591</v>
          </cell>
          <cell r="E5904" t="str">
            <v>VINILICA - RIVINOL</v>
          </cell>
        </row>
        <row r="5905">
          <cell r="A5905" t="str">
            <v>99-ES-74593</v>
          </cell>
          <cell r="E5905" t="str">
            <v>VINILICA - RIVINOL</v>
          </cell>
        </row>
        <row r="5906">
          <cell r="A5906" t="str">
            <v>99-ES-74594</v>
          </cell>
          <cell r="E5906" t="str">
            <v>VINILICA - RIVINOL</v>
          </cell>
        </row>
        <row r="5907">
          <cell r="A5907" t="str">
            <v>99-ES-74601</v>
          </cell>
          <cell r="E5907" t="str">
            <v>VINILICA - VINIBAR</v>
          </cell>
        </row>
        <row r="5908">
          <cell r="A5908" t="str">
            <v>99-ES-74611</v>
          </cell>
          <cell r="E5908" t="str">
            <v>VINILICA - VINIBAR</v>
          </cell>
        </row>
        <row r="5909">
          <cell r="A5909" t="str">
            <v>99-ES-74621</v>
          </cell>
          <cell r="E5909" t="str">
            <v>VINILICA - VINIBAR</v>
          </cell>
        </row>
        <row r="5910">
          <cell r="A5910" t="str">
            <v>99-ES-74631</v>
          </cell>
          <cell r="E5910" t="str">
            <v>VINILICA - VINIBAR</v>
          </cell>
        </row>
        <row r="5911">
          <cell r="A5911" t="str">
            <v>99-ES-74651</v>
          </cell>
          <cell r="E5911" t="str">
            <v>VINILICA - PRISASPORT</v>
          </cell>
        </row>
        <row r="5912">
          <cell r="A5912" t="str">
            <v>99-ES-74661</v>
          </cell>
          <cell r="E5912" t="str">
            <v>VINILICA - PRISASPORT</v>
          </cell>
        </row>
        <row r="5913">
          <cell r="A5913" t="str">
            <v>99-ES-74721</v>
          </cell>
          <cell r="E5913" t="str">
            <v>VINILICA - PRISASPORT</v>
          </cell>
        </row>
        <row r="5914">
          <cell r="A5914" t="str">
            <v>99-ES-74731</v>
          </cell>
          <cell r="E5914" t="str">
            <v>VINILICA - PRISASPORT</v>
          </cell>
        </row>
        <row r="5915">
          <cell r="A5915" t="str">
            <v>99-ES-74743</v>
          </cell>
          <cell r="E5915" t="str">
            <v>VINILICA - PRISASPORT</v>
          </cell>
        </row>
        <row r="5916">
          <cell r="A5916" t="str">
            <v>99-ES-74801</v>
          </cell>
          <cell r="E5916" t="str">
            <v>SELLADOR - VINILICO (RIVI)</v>
          </cell>
        </row>
        <row r="5917">
          <cell r="A5917" t="str">
            <v>99-ES-74811</v>
          </cell>
          <cell r="E5917" t="str">
            <v>SELLADOR ACRILICO PARAGUAS</v>
          </cell>
        </row>
        <row r="5918">
          <cell r="A5918" t="str">
            <v>99-ES-74821</v>
          </cell>
          <cell r="E5918" t="str">
            <v>VINILICA - OTRAS</v>
          </cell>
        </row>
        <row r="5919">
          <cell r="A5919" t="str">
            <v>99-ES-74824</v>
          </cell>
          <cell r="E5919" t="str">
            <v>VINILICA - OTRAS</v>
          </cell>
        </row>
        <row r="5920">
          <cell r="A5920" t="str">
            <v>99-ES-74941</v>
          </cell>
          <cell r="E5920" t="str">
            <v>VINILICA - PINTAVIN</v>
          </cell>
        </row>
        <row r="5921">
          <cell r="A5921" t="str">
            <v>99-ES-74951</v>
          </cell>
          <cell r="E5921" t="str">
            <v>VINILICA - PINTAVIN</v>
          </cell>
        </row>
        <row r="5922">
          <cell r="A5922" t="str">
            <v>99-ES-74961</v>
          </cell>
          <cell r="E5922" t="str">
            <v>VINILICA - PINTAVIN</v>
          </cell>
        </row>
        <row r="5923">
          <cell r="A5923" t="str">
            <v>99-ES-74971</v>
          </cell>
          <cell r="E5923" t="str">
            <v>VINILICA - PINTAVIN</v>
          </cell>
        </row>
        <row r="5924">
          <cell r="A5924" t="str">
            <v>99-ES-74981</v>
          </cell>
          <cell r="E5924" t="str">
            <v>VINILICA - PINTAVIN</v>
          </cell>
        </row>
        <row r="5925">
          <cell r="A5925" t="str">
            <v>99-ES-75140</v>
          </cell>
          <cell r="E5925" t="str">
            <v>TRAFICO BASE AGUA</v>
          </cell>
        </row>
        <row r="5926">
          <cell r="A5926" t="str">
            <v>99-ES-75141</v>
          </cell>
          <cell r="E5926" t="str">
            <v>TRAFICO BASE AGUA</v>
          </cell>
        </row>
        <row r="5927">
          <cell r="A5927" t="str">
            <v>99-ES-75211</v>
          </cell>
          <cell r="E5927" t="str">
            <v>VINILICA - PRISASPORT</v>
          </cell>
        </row>
        <row r="5928">
          <cell r="A5928" t="str">
            <v>99-ES-75231</v>
          </cell>
          <cell r="E5928" t="str">
            <v>VINILICA - PINTAVIN</v>
          </cell>
        </row>
        <row r="5929">
          <cell r="A5929" t="str">
            <v>99-ES-75241</v>
          </cell>
          <cell r="E5929" t="str">
            <v>VINILICA - PINTAVIN</v>
          </cell>
        </row>
        <row r="5930">
          <cell r="A5930" t="str">
            <v>99-ES-75323</v>
          </cell>
          <cell r="E5930" t="str">
            <v>VINILICA - VINIBAR</v>
          </cell>
        </row>
        <row r="5931">
          <cell r="A5931" t="str">
            <v>99-ES-75333</v>
          </cell>
          <cell r="E5931" t="str">
            <v>VINILICA - VINIBAR</v>
          </cell>
        </row>
        <row r="5932">
          <cell r="A5932" t="str">
            <v>99-ES-75400</v>
          </cell>
          <cell r="E5932" t="str">
            <v>TRAFICO BASE AGUA</v>
          </cell>
        </row>
        <row r="5933">
          <cell r="A5933" t="str">
            <v>99-ES-75401</v>
          </cell>
          <cell r="E5933" t="str">
            <v>TRAFICO BASE AGUA</v>
          </cell>
        </row>
        <row r="5934">
          <cell r="A5934" t="str">
            <v>99-ES-75551</v>
          </cell>
          <cell r="E5934" t="str">
            <v>VINILICA - PRISASPORT</v>
          </cell>
        </row>
        <row r="5935">
          <cell r="A5935" t="str">
            <v>99-ES-75561</v>
          </cell>
          <cell r="E5935" t="str">
            <v>VINILICA - PRISASPORT</v>
          </cell>
        </row>
        <row r="5936">
          <cell r="A5936" t="str">
            <v>99-ES-75621</v>
          </cell>
          <cell r="E5936" t="str">
            <v>VINILICA - PRISASPORT</v>
          </cell>
        </row>
        <row r="5937">
          <cell r="A5937" t="str">
            <v>99-ES-75641</v>
          </cell>
          <cell r="E5937" t="str">
            <v>VINILICA - PRISASPORT</v>
          </cell>
        </row>
        <row r="5938">
          <cell r="A5938" t="str">
            <v>99-ES-76210</v>
          </cell>
          <cell r="E5938" t="str">
            <v>TRAFICO BASE AGUA</v>
          </cell>
        </row>
        <row r="5939">
          <cell r="A5939" t="str">
            <v>99-ES-90093</v>
          </cell>
          <cell r="E5939" t="str">
            <v>ESMALTE - MILCO</v>
          </cell>
        </row>
        <row r="5940">
          <cell r="A5940" t="str">
            <v>99-ES-90103</v>
          </cell>
          <cell r="E5940" t="str">
            <v>ESMALTE - MILCO</v>
          </cell>
        </row>
        <row r="5941">
          <cell r="A5941" t="str">
            <v>99-ES-90123</v>
          </cell>
          <cell r="E5941" t="str">
            <v>ESMALTE - MILCO</v>
          </cell>
        </row>
        <row r="5942">
          <cell r="A5942" t="str">
            <v>99-ES-90153</v>
          </cell>
          <cell r="E5942" t="str">
            <v>ESMALTE - KITOX</v>
          </cell>
        </row>
        <row r="5943">
          <cell r="A5943" t="str">
            <v>99-ES-90243</v>
          </cell>
          <cell r="E5943" t="str">
            <v>ESMALTE - KITOX</v>
          </cell>
        </row>
        <row r="5944">
          <cell r="A5944" t="str">
            <v>99-ES-90341</v>
          </cell>
          <cell r="E5944" t="str">
            <v>ESMALTE - KITOX</v>
          </cell>
        </row>
        <row r="5945">
          <cell r="A5945" t="str">
            <v>99-ES-90501</v>
          </cell>
          <cell r="E5945" t="str">
            <v>PINTURA PARA ALBERCAS</v>
          </cell>
        </row>
        <row r="5946">
          <cell r="A5946" t="str">
            <v>99-ES-90551</v>
          </cell>
          <cell r="E5946" t="str">
            <v>ESMALTE - KITOX</v>
          </cell>
        </row>
        <row r="5947">
          <cell r="A5947" t="str">
            <v>99-ES-90633</v>
          </cell>
          <cell r="E5947" t="str">
            <v>ESMALTE - KITOX</v>
          </cell>
        </row>
        <row r="5948">
          <cell r="A5948" t="str">
            <v>99-ES-90634</v>
          </cell>
          <cell r="E5948" t="str">
            <v>ESMALTE - KITOX</v>
          </cell>
        </row>
        <row r="5949">
          <cell r="A5949" t="str">
            <v>99-ES-90703</v>
          </cell>
          <cell r="E5949" t="str">
            <v>ESMALTE - KITOX</v>
          </cell>
        </row>
        <row r="5950">
          <cell r="A5950" t="str">
            <v>99-ES-90711</v>
          </cell>
          <cell r="E5950" t="str">
            <v>ESMALTE - MILCO</v>
          </cell>
        </row>
        <row r="5951">
          <cell r="A5951" t="str">
            <v>99-ES-90723</v>
          </cell>
          <cell r="E5951" t="str">
            <v>ESMALTE - MILCO</v>
          </cell>
        </row>
        <row r="5952">
          <cell r="A5952" t="str">
            <v>99-ES-90733</v>
          </cell>
          <cell r="E5952" t="str">
            <v>ESMALTE - MILCO</v>
          </cell>
        </row>
        <row r="5953">
          <cell r="A5953" t="str">
            <v>99-ES-90743</v>
          </cell>
          <cell r="E5953" t="str">
            <v>ESMALTE - KITOX</v>
          </cell>
        </row>
        <row r="5954">
          <cell r="A5954" t="str">
            <v>99-ES-90763</v>
          </cell>
          <cell r="E5954" t="str">
            <v>ESMALTE - MILCO</v>
          </cell>
        </row>
        <row r="5955">
          <cell r="A5955" t="str">
            <v>99-ES-90773</v>
          </cell>
          <cell r="E5955" t="str">
            <v>ESMALTE - KITOX</v>
          </cell>
        </row>
        <row r="5956">
          <cell r="A5956" t="str">
            <v>99-ES-90833</v>
          </cell>
          <cell r="E5956" t="str">
            <v>ESMALTE - KITOX</v>
          </cell>
        </row>
        <row r="5957">
          <cell r="A5957" t="str">
            <v>99-ES-91153</v>
          </cell>
          <cell r="E5957" t="str">
            <v>ESMALTE - KITOX</v>
          </cell>
        </row>
        <row r="5958">
          <cell r="A5958" t="str">
            <v>99-ES-91161</v>
          </cell>
          <cell r="E5958" t="str">
            <v>ESMALTE - MILCO</v>
          </cell>
        </row>
        <row r="5959">
          <cell r="A5959" t="str">
            <v>99-ES-91163</v>
          </cell>
          <cell r="E5959" t="str">
            <v>ESMALTE - MILCO</v>
          </cell>
        </row>
        <row r="5960">
          <cell r="A5960" t="str">
            <v>99-ES-91171</v>
          </cell>
          <cell r="E5960" t="str">
            <v>ESMALTE - MILCO</v>
          </cell>
        </row>
        <row r="5961">
          <cell r="A5961" t="str">
            <v>99-ES-91201</v>
          </cell>
          <cell r="E5961" t="str">
            <v>ESMALTE - KITOX</v>
          </cell>
        </row>
        <row r="5962">
          <cell r="A5962" t="str">
            <v>99-ES-91281</v>
          </cell>
          <cell r="E5962" t="str">
            <v>ESMALTE - OTROS</v>
          </cell>
        </row>
        <row r="5963">
          <cell r="A5963" t="str">
            <v>99-ES-91301</v>
          </cell>
          <cell r="E5963" t="str">
            <v>ESMALTE - OTROS</v>
          </cell>
        </row>
        <row r="5964">
          <cell r="A5964" t="str">
            <v>99-ES-91311</v>
          </cell>
          <cell r="E5964" t="str">
            <v>ESMALTE - KITOX</v>
          </cell>
        </row>
        <row r="5965">
          <cell r="A5965" t="str">
            <v>99-ES-91321</v>
          </cell>
          <cell r="E5965" t="str">
            <v>ESMALTE - KITOX</v>
          </cell>
        </row>
        <row r="5966">
          <cell r="A5966" t="str">
            <v>99-ES-91331</v>
          </cell>
          <cell r="E5966" t="str">
            <v>ESMALTE - KITOX</v>
          </cell>
        </row>
        <row r="5967">
          <cell r="A5967" t="str">
            <v>99-ES-91351</v>
          </cell>
          <cell r="E5967" t="str">
            <v>ESM SECADO RAPIDO BASE AGUA</v>
          </cell>
        </row>
        <row r="5968">
          <cell r="A5968" t="str">
            <v>99-ES-91371</v>
          </cell>
          <cell r="E5968" t="str">
            <v>ESMALTE - COLOREX</v>
          </cell>
        </row>
        <row r="5969">
          <cell r="A5969" t="str">
            <v>99-ES-91373</v>
          </cell>
          <cell r="E5969" t="str">
            <v>ESMALTE - COLOREX</v>
          </cell>
        </row>
        <row r="5970">
          <cell r="A5970" t="str">
            <v>99-ES-91383</v>
          </cell>
          <cell r="E5970" t="str">
            <v>ESMALTE - COLOREX</v>
          </cell>
        </row>
        <row r="5971">
          <cell r="A5971" t="str">
            <v>99-ES-91391</v>
          </cell>
          <cell r="E5971" t="str">
            <v>ESM SECADO RAPIDO BASE AGUA</v>
          </cell>
        </row>
        <row r="5972">
          <cell r="A5972" t="str">
            <v>99-ES-91421</v>
          </cell>
          <cell r="E5972" t="str">
            <v>ESMALTE - KITOX</v>
          </cell>
        </row>
        <row r="5973">
          <cell r="A5973" t="str">
            <v>99-ES-91440</v>
          </cell>
          <cell r="E5973" t="str">
            <v>ESM SECADO RAPIDO BASE AGUA</v>
          </cell>
        </row>
        <row r="5974">
          <cell r="A5974" t="str">
            <v>99-ES-91451</v>
          </cell>
          <cell r="E5974" t="str">
            <v>ESMALTE - MILCO</v>
          </cell>
        </row>
        <row r="5975">
          <cell r="A5975" t="str">
            <v>99-ES-91453</v>
          </cell>
          <cell r="E5975" t="str">
            <v>ESMALTE - MILCO</v>
          </cell>
        </row>
        <row r="5976">
          <cell r="A5976" t="str">
            <v>99-ES-91461</v>
          </cell>
          <cell r="E5976" t="str">
            <v>ESMALTE - KITOX</v>
          </cell>
        </row>
        <row r="5977">
          <cell r="A5977" t="str">
            <v>99-ES-91463</v>
          </cell>
          <cell r="E5977" t="str">
            <v>ESMALTE - KITOX</v>
          </cell>
        </row>
        <row r="5978">
          <cell r="A5978" t="str">
            <v>99-ES-91464</v>
          </cell>
          <cell r="E5978" t="str">
            <v>ESMALTE - KITOX</v>
          </cell>
        </row>
        <row r="5979">
          <cell r="A5979" t="str">
            <v>99-ES-91521</v>
          </cell>
          <cell r="E5979" t="str">
            <v>ESMALTE - OTROS</v>
          </cell>
        </row>
        <row r="5980">
          <cell r="A5980" t="str">
            <v>99-ES-91531</v>
          </cell>
          <cell r="E5980" t="str">
            <v>ESMALTE - OTROS</v>
          </cell>
        </row>
        <row r="5981">
          <cell r="A5981" t="str">
            <v>99-ES-91543</v>
          </cell>
          <cell r="E5981" t="str">
            <v>ESMALTE - KITOX</v>
          </cell>
        </row>
        <row r="5982">
          <cell r="A5982" t="str">
            <v>99-ES-91544</v>
          </cell>
          <cell r="E5982" t="str">
            <v>ESMALTE - KITOX</v>
          </cell>
        </row>
        <row r="5983">
          <cell r="A5983" t="str">
            <v>99-ES-91553</v>
          </cell>
          <cell r="E5983" t="str">
            <v>ESMALTE - KITOX</v>
          </cell>
        </row>
        <row r="5984">
          <cell r="A5984" t="str">
            <v>99-ES-91554</v>
          </cell>
          <cell r="E5984" t="str">
            <v>ESMALTE - KITOX</v>
          </cell>
        </row>
        <row r="5985">
          <cell r="A5985" t="str">
            <v>99-ES-91611</v>
          </cell>
          <cell r="E5985" t="str">
            <v>ESMALTE - KITOX</v>
          </cell>
        </row>
        <row r="5986">
          <cell r="A5986" t="str">
            <v>99-ES-91643</v>
          </cell>
          <cell r="E5986" t="str">
            <v>ESMALTE - COLOREX</v>
          </cell>
        </row>
        <row r="5987">
          <cell r="A5987" t="str">
            <v>99-ES-91721</v>
          </cell>
          <cell r="E5987" t="str">
            <v>ESMALTE - OTROS</v>
          </cell>
        </row>
        <row r="5988">
          <cell r="A5988" t="str">
            <v>99-ES-91821</v>
          </cell>
          <cell r="E5988" t="str">
            <v>ESM SECADO RAPIDO BASE AGUA</v>
          </cell>
        </row>
        <row r="5989">
          <cell r="A5989" t="str">
            <v>99-ES-91823</v>
          </cell>
          <cell r="E5989" t="str">
            <v>ESM SECADO RAPIDO BASE AGUA</v>
          </cell>
        </row>
        <row r="5990">
          <cell r="A5990" t="str">
            <v>99-FALTANTE</v>
          </cell>
          <cell r="E5990" t="str">
            <v>NO IDENTIFICADO</v>
          </cell>
        </row>
        <row r="5991">
          <cell r="A5991" t="str">
            <v>99-G-12761</v>
          </cell>
          <cell r="E5991" t="str">
            <v>SELLADORES DE NITROCELULOSA GL</v>
          </cell>
        </row>
        <row r="5992">
          <cell r="A5992" t="str">
            <v>99-G-12763</v>
          </cell>
          <cell r="E5992" t="str">
            <v>SELLADORES DE NITROCELULOSA GL</v>
          </cell>
        </row>
        <row r="5993">
          <cell r="A5993" t="str">
            <v>99-G-12764</v>
          </cell>
          <cell r="E5993" t="str">
            <v>SELLADORES DE NITROCELULOSA GL</v>
          </cell>
        </row>
        <row r="5994">
          <cell r="A5994" t="str">
            <v>99-G-13813</v>
          </cell>
          <cell r="E5994" t="str">
            <v>LACA NITRO TRANSPARENTE GLOSI</v>
          </cell>
        </row>
        <row r="5995">
          <cell r="A5995" t="str">
            <v>99-G-15563</v>
          </cell>
          <cell r="E5995" t="str">
            <v>ESMALTE - ESTRUCTURAS GLOSI</v>
          </cell>
        </row>
        <row r="5996">
          <cell r="A5996" t="str">
            <v>99-G-15564</v>
          </cell>
          <cell r="E5996" t="str">
            <v>ESMALTE - ESTRUCTURAS GLOSI</v>
          </cell>
        </row>
        <row r="5997">
          <cell r="A5997" t="str">
            <v>99-G-15933</v>
          </cell>
          <cell r="E5997" t="str">
            <v>ESMALTE - ESTRUCTURAS GLOSI</v>
          </cell>
        </row>
        <row r="5998">
          <cell r="A5998" t="str">
            <v>99-G-15934</v>
          </cell>
          <cell r="E5998" t="str">
            <v>ESMALTE - ESTRUCTURAS GLOSI</v>
          </cell>
        </row>
        <row r="5999">
          <cell r="A5999" t="str">
            <v>99-G-17001</v>
          </cell>
          <cell r="E5999" t="str">
            <v>ESMALTE - GLOSI SR</v>
          </cell>
        </row>
        <row r="6000">
          <cell r="A6000" t="str">
            <v>99-G-17003</v>
          </cell>
          <cell r="E6000" t="str">
            <v>ESMALTE - GLOSI SR</v>
          </cell>
        </row>
        <row r="6001">
          <cell r="A6001" t="str">
            <v>99-G-17004</v>
          </cell>
          <cell r="E6001" t="str">
            <v>ESMALTE - GLOSI SR</v>
          </cell>
        </row>
        <row r="6002">
          <cell r="A6002" t="str">
            <v>99-G-17006</v>
          </cell>
          <cell r="E6002" t="str">
            <v>ESMALTE - GLOSI SR</v>
          </cell>
        </row>
        <row r="6003">
          <cell r="A6003" t="str">
            <v>99-G-17074</v>
          </cell>
          <cell r="E6003" t="str">
            <v>ESMALTE - GLOSI SR</v>
          </cell>
        </row>
        <row r="6004">
          <cell r="A6004" t="str">
            <v>99-G-17123</v>
          </cell>
          <cell r="E6004" t="str">
            <v>ESMALTE - GLOSI SR</v>
          </cell>
        </row>
        <row r="6005">
          <cell r="A6005" t="str">
            <v>99-G-17124</v>
          </cell>
          <cell r="E6005" t="str">
            <v>ESMALTE - GLOSI SR</v>
          </cell>
        </row>
        <row r="6006">
          <cell r="A6006" t="str">
            <v>99-G-17143</v>
          </cell>
          <cell r="E6006" t="str">
            <v>ESMALTE - GLOSI SR</v>
          </cell>
        </row>
        <row r="6007">
          <cell r="A6007" t="str">
            <v>99-G-17144</v>
          </cell>
          <cell r="E6007" t="str">
            <v>ESMALTE - GLOSI SR</v>
          </cell>
        </row>
        <row r="6008">
          <cell r="A6008" t="str">
            <v>99-G-17153</v>
          </cell>
          <cell r="E6008" t="str">
            <v>ESMALTE - GLOSI SR</v>
          </cell>
        </row>
        <row r="6009">
          <cell r="A6009" t="str">
            <v>99-G-17154</v>
          </cell>
          <cell r="E6009" t="str">
            <v>ESMALTE - GLOSI SR</v>
          </cell>
        </row>
        <row r="6010">
          <cell r="A6010" t="str">
            <v>99-G-17213</v>
          </cell>
          <cell r="E6010" t="str">
            <v>ESMALTE - GLOSI SR</v>
          </cell>
        </row>
        <row r="6011">
          <cell r="A6011" t="str">
            <v>99-G-17214</v>
          </cell>
          <cell r="E6011" t="str">
            <v>ESMALTE - GLOSI SR</v>
          </cell>
        </row>
        <row r="6012">
          <cell r="A6012" t="str">
            <v>99-G-17353</v>
          </cell>
          <cell r="E6012" t="str">
            <v>ESMALTE - GLOSI SR</v>
          </cell>
        </row>
        <row r="6013">
          <cell r="A6013" t="str">
            <v>99-G-17354</v>
          </cell>
          <cell r="E6013" t="str">
            <v>ESMALTE - GLOSI SR</v>
          </cell>
        </row>
        <row r="6014">
          <cell r="A6014" t="str">
            <v>99-G-17453</v>
          </cell>
          <cell r="E6014" t="str">
            <v>ESMALTE - GLOSI SR</v>
          </cell>
        </row>
        <row r="6015">
          <cell r="A6015" t="str">
            <v>99-G-17454</v>
          </cell>
          <cell r="E6015" t="str">
            <v>ESMALTE - GLOSI SR</v>
          </cell>
        </row>
        <row r="6016">
          <cell r="A6016" t="str">
            <v>99-G-17456</v>
          </cell>
          <cell r="E6016" t="str">
            <v>ESMALTE - GLOSI SR</v>
          </cell>
        </row>
        <row r="6017">
          <cell r="A6017" t="str">
            <v>99-G-17563</v>
          </cell>
          <cell r="E6017" t="str">
            <v>ESMALTE - GLOSI SR</v>
          </cell>
        </row>
        <row r="6018">
          <cell r="A6018" t="str">
            <v>99-G-17564</v>
          </cell>
          <cell r="E6018" t="str">
            <v>ESMALTE - GLOSI SR</v>
          </cell>
        </row>
        <row r="6019">
          <cell r="A6019" t="str">
            <v>99-G-17583</v>
          </cell>
          <cell r="E6019" t="str">
            <v>ESMALTE - GLOSI SR</v>
          </cell>
        </row>
        <row r="6020">
          <cell r="A6020" t="str">
            <v>99-G-17584</v>
          </cell>
          <cell r="E6020" t="str">
            <v>ESMALTE - GLOSI SR</v>
          </cell>
        </row>
        <row r="6021">
          <cell r="A6021" t="str">
            <v>99-G-17643</v>
          </cell>
          <cell r="E6021" t="str">
            <v>ESMALTE - GLOSI SR</v>
          </cell>
        </row>
        <row r="6022">
          <cell r="A6022" t="str">
            <v>99-G-17644</v>
          </cell>
          <cell r="E6022" t="str">
            <v>ESMALTE - GLOSI SR</v>
          </cell>
        </row>
        <row r="6023">
          <cell r="A6023" t="str">
            <v>99-G-17691</v>
          </cell>
          <cell r="E6023" t="str">
            <v>ESMALTE - GLOSI SR</v>
          </cell>
        </row>
        <row r="6024">
          <cell r="A6024" t="str">
            <v>99-G-17693</v>
          </cell>
          <cell r="E6024" t="str">
            <v>ESMALTE - GLOSI SR</v>
          </cell>
        </row>
        <row r="6025">
          <cell r="A6025" t="str">
            <v>99-G-17694</v>
          </cell>
          <cell r="E6025" t="str">
            <v>ESMALTE - GLOSI SR</v>
          </cell>
        </row>
        <row r="6026">
          <cell r="A6026" t="str">
            <v>99-G-17793</v>
          </cell>
          <cell r="E6026" t="str">
            <v>ESMALTE - GLOSI SR</v>
          </cell>
        </row>
        <row r="6027">
          <cell r="A6027" t="str">
            <v>99-G-17794</v>
          </cell>
          <cell r="E6027" t="str">
            <v>ESMALTE - GLOSI SR</v>
          </cell>
        </row>
        <row r="6028">
          <cell r="A6028" t="str">
            <v>99-G-17803</v>
          </cell>
          <cell r="E6028" t="str">
            <v>ESMALTE - GLOSI SR</v>
          </cell>
        </row>
        <row r="6029">
          <cell r="A6029" t="str">
            <v>99-G-17804</v>
          </cell>
          <cell r="E6029" t="str">
            <v>ESMALTE - GLOSI SR</v>
          </cell>
        </row>
        <row r="6030">
          <cell r="A6030" t="str">
            <v>99-G-17823</v>
          </cell>
          <cell r="E6030" t="str">
            <v>ESMALTE - GLOSI SR</v>
          </cell>
        </row>
        <row r="6031">
          <cell r="A6031" t="str">
            <v>99-G-17824</v>
          </cell>
          <cell r="E6031" t="str">
            <v>ESMALTE - GLOSI SR</v>
          </cell>
        </row>
        <row r="6032">
          <cell r="A6032" t="str">
            <v>99-G-17914</v>
          </cell>
          <cell r="E6032" t="str">
            <v>ESMALTE - GLOSI SR</v>
          </cell>
        </row>
        <row r="6033">
          <cell r="A6033" t="str">
            <v>99-G-17916</v>
          </cell>
          <cell r="E6033" t="str">
            <v>ESMALTE - GLOSI SR</v>
          </cell>
        </row>
        <row r="6034">
          <cell r="A6034" t="str">
            <v>99-G-17933</v>
          </cell>
          <cell r="E6034" t="str">
            <v>ESMALTE - GLOSI SR</v>
          </cell>
        </row>
        <row r="6035">
          <cell r="A6035" t="str">
            <v>99-G-17934</v>
          </cell>
          <cell r="E6035" t="str">
            <v>ESMALTE - GLOSI SR</v>
          </cell>
        </row>
        <row r="6036">
          <cell r="A6036" t="str">
            <v>99-G-17983</v>
          </cell>
          <cell r="E6036" t="str">
            <v>ESMALTE - GLOSI SR</v>
          </cell>
        </row>
        <row r="6037">
          <cell r="A6037" t="str">
            <v>99-G-17984</v>
          </cell>
          <cell r="E6037" t="str">
            <v>ESMALTE - GLOSI SR</v>
          </cell>
        </row>
        <row r="6038">
          <cell r="A6038" t="str">
            <v>99-G-17991</v>
          </cell>
          <cell r="E6038" t="str">
            <v>ESMALTE - GLOSI SR</v>
          </cell>
        </row>
        <row r="6039">
          <cell r="A6039" t="str">
            <v>99-G-17993</v>
          </cell>
          <cell r="E6039" t="str">
            <v>ESMALTE - GLOSI SR</v>
          </cell>
        </row>
        <row r="6040">
          <cell r="A6040" t="str">
            <v>99-G-17994</v>
          </cell>
          <cell r="E6040" t="str">
            <v>ESMALTE - GLOSI SR</v>
          </cell>
        </row>
        <row r="6041">
          <cell r="A6041" t="str">
            <v>99-G-17996</v>
          </cell>
          <cell r="E6041" t="str">
            <v>ESMALTE - GLOSI SR</v>
          </cell>
        </row>
        <row r="6042">
          <cell r="A6042" t="str">
            <v>99-G-2300</v>
          </cell>
          <cell r="E6042" t="str">
            <v>AEROSOLES GLOSI</v>
          </cell>
        </row>
        <row r="6043">
          <cell r="A6043" t="str">
            <v>99-G-2301</v>
          </cell>
          <cell r="E6043" t="str">
            <v>AEROSOLES GLOSI</v>
          </cell>
        </row>
        <row r="6044">
          <cell r="A6044" t="str">
            <v>99-G-2314</v>
          </cell>
          <cell r="E6044" t="str">
            <v>AEROSOLES GLOSI</v>
          </cell>
        </row>
        <row r="6045">
          <cell r="A6045" t="str">
            <v>99-G-2315</v>
          </cell>
          <cell r="E6045" t="str">
            <v>AEROSOLES GLOSI</v>
          </cell>
        </row>
        <row r="6046">
          <cell r="A6046" t="str">
            <v>99-G-2316</v>
          </cell>
          <cell r="E6046" t="str">
            <v>AEROSOLES GLOSI</v>
          </cell>
        </row>
        <row r="6047">
          <cell r="A6047" t="str">
            <v>99-G-2317</v>
          </cell>
          <cell r="E6047" t="str">
            <v>AEROSOLES GLOSI</v>
          </cell>
        </row>
        <row r="6048">
          <cell r="A6048" t="str">
            <v>99-G-2322</v>
          </cell>
          <cell r="E6048" t="str">
            <v>AEROSOLES GLOSI</v>
          </cell>
        </row>
        <row r="6049">
          <cell r="A6049" t="str">
            <v>99-G-2324</v>
          </cell>
          <cell r="E6049" t="str">
            <v>AEROSOLES GLOSI</v>
          </cell>
        </row>
        <row r="6050">
          <cell r="A6050" t="str">
            <v>99-G-2335</v>
          </cell>
          <cell r="E6050" t="str">
            <v>AEROSOLES GLOSI</v>
          </cell>
        </row>
        <row r="6051">
          <cell r="A6051" t="str">
            <v>99-G-2343</v>
          </cell>
          <cell r="E6051" t="str">
            <v>AEROSOLES GLOSI</v>
          </cell>
        </row>
        <row r="6052">
          <cell r="A6052" t="str">
            <v>99-G-2344</v>
          </cell>
          <cell r="E6052" t="str">
            <v>AEROSOLES GLOSI</v>
          </cell>
        </row>
        <row r="6053">
          <cell r="A6053" t="str">
            <v>99-G-2345</v>
          </cell>
          <cell r="E6053" t="str">
            <v>AEROSOLES GLOSI</v>
          </cell>
        </row>
        <row r="6054">
          <cell r="A6054" t="str">
            <v>99-G-2356</v>
          </cell>
          <cell r="E6054" t="str">
            <v>AEROSOLES GLOSI</v>
          </cell>
        </row>
        <row r="6055">
          <cell r="A6055" t="str">
            <v>99-G-2358</v>
          </cell>
          <cell r="E6055" t="str">
            <v>AEROSOLES GLOSI</v>
          </cell>
        </row>
        <row r="6056">
          <cell r="A6056" t="str">
            <v>99-G-2364</v>
          </cell>
          <cell r="E6056" t="str">
            <v>AEROSOLES GLOSI</v>
          </cell>
        </row>
        <row r="6057">
          <cell r="A6057" t="str">
            <v>99-G-2365</v>
          </cell>
          <cell r="E6057" t="str">
            <v>AEROSOLES GLOSI</v>
          </cell>
        </row>
        <row r="6058">
          <cell r="A6058" t="str">
            <v>99-G-2366</v>
          </cell>
          <cell r="E6058" t="str">
            <v>AEROSOLES GLOSI</v>
          </cell>
        </row>
        <row r="6059">
          <cell r="A6059" t="str">
            <v>99-G-2367</v>
          </cell>
          <cell r="E6059" t="str">
            <v>AEROSOLES GLOSI</v>
          </cell>
        </row>
        <row r="6060">
          <cell r="A6060" t="str">
            <v>99-G-2375</v>
          </cell>
          <cell r="E6060" t="str">
            <v>AEROSOLES GLOSI</v>
          </cell>
        </row>
        <row r="6061">
          <cell r="A6061" t="str">
            <v>99-G-2376</v>
          </cell>
          <cell r="E6061" t="str">
            <v>AEROSOLES GLOSI</v>
          </cell>
        </row>
        <row r="6062">
          <cell r="A6062" t="str">
            <v>99-G-2380</v>
          </cell>
          <cell r="E6062" t="str">
            <v>AEROSOLES GLOSI</v>
          </cell>
        </row>
        <row r="6063">
          <cell r="A6063" t="str">
            <v>99-G-2381</v>
          </cell>
          <cell r="E6063" t="str">
            <v>AEROSOLES GLOSI</v>
          </cell>
        </row>
        <row r="6064">
          <cell r="A6064" t="str">
            <v>99-G-2390</v>
          </cell>
          <cell r="E6064" t="str">
            <v>AEROSOLES GLOSI</v>
          </cell>
        </row>
        <row r="6065">
          <cell r="A6065" t="str">
            <v>99-G-2393</v>
          </cell>
          <cell r="E6065" t="str">
            <v>AEROSOLES GLOSI</v>
          </cell>
        </row>
        <row r="6066">
          <cell r="A6066" t="str">
            <v>99-G-2396</v>
          </cell>
          <cell r="E6066" t="str">
            <v>AEROSOLES GLOSI</v>
          </cell>
        </row>
        <row r="6067">
          <cell r="A6067" t="str">
            <v>99-G-2397</v>
          </cell>
          <cell r="E6067" t="str">
            <v>AEROSOLES GLOSI</v>
          </cell>
        </row>
        <row r="6068">
          <cell r="A6068" t="str">
            <v>99-G-2398</v>
          </cell>
          <cell r="E6068" t="str">
            <v>AEROSOLES GLOSI</v>
          </cell>
        </row>
        <row r="6069">
          <cell r="A6069" t="str">
            <v>99-G-2399</v>
          </cell>
          <cell r="E6069" t="str">
            <v>AEROSOLES GLOSI</v>
          </cell>
        </row>
        <row r="6070">
          <cell r="A6070" t="str">
            <v>99-G-2411</v>
          </cell>
          <cell r="E6070" t="str">
            <v>AEROSOLES GLOSI</v>
          </cell>
        </row>
        <row r="6071">
          <cell r="A6071" t="str">
            <v>99-G-2413</v>
          </cell>
          <cell r="E6071" t="str">
            <v>AEROSOLES GLOSI</v>
          </cell>
        </row>
        <row r="6072">
          <cell r="A6072" t="str">
            <v>99-G-2414</v>
          </cell>
          <cell r="E6072" t="str">
            <v>AEROSOLES GLOSI</v>
          </cell>
        </row>
        <row r="6073">
          <cell r="A6073" t="str">
            <v>99-G-2417</v>
          </cell>
          <cell r="E6073" t="str">
            <v>AEROSOLES GLOSI</v>
          </cell>
        </row>
        <row r="6074">
          <cell r="A6074" t="str">
            <v>99-G-2451</v>
          </cell>
          <cell r="E6074" t="str">
            <v>AEROSOLES GLOSI</v>
          </cell>
        </row>
        <row r="6075">
          <cell r="A6075" t="str">
            <v>99-G-2454</v>
          </cell>
          <cell r="E6075" t="str">
            <v>AEROSOLES GLOSI</v>
          </cell>
        </row>
        <row r="6076">
          <cell r="A6076" t="str">
            <v>99-G-2461</v>
          </cell>
          <cell r="E6076" t="str">
            <v>AEROSOLES GLOSI</v>
          </cell>
        </row>
        <row r="6077">
          <cell r="A6077" t="str">
            <v>99-G-2462</v>
          </cell>
          <cell r="E6077" t="str">
            <v>AEROSOLES GLOSI</v>
          </cell>
        </row>
        <row r="6078">
          <cell r="A6078" t="str">
            <v>99-G-2463</v>
          </cell>
          <cell r="E6078" t="str">
            <v>AEROSOLES GLOSI</v>
          </cell>
        </row>
        <row r="6079">
          <cell r="A6079" t="str">
            <v>99-G-2497</v>
          </cell>
          <cell r="E6079" t="str">
            <v>AEROSOLES GLOSI</v>
          </cell>
        </row>
        <row r="6080">
          <cell r="A6080" t="str">
            <v>99-G-28803</v>
          </cell>
          <cell r="E6080" t="str">
            <v>BARNIZ ALQUIDALICO GLOSI</v>
          </cell>
        </row>
        <row r="6081">
          <cell r="A6081" t="str">
            <v>99-G-28804</v>
          </cell>
          <cell r="E6081" t="str">
            <v>BARNIZ ALQUIDALICO GLOSI</v>
          </cell>
        </row>
        <row r="6082">
          <cell r="A6082" t="str">
            <v>99-G-28805</v>
          </cell>
          <cell r="E6082" t="str">
            <v>BARNIZ ALQUIDALICO GLOSI</v>
          </cell>
        </row>
        <row r="6083">
          <cell r="A6083" t="str">
            <v>99-G-28806</v>
          </cell>
          <cell r="E6083" t="str">
            <v>BARNIZ ALQUIDALICO GLOSI</v>
          </cell>
        </row>
        <row r="6084">
          <cell r="A6084" t="str">
            <v>99-G-28824</v>
          </cell>
          <cell r="E6084" t="str">
            <v>BARNIZ ALQUIDALICO GLOSI</v>
          </cell>
        </row>
        <row r="6085">
          <cell r="A6085" t="str">
            <v>99-G-28826</v>
          </cell>
          <cell r="E6085" t="str">
            <v>BARNIZ ALQUIDALICO GLOSI</v>
          </cell>
        </row>
        <row r="6086">
          <cell r="A6086" t="str">
            <v>99-G-28844</v>
          </cell>
          <cell r="E6086" t="str">
            <v>BARNIZ ALQUIDALICO GLOSI</v>
          </cell>
        </row>
        <row r="6087">
          <cell r="A6087" t="str">
            <v>99-G-28846</v>
          </cell>
          <cell r="E6087" t="str">
            <v>BARNIZ ALQUIDALICO GLOSI</v>
          </cell>
        </row>
        <row r="6088">
          <cell r="A6088" t="str">
            <v>99-G-28854</v>
          </cell>
          <cell r="E6088" t="str">
            <v>BARNIZ ALQUIDALICO GLOSI</v>
          </cell>
        </row>
        <row r="6089">
          <cell r="A6089" t="str">
            <v>99-G-28856</v>
          </cell>
          <cell r="E6089" t="str">
            <v>BARNIZ ALQUIDALICO GLOSI</v>
          </cell>
        </row>
        <row r="6090">
          <cell r="A6090" t="str">
            <v>99-G-28884</v>
          </cell>
          <cell r="E6090" t="str">
            <v>BARNIZ ALQUIDALICO GLOSI</v>
          </cell>
        </row>
        <row r="6091">
          <cell r="A6091" t="str">
            <v>99-G-28886</v>
          </cell>
          <cell r="E6091" t="str">
            <v>BARNIZ ALQUIDALICO GLOSI</v>
          </cell>
        </row>
        <row r="6092">
          <cell r="A6092" t="str">
            <v>99-G-28894</v>
          </cell>
          <cell r="E6092" t="str">
            <v>BARNIZ ALQUIDALICO GLOSI</v>
          </cell>
        </row>
        <row r="6093">
          <cell r="A6093" t="str">
            <v>99-G-28896</v>
          </cell>
          <cell r="E6093" t="str">
            <v>BARNIZ ALQUIDALICO GLOSI</v>
          </cell>
        </row>
        <row r="6094">
          <cell r="A6094" t="str">
            <v>99-G-28944</v>
          </cell>
          <cell r="E6094" t="str">
            <v>BARNIZ ALQUIDALICO GLOSI</v>
          </cell>
        </row>
        <row r="6095">
          <cell r="A6095" t="str">
            <v>99-G-28946</v>
          </cell>
          <cell r="E6095" t="str">
            <v>BARNIZ ALQUIDALICO GLOSI</v>
          </cell>
        </row>
        <row r="6096">
          <cell r="A6096" t="str">
            <v>99-G-31101</v>
          </cell>
          <cell r="E6096" t="str">
            <v>VINILICA - GLOSI</v>
          </cell>
        </row>
        <row r="6097">
          <cell r="A6097" t="str">
            <v>99-G-31103</v>
          </cell>
          <cell r="E6097" t="str">
            <v>VINILICA - GLOSI</v>
          </cell>
        </row>
        <row r="6098">
          <cell r="A6098" t="str">
            <v>99-G-31801</v>
          </cell>
          <cell r="E6098" t="str">
            <v>VINILICA - GLOSI</v>
          </cell>
        </row>
        <row r="6099">
          <cell r="A6099" t="str">
            <v>99-G-31803</v>
          </cell>
          <cell r="E6099" t="str">
            <v>VINILICA - GLOSI</v>
          </cell>
        </row>
        <row r="6100">
          <cell r="A6100" t="str">
            <v>99-G-31811</v>
          </cell>
          <cell r="E6100" t="str">
            <v>VINILICA - GLOSI</v>
          </cell>
        </row>
        <row r="6101">
          <cell r="A6101" t="str">
            <v>99-G-31813</v>
          </cell>
          <cell r="E6101" t="str">
            <v>VINILICA - GLOSI</v>
          </cell>
        </row>
        <row r="6102">
          <cell r="A6102" t="str">
            <v>99-G-31821</v>
          </cell>
          <cell r="E6102" t="str">
            <v>VINILICA - GLOSI</v>
          </cell>
        </row>
        <row r="6103">
          <cell r="A6103" t="str">
            <v>99-G-31823</v>
          </cell>
          <cell r="E6103" t="str">
            <v>VINILICA - GLOSI</v>
          </cell>
        </row>
        <row r="6104">
          <cell r="A6104" t="str">
            <v>99-G-31831</v>
          </cell>
          <cell r="E6104" t="str">
            <v>VINILICA - GLOSI</v>
          </cell>
        </row>
        <row r="6105">
          <cell r="A6105" t="str">
            <v>99-G-31833</v>
          </cell>
          <cell r="E6105" t="str">
            <v>VINILICA - GLOSI</v>
          </cell>
        </row>
        <row r="6106">
          <cell r="A6106" t="str">
            <v>99-G-31841</v>
          </cell>
          <cell r="E6106" t="str">
            <v>VINILICA - GLOSI</v>
          </cell>
        </row>
        <row r="6107">
          <cell r="A6107" t="str">
            <v>99-G-31843</v>
          </cell>
          <cell r="E6107" t="str">
            <v>VINILICA - GLOSI</v>
          </cell>
        </row>
        <row r="6108">
          <cell r="A6108" t="str">
            <v>99-G-31851</v>
          </cell>
          <cell r="E6108" t="str">
            <v>VINILICA - GLOSI</v>
          </cell>
        </row>
        <row r="6109">
          <cell r="A6109" t="str">
            <v>99-G-31853</v>
          </cell>
          <cell r="E6109" t="str">
            <v>VINILICA - GLOSI</v>
          </cell>
        </row>
        <row r="6110">
          <cell r="A6110" t="str">
            <v>99-G-31861</v>
          </cell>
          <cell r="E6110" t="str">
            <v>VINILICA - GLOSI</v>
          </cell>
        </row>
        <row r="6111">
          <cell r="A6111" t="str">
            <v>99-G-31863</v>
          </cell>
          <cell r="E6111" t="str">
            <v>VINILICA - GLOSI</v>
          </cell>
        </row>
        <row r="6112">
          <cell r="A6112" t="str">
            <v>99-G-31871</v>
          </cell>
          <cell r="E6112" t="str">
            <v>VINILICA - GLOSI</v>
          </cell>
        </row>
        <row r="6113">
          <cell r="A6113" t="str">
            <v>99-G-31873</v>
          </cell>
          <cell r="E6113" t="str">
            <v>VINILICA - GLOSI</v>
          </cell>
        </row>
        <row r="6114">
          <cell r="A6114" t="str">
            <v>99-G-31881</v>
          </cell>
          <cell r="E6114" t="str">
            <v>VINILICA - GLOSI</v>
          </cell>
        </row>
        <row r="6115">
          <cell r="A6115" t="str">
            <v>99-G-31883</v>
          </cell>
          <cell r="E6115" t="str">
            <v>VINILICA - GLOSI</v>
          </cell>
        </row>
        <row r="6116">
          <cell r="A6116" t="str">
            <v>99-G-31891</v>
          </cell>
          <cell r="E6116" t="str">
            <v>VINILICA - GLOSI</v>
          </cell>
        </row>
        <row r="6117">
          <cell r="A6117" t="str">
            <v>99-G-31893</v>
          </cell>
          <cell r="E6117" t="str">
            <v>VINILICA - GLOSI</v>
          </cell>
        </row>
        <row r="6118">
          <cell r="A6118" t="str">
            <v>99-G-31901</v>
          </cell>
          <cell r="E6118" t="str">
            <v>VINILICA - GLOSI</v>
          </cell>
        </row>
        <row r="6119">
          <cell r="A6119" t="str">
            <v>99-G-31903</v>
          </cell>
          <cell r="E6119" t="str">
            <v>VINILICA - GLOSI</v>
          </cell>
        </row>
        <row r="6120">
          <cell r="A6120" t="str">
            <v>99-G-31911</v>
          </cell>
          <cell r="E6120" t="str">
            <v>VINILICA - GLOSI</v>
          </cell>
        </row>
        <row r="6121">
          <cell r="A6121" t="str">
            <v>99-G-31913</v>
          </cell>
          <cell r="E6121" t="str">
            <v>VINILICA - GLOSI</v>
          </cell>
        </row>
        <row r="6122">
          <cell r="A6122" t="str">
            <v>99-G-31921</v>
          </cell>
          <cell r="E6122" t="str">
            <v>VINILICA - GLOSI</v>
          </cell>
        </row>
        <row r="6123">
          <cell r="A6123" t="str">
            <v>99-G-31923</v>
          </cell>
          <cell r="E6123" t="str">
            <v>VINILICA - GLOSI</v>
          </cell>
        </row>
        <row r="6124">
          <cell r="A6124" t="str">
            <v>99-G-31951</v>
          </cell>
          <cell r="E6124" t="str">
            <v>VINILICA - GLOSI</v>
          </cell>
        </row>
        <row r="6125">
          <cell r="A6125" t="str">
            <v>99-G-31953</v>
          </cell>
          <cell r="E6125" t="str">
            <v>VINILICA - GLOSI</v>
          </cell>
        </row>
        <row r="6126">
          <cell r="A6126" t="str">
            <v>99-G-31971</v>
          </cell>
          <cell r="E6126" t="str">
            <v>VINILICA - GLOSI</v>
          </cell>
        </row>
        <row r="6127">
          <cell r="A6127" t="str">
            <v>99-G-31973</v>
          </cell>
          <cell r="E6127" t="str">
            <v>VINILICA - GLOSI</v>
          </cell>
        </row>
        <row r="6128">
          <cell r="A6128" t="str">
            <v>99-G-38021</v>
          </cell>
          <cell r="E6128" t="str">
            <v>IMPERM - GLOSI 5 AóOS</v>
          </cell>
        </row>
        <row r="6129">
          <cell r="A6129" t="str">
            <v>99-G-38023</v>
          </cell>
          <cell r="E6129" t="str">
            <v>IMPERM - GLOSI 5 AóOS</v>
          </cell>
        </row>
        <row r="6130">
          <cell r="A6130" t="str">
            <v>99-G-38061</v>
          </cell>
          <cell r="E6130" t="str">
            <v>IMPERM - GLOSI 3 AóOS</v>
          </cell>
        </row>
        <row r="6131">
          <cell r="A6131" t="str">
            <v>99-G-38063</v>
          </cell>
          <cell r="E6131" t="str">
            <v>IMPERM - GLOSI 3 AóOS</v>
          </cell>
        </row>
        <row r="6132">
          <cell r="A6132" t="str">
            <v>99-G-38551</v>
          </cell>
          <cell r="E6132" t="str">
            <v>IMPERM - GLOSI 3 AóOS</v>
          </cell>
        </row>
        <row r="6133">
          <cell r="A6133" t="str">
            <v>99-G-38553</v>
          </cell>
          <cell r="E6133" t="str">
            <v>IMPERM - GLOSI 3 AóOS</v>
          </cell>
        </row>
        <row r="6134">
          <cell r="A6134" t="str">
            <v>99-G-38581</v>
          </cell>
          <cell r="E6134" t="str">
            <v>IMPERM - GLOSI 5 AóOS</v>
          </cell>
        </row>
        <row r="6135">
          <cell r="A6135" t="str">
            <v>99-G-38583</v>
          </cell>
          <cell r="E6135" t="str">
            <v>IMPERM - GLOSI 5 AóOS</v>
          </cell>
        </row>
        <row r="6136">
          <cell r="A6136" t="str">
            <v>99-G-61001</v>
          </cell>
          <cell r="E6136" t="str">
            <v>IMPERM - GLOSI 3 AÑOS EMULSION</v>
          </cell>
        </row>
        <row r="6137">
          <cell r="A6137" t="str">
            <v>99-G-61003</v>
          </cell>
          <cell r="E6137" t="str">
            <v>IMPERM - GLOSI 3 AÑOS EMULSION</v>
          </cell>
        </row>
        <row r="6138">
          <cell r="A6138" t="str">
            <v>99-G-61101</v>
          </cell>
          <cell r="E6138" t="str">
            <v>IMPERM - GLOSI  5 AÑOS ASFALTI</v>
          </cell>
        </row>
        <row r="6139">
          <cell r="A6139" t="str">
            <v>99-G-61103</v>
          </cell>
          <cell r="E6139" t="str">
            <v>IMPERM - GLOSI  5 AÑOS ASFALTI</v>
          </cell>
        </row>
        <row r="6140">
          <cell r="A6140" t="str">
            <v>99-IMP321</v>
          </cell>
          <cell r="E6140" t="str">
            <v>IMPERM - PARAGUAS 3 AÑOS</v>
          </cell>
        </row>
        <row r="6141">
          <cell r="A6141" t="str">
            <v>99-IMP322</v>
          </cell>
          <cell r="E6141" t="str">
            <v>IMPERM - PARAGUAS 3 AÑOS</v>
          </cell>
        </row>
        <row r="6142">
          <cell r="A6142" t="str">
            <v>99-K-COSMICO</v>
          </cell>
          <cell r="E6142" t="str">
            <v>VINILICA CICLOPE</v>
          </cell>
        </row>
        <row r="6143">
          <cell r="A6143" t="str">
            <v>99-K-ESTELAR</v>
          </cell>
          <cell r="E6143" t="str">
            <v>VINILICA CICLOPE</v>
          </cell>
        </row>
        <row r="6144">
          <cell r="A6144" t="str">
            <v>99-LE-10991</v>
          </cell>
          <cell r="E6144" t="str">
            <v>ESMALTE - KITOX</v>
          </cell>
        </row>
        <row r="6145">
          <cell r="A6145" t="str">
            <v>99-LE-12071</v>
          </cell>
          <cell r="E6145" t="str">
            <v>VINILICA - PINTAVIN</v>
          </cell>
        </row>
        <row r="6146">
          <cell r="A6146" t="str">
            <v>99-LE-12591</v>
          </cell>
          <cell r="E6146" t="str">
            <v>VINILICA - PINTAVIN</v>
          </cell>
        </row>
        <row r="6147">
          <cell r="A6147" t="str">
            <v>99-LE-12661</v>
          </cell>
          <cell r="E6147" t="str">
            <v>VINILICA - RIVINOL</v>
          </cell>
        </row>
        <row r="6148">
          <cell r="A6148" t="str">
            <v>99-LE-12671</v>
          </cell>
          <cell r="E6148" t="str">
            <v>ESMALTE - KITOX</v>
          </cell>
        </row>
        <row r="6149">
          <cell r="A6149" t="str">
            <v>99-LE-13291</v>
          </cell>
          <cell r="E6149" t="str">
            <v>VINILICA - PRISASPORT</v>
          </cell>
        </row>
        <row r="6150">
          <cell r="A6150" t="str">
            <v>99-LE-14450</v>
          </cell>
          <cell r="E6150" t="str">
            <v>VINILICA - RIVINOL</v>
          </cell>
        </row>
        <row r="6151">
          <cell r="A6151" t="str">
            <v>99-LE-14561</v>
          </cell>
          <cell r="E6151" t="str">
            <v>ESM SECADO RAPIDO BASE SOLVENT</v>
          </cell>
        </row>
        <row r="6152">
          <cell r="A6152" t="str">
            <v>99-LE-14571</v>
          </cell>
          <cell r="E6152" t="str">
            <v>ESM SECADO RAPIDO BASE SOLVENT</v>
          </cell>
        </row>
        <row r="6153">
          <cell r="A6153" t="str">
            <v>99-LE-14581</v>
          </cell>
          <cell r="E6153" t="str">
            <v>ESM SECADO RAPIDO BASE SOLVENT</v>
          </cell>
        </row>
        <row r="6154">
          <cell r="A6154" t="str">
            <v>99-LE-14591</v>
          </cell>
          <cell r="E6154" t="str">
            <v>ESM SECADO RAPIDO BASE SOLVENT</v>
          </cell>
        </row>
        <row r="6155">
          <cell r="A6155" t="str">
            <v>99-LE-14601</v>
          </cell>
          <cell r="E6155" t="str">
            <v>ESM SECADO RAPIDO BASE SOLVENT</v>
          </cell>
        </row>
        <row r="6156">
          <cell r="A6156" t="str">
            <v>99-LE-14611</v>
          </cell>
          <cell r="E6156" t="str">
            <v>ESM SECADO RAPIDO BASE SOLVENT</v>
          </cell>
        </row>
        <row r="6157">
          <cell r="A6157" t="str">
            <v>99-LE-14621</v>
          </cell>
          <cell r="E6157" t="str">
            <v>ESM SECADO RAPIDO BASE SOLVENT</v>
          </cell>
        </row>
        <row r="6158">
          <cell r="A6158" t="str">
            <v>99-LE-14631</v>
          </cell>
          <cell r="E6158" t="str">
            <v>ESM SECADO RAPIDO BASE SOLVENT</v>
          </cell>
        </row>
        <row r="6159">
          <cell r="A6159" t="str">
            <v>99-LE-14651</v>
          </cell>
          <cell r="E6159" t="str">
            <v>ESM SECADO RAPIDO BASE SOLVENT</v>
          </cell>
        </row>
        <row r="6160">
          <cell r="A6160" t="str">
            <v>99-LE-14661</v>
          </cell>
          <cell r="E6160" t="str">
            <v>ESM SECADO RAPIDO BASE SOLVENT</v>
          </cell>
        </row>
        <row r="6161">
          <cell r="A6161" t="str">
            <v>99-LE-14671</v>
          </cell>
          <cell r="E6161" t="str">
            <v>ESM SECADO RAPIDO BASE SOLVENT</v>
          </cell>
        </row>
        <row r="6162">
          <cell r="A6162" t="str">
            <v>99-LE-14681</v>
          </cell>
          <cell r="E6162" t="str">
            <v>ESM SECADO RAPIDO BASE SOLVENT</v>
          </cell>
        </row>
        <row r="6163">
          <cell r="A6163" t="str">
            <v>99-LE-14691</v>
          </cell>
          <cell r="E6163" t="str">
            <v>VINILICA LICITACIONES</v>
          </cell>
        </row>
        <row r="6164">
          <cell r="A6164" t="str">
            <v>99-LE-14701</v>
          </cell>
          <cell r="E6164" t="str">
            <v>VINILICA LICITACIONES</v>
          </cell>
        </row>
        <row r="6165">
          <cell r="A6165" t="str">
            <v>99-LE-14711</v>
          </cell>
          <cell r="E6165" t="str">
            <v>VINILICA LICITACIONES</v>
          </cell>
        </row>
        <row r="6166">
          <cell r="A6166" t="str">
            <v>99-LE-14721</v>
          </cell>
          <cell r="E6166" t="str">
            <v>VINILICA - PINTAVIN</v>
          </cell>
        </row>
        <row r="6167">
          <cell r="A6167" t="str">
            <v>99-LE-14731</v>
          </cell>
          <cell r="E6167" t="str">
            <v>VINILICA LICITACIONES</v>
          </cell>
        </row>
        <row r="6168">
          <cell r="A6168" t="str">
            <v>99-LE-14741</v>
          </cell>
          <cell r="E6168" t="str">
            <v>VINILICA LICITACIONES</v>
          </cell>
        </row>
        <row r="6169">
          <cell r="A6169" t="str">
            <v>99-LE-14751</v>
          </cell>
          <cell r="E6169" t="str">
            <v>VINILICA LICITACIONES</v>
          </cell>
        </row>
        <row r="6170">
          <cell r="A6170" t="str">
            <v>99-LE-14771</v>
          </cell>
          <cell r="E6170" t="str">
            <v>VINILICA - PINTAVIN</v>
          </cell>
        </row>
        <row r="6171">
          <cell r="A6171" t="str">
            <v>99-LE-14791</v>
          </cell>
          <cell r="E6171" t="str">
            <v>VINILICA LICITACIONES</v>
          </cell>
        </row>
        <row r="6172">
          <cell r="A6172" t="str">
            <v>99-LE-14801</v>
          </cell>
          <cell r="E6172" t="str">
            <v>VINILICA - PINTAVIN</v>
          </cell>
        </row>
        <row r="6173">
          <cell r="A6173" t="str">
            <v>99-LE-14811</v>
          </cell>
          <cell r="E6173" t="str">
            <v>VINILICA - PINTAVIN</v>
          </cell>
        </row>
        <row r="6174">
          <cell r="A6174" t="str">
            <v>99-LE-14820</v>
          </cell>
          <cell r="E6174" t="str">
            <v>ESM SECADO RAPIDO BASE SOLVENT</v>
          </cell>
        </row>
        <row r="6175">
          <cell r="A6175" t="str">
            <v>99-LE-14831</v>
          </cell>
          <cell r="E6175" t="str">
            <v>ESM SECADO RAPIDO BASE AGUA</v>
          </cell>
        </row>
        <row r="6176">
          <cell r="A6176" t="str">
            <v>99-LE-14841</v>
          </cell>
          <cell r="E6176" t="str">
            <v>VINILICA - PRISASPORT</v>
          </cell>
        </row>
        <row r="6177">
          <cell r="A6177" t="str">
            <v>99-LE-14843</v>
          </cell>
          <cell r="E6177" t="str">
            <v>VINILICA - PRISASPORT</v>
          </cell>
        </row>
        <row r="6178">
          <cell r="A6178" t="str">
            <v>99-LE-14851</v>
          </cell>
          <cell r="E6178" t="str">
            <v>ESM SECADO RAPIDO BASE AGUA</v>
          </cell>
        </row>
        <row r="6179">
          <cell r="A6179" t="str">
            <v>99-LE-14861</v>
          </cell>
          <cell r="E6179" t="str">
            <v>ESM SECADO RAPIDO BASE AGUA</v>
          </cell>
        </row>
        <row r="6180">
          <cell r="A6180" t="str">
            <v>99-LE-14871</v>
          </cell>
          <cell r="E6180" t="str">
            <v>ESM SECADO RAPIDO BASE AGUA</v>
          </cell>
        </row>
        <row r="6181">
          <cell r="A6181" t="str">
            <v>99-LE-14883</v>
          </cell>
          <cell r="E6181" t="str">
            <v>ESM SECADO RAPIDO BASE AGUA</v>
          </cell>
        </row>
        <row r="6182">
          <cell r="A6182" t="str">
            <v>99-LE-14903</v>
          </cell>
          <cell r="E6182" t="str">
            <v>ESM SECADO RAPIDO BASE AGUA</v>
          </cell>
        </row>
        <row r="6183">
          <cell r="A6183" t="str">
            <v>99-LE-14911</v>
          </cell>
          <cell r="E6183" t="str">
            <v>VINILICA - RIVINOL</v>
          </cell>
        </row>
        <row r="6184">
          <cell r="A6184" t="str">
            <v>99-LE-14921</v>
          </cell>
          <cell r="E6184" t="str">
            <v>VINILICA - RIVINOL</v>
          </cell>
        </row>
        <row r="6185">
          <cell r="A6185" t="str">
            <v>99-LE-14931</v>
          </cell>
          <cell r="E6185" t="str">
            <v>VINILICA - RIVINOL</v>
          </cell>
        </row>
        <row r="6186">
          <cell r="A6186" t="str">
            <v>99-LE-14941</v>
          </cell>
          <cell r="E6186" t="str">
            <v>VINILICA - RIVINOL</v>
          </cell>
        </row>
        <row r="6187">
          <cell r="A6187" t="str">
            <v>99-LE-14951</v>
          </cell>
          <cell r="E6187" t="str">
            <v>VINILICA - RIVINOL</v>
          </cell>
        </row>
        <row r="6188">
          <cell r="A6188" t="str">
            <v>99-LE-14961</v>
          </cell>
          <cell r="E6188" t="str">
            <v>VINILICA - RIVINOL</v>
          </cell>
        </row>
        <row r="6189">
          <cell r="A6189" t="str">
            <v>99-LE-14971</v>
          </cell>
          <cell r="E6189" t="str">
            <v>VINILICA - RIVINOL</v>
          </cell>
        </row>
        <row r="6190">
          <cell r="A6190" t="str">
            <v>99-LE-15370</v>
          </cell>
          <cell r="E6190" t="str">
            <v>TRAFICO BASE AGUA</v>
          </cell>
        </row>
        <row r="6191">
          <cell r="A6191" t="str">
            <v>99-LE-15430</v>
          </cell>
          <cell r="E6191" t="str">
            <v>TRAFICO BASE AGUA</v>
          </cell>
        </row>
        <row r="6192">
          <cell r="A6192" t="str">
            <v>99-LP-75421</v>
          </cell>
          <cell r="E6192" t="str">
            <v>SELLADORES DE NITROCELULOSA</v>
          </cell>
        </row>
        <row r="6193">
          <cell r="A6193" t="str">
            <v>99-N-30001</v>
          </cell>
          <cell r="E6193" t="str">
            <v>VINILICA - NOVACOL</v>
          </cell>
        </row>
        <row r="6194">
          <cell r="A6194" t="str">
            <v>99-N-30441</v>
          </cell>
          <cell r="E6194" t="str">
            <v>VINILICA - NOVACOL</v>
          </cell>
        </row>
        <row r="6195">
          <cell r="A6195" t="str">
            <v>99-N-30491</v>
          </cell>
          <cell r="E6195" t="str">
            <v>VINILICA - NOVACOL</v>
          </cell>
        </row>
        <row r="6196">
          <cell r="A6196" t="str">
            <v>99-P-16800</v>
          </cell>
          <cell r="E6196" t="str">
            <v>ESMALTE DE HORNEO BASE SOLVENT</v>
          </cell>
        </row>
        <row r="6197">
          <cell r="A6197" t="str">
            <v>99-P-16801</v>
          </cell>
          <cell r="E6197" t="str">
            <v>ESMALTE DE HORNEO BASE SOLVENT</v>
          </cell>
        </row>
        <row r="6198">
          <cell r="A6198" t="str">
            <v>99-P-21001</v>
          </cell>
          <cell r="E6198" t="str">
            <v>ESMALTE - PRISTONE</v>
          </cell>
        </row>
        <row r="6199">
          <cell r="A6199" t="str">
            <v>99-P-21003</v>
          </cell>
          <cell r="E6199" t="str">
            <v>ESMALTE - PRISTONE</v>
          </cell>
        </row>
        <row r="6200">
          <cell r="A6200" t="str">
            <v>99-P-21004</v>
          </cell>
          <cell r="E6200" t="str">
            <v>ESMALTE - PRISTONE</v>
          </cell>
        </row>
        <row r="6201">
          <cell r="A6201" t="str">
            <v>99-P-21005</v>
          </cell>
          <cell r="E6201" t="str">
            <v>ESMALTE - PRISTONE</v>
          </cell>
        </row>
        <row r="6202">
          <cell r="A6202" t="str">
            <v>99-P-21006</v>
          </cell>
          <cell r="E6202" t="str">
            <v>ESMALTE - PRISTONE</v>
          </cell>
        </row>
        <row r="6203">
          <cell r="A6203" t="str">
            <v>99-P-21131</v>
          </cell>
          <cell r="E6203" t="str">
            <v>ESMALTE - PRISTONE</v>
          </cell>
        </row>
        <row r="6204">
          <cell r="A6204" t="str">
            <v>99-P-21133</v>
          </cell>
          <cell r="E6204" t="str">
            <v>ESMALTE - PRISTONE</v>
          </cell>
        </row>
        <row r="6205">
          <cell r="A6205" t="str">
            <v>99-P-21134</v>
          </cell>
          <cell r="E6205" t="str">
            <v>ESMALTE - PRISTONE</v>
          </cell>
        </row>
        <row r="6206">
          <cell r="A6206" t="str">
            <v>99-P-21135</v>
          </cell>
          <cell r="E6206" t="str">
            <v>ESMALTE - PRISTONE</v>
          </cell>
        </row>
        <row r="6207">
          <cell r="A6207" t="str">
            <v>99-P-21261</v>
          </cell>
          <cell r="E6207" t="str">
            <v>ESMALTE - PRISTONE</v>
          </cell>
        </row>
        <row r="6208">
          <cell r="A6208" t="str">
            <v>99-P-21263</v>
          </cell>
          <cell r="E6208" t="str">
            <v>ESMALTE - PRISTONE</v>
          </cell>
        </row>
        <row r="6209">
          <cell r="A6209" t="str">
            <v>99-P-21264</v>
          </cell>
          <cell r="E6209" t="str">
            <v>ESMALTE - PRISTONE</v>
          </cell>
        </row>
        <row r="6210">
          <cell r="A6210" t="str">
            <v>99-P-21265</v>
          </cell>
          <cell r="E6210" t="str">
            <v>ESMALTE - PRISTONE</v>
          </cell>
        </row>
        <row r="6211">
          <cell r="A6211" t="str">
            <v>99-P-21351</v>
          </cell>
          <cell r="E6211" t="str">
            <v>ESMALTE - PRISTONE</v>
          </cell>
        </row>
        <row r="6212">
          <cell r="A6212" t="str">
            <v>99-P-21353</v>
          </cell>
          <cell r="E6212" t="str">
            <v>ESMALTE - PRISTONE</v>
          </cell>
        </row>
        <row r="6213">
          <cell r="A6213" t="str">
            <v>99-P-21354</v>
          </cell>
          <cell r="E6213" t="str">
            <v>ESMALTE - PRISTONE</v>
          </cell>
        </row>
        <row r="6214">
          <cell r="A6214" t="str">
            <v>99-P-21355</v>
          </cell>
          <cell r="E6214" t="str">
            <v>ESMALTE - PRISTONE</v>
          </cell>
        </row>
        <row r="6215">
          <cell r="A6215" t="str">
            <v>99-P-21451</v>
          </cell>
          <cell r="E6215" t="str">
            <v>ESMALTE - PRISTONE</v>
          </cell>
        </row>
        <row r="6216">
          <cell r="A6216" t="str">
            <v>99-P-21453</v>
          </cell>
          <cell r="E6216" t="str">
            <v>ESMALTE - PRISTONE</v>
          </cell>
        </row>
        <row r="6217">
          <cell r="A6217" t="str">
            <v>99-P-21454</v>
          </cell>
          <cell r="E6217" t="str">
            <v>ESMALTE - PRISTONE</v>
          </cell>
        </row>
        <row r="6218">
          <cell r="A6218" t="str">
            <v>99-P-21455</v>
          </cell>
          <cell r="E6218" t="str">
            <v>ESMALTE - PRISTONE</v>
          </cell>
        </row>
        <row r="6219">
          <cell r="A6219" t="str">
            <v>99-P-21561</v>
          </cell>
          <cell r="E6219" t="str">
            <v>ESMALTE - PRISTONE</v>
          </cell>
        </row>
        <row r="6220">
          <cell r="A6220" t="str">
            <v>99-P-21563</v>
          </cell>
          <cell r="E6220" t="str">
            <v>ESMALTE - PRISTONE</v>
          </cell>
        </row>
        <row r="6221">
          <cell r="A6221" t="str">
            <v>99-P-21564</v>
          </cell>
          <cell r="E6221" t="str">
            <v>ESMALTE - PRISTONE</v>
          </cell>
        </row>
        <row r="6222">
          <cell r="A6222" t="str">
            <v>99-P-21641</v>
          </cell>
          <cell r="E6222" t="str">
            <v>ESMALTE - PRISTONE</v>
          </cell>
        </row>
        <row r="6223">
          <cell r="A6223" t="str">
            <v>99-P-21643</v>
          </cell>
          <cell r="E6223" t="str">
            <v>ESMALTE - PRISTONE</v>
          </cell>
        </row>
        <row r="6224">
          <cell r="A6224" t="str">
            <v>99-P-21644</v>
          </cell>
          <cell r="E6224" t="str">
            <v>ESMALTE - PRISTONE</v>
          </cell>
        </row>
        <row r="6225">
          <cell r="A6225" t="str">
            <v>99-P-21751</v>
          </cell>
          <cell r="E6225" t="str">
            <v>ESMALTE - PRISTONE</v>
          </cell>
        </row>
        <row r="6226">
          <cell r="A6226" t="str">
            <v>99-P-21753</v>
          </cell>
          <cell r="E6226" t="str">
            <v>ESMALTE - PRISTONE</v>
          </cell>
        </row>
        <row r="6227">
          <cell r="A6227" t="str">
            <v>99-P-21754</v>
          </cell>
          <cell r="E6227" t="str">
            <v>ESMALTE - PRISTONE</v>
          </cell>
        </row>
        <row r="6228">
          <cell r="A6228" t="str">
            <v>99-P-21771</v>
          </cell>
          <cell r="E6228" t="str">
            <v>ESMALTE - PRISTONE</v>
          </cell>
        </row>
        <row r="6229">
          <cell r="A6229" t="str">
            <v>99-P-21773</v>
          </cell>
          <cell r="E6229" t="str">
            <v>ESMALTE - PRISTONE</v>
          </cell>
        </row>
        <row r="6230">
          <cell r="A6230" t="str">
            <v>99-P-21774</v>
          </cell>
          <cell r="E6230" t="str">
            <v>ESMALTE - PRISTONE</v>
          </cell>
        </row>
        <row r="6231">
          <cell r="A6231" t="str">
            <v>99-P-21775</v>
          </cell>
          <cell r="E6231" t="str">
            <v>ESMALTE - PRISTONE</v>
          </cell>
        </row>
        <row r="6232">
          <cell r="A6232" t="str">
            <v>99-P-21991</v>
          </cell>
          <cell r="E6232" t="str">
            <v>ESMALTE - PRISTONE</v>
          </cell>
        </row>
        <row r="6233">
          <cell r="A6233" t="str">
            <v>99-P-21993</v>
          </cell>
          <cell r="E6233" t="str">
            <v>ESMALTE - PRISTONE</v>
          </cell>
        </row>
        <row r="6234">
          <cell r="A6234" t="str">
            <v>99-P-21994</v>
          </cell>
          <cell r="E6234" t="str">
            <v>ESMALTE - PRISTONE</v>
          </cell>
        </row>
        <row r="6235">
          <cell r="A6235" t="str">
            <v>99-P-21995</v>
          </cell>
          <cell r="E6235" t="str">
            <v>ESMALTE - PRISTONE</v>
          </cell>
        </row>
        <row r="6236">
          <cell r="A6236" t="str">
            <v>99-P-21996</v>
          </cell>
          <cell r="E6236" t="str">
            <v>ESMALTE - PRISTONE</v>
          </cell>
        </row>
        <row r="6237">
          <cell r="A6237" t="str">
            <v>99-PR-16000</v>
          </cell>
          <cell r="E6237" t="str">
            <v>ESMALTE DE HORNEO BASE SOLVENT</v>
          </cell>
        </row>
        <row r="6238">
          <cell r="A6238" t="str">
            <v>99-PR-17000</v>
          </cell>
          <cell r="E6238" t="str">
            <v>ESM SECADO RAPIDO BASE SOLVENT</v>
          </cell>
        </row>
        <row r="6239">
          <cell r="A6239" t="str">
            <v>99-RA-26001</v>
          </cell>
          <cell r="E6239" t="str">
            <v>ACABADOS EPOXICOS</v>
          </cell>
        </row>
        <row r="6240">
          <cell r="A6240" t="str">
            <v>99-RA-26003</v>
          </cell>
          <cell r="E6240" t="str">
            <v>ACABADOS EPOXICOS</v>
          </cell>
        </row>
        <row r="6241">
          <cell r="A6241" t="str">
            <v>99-RA-26013</v>
          </cell>
          <cell r="E6241" t="str">
            <v>ACABADOS EPOXICOS</v>
          </cell>
        </row>
        <row r="6242">
          <cell r="A6242" t="str">
            <v>99-RA-26014</v>
          </cell>
          <cell r="E6242" t="str">
            <v>ACABADOS EPOXICOS</v>
          </cell>
        </row>
        <row r="6243">
          <cell r="A6243" t="str">
            <v>99-RA-28001</v>
          </cell>
          <cell r="E6243" t="str">
            <v>ACABADOS DE PU</v>
          </cell>
        </row>
        <row r="6244">
          <cell r="A6244" t="str">
            <v>99-RA-28013</v>
          </cell>
          <cell r="E6244" t="str">
            <v>PRETRATAMIENTO METALICO INDUST</v>
          </cell>
        </row>
        <row r="6245">
          <cell r="A6245" t="str">
            <v>99-RA-29001</v>
          </cell>
          <cell r="E6245" t="str">
            <v>ACABADOS EPOXICOS</v>
          </cell>
        </row>
        <row r="6246">
          <cell r="A6246" t="str">
            <v>99-RA-29013</v>
          </cell>
          <cell r="E6246" t="str">
            <v>ACABADOS EPOXICOS</v>
          </cell>
        </row>
        <row r="6247">
          <cell r="A6247" t="str">
            <v>99-RA-35001</v>
          </cell>
          <cell r="E6247" t="str">
            <v>ACABADOS EPOXICOS</v>
          </cell>
        </row>
        <row r="6248">
          <cell r="A6248" t="str">
            <v>99-RA-35013</v>
          </cell>
          <cell r="E6248" t="str">
            <v>ACABADOS EPOXICOS</v>
          </cell>
        </row>
        <row r="6249">
          <cell r="A6249" t="str">
            <v>99-RA-35014</v>
          </cell>
          <cell r="E6249" t="str">
            <v>ACABADOS EPOXICOS</v>
          </cell>
        </row>
        <row r="6250">
          <cell r="A6250" t="str">
            <v>99-RA-35151</v>
          </cell>
          <cell r="E6250" t="str">
            <v>ACABADOS EPOXICOS</v>
          </cell>
        </row>
        <row r="6251">
          <cell r="A6251" t="str">
            <v>99-RA-35471</v>
          </cell>
          <cell r="E6251" t="str">
            <v>ACABADOS EPOXICOS</v>
          </cell>
        </row>
        <row r="6252">
          <cell r="A6252" t="str">
            <v>99-RA-35991</v>
          </cell>
          <cell r="E6252" t="str">
            <v>ACABADOS EPOXICOS</v>
          </cell>
        </row>
        <row r="6253">
          <cell r="A6253" t="str">
            <v>99-RP-04003</v>
          </cell>
          <cell r="E6253" t="str">
            <v>PRIMARIOS INORGANICOS</v>
          </cell>
        </row>
        <row r="6254">
          <cell r="A6254" t="str">
            <v>99-RP-04013</v>
          </cell>
          <cell r="E6254" t="str">
            <v>PRIMARIOS INORGANICOS</v>
          </cell>
        </row>
        <row r="6255">
          <cell r="A6255" t="str">
            <v>99-RP-06001</v>
          </cell>
          <cell r="E6255" t="str">
            <v>PRIMARIOS EPOXICOS</v>
          </cell>
        </row>
        <row r="6256">
          <cell r="A6256" t="str">
            <v>99-RP-06013</v>
          </cell>
          <cell r="E6256" t="str">
            <v>PRIMARIOS EPOXICOS</v>
          </cell>
        </row>
        <row r="6257">
          <cell r="A6257" t="str">
            <v>99-RP-10001</v>
          </cell>
          <cell r="E6257" t="str">
            <v>ACABADOS EPOXICOS</v>
          </cell>
        </row>
        <row r="6258">
          <cell r="A6258" t="str">
            <v>99-RP-10013</v>
          </cell>
          <cell r="E6258" t="str">
            <v>PRIMARIOS EPOXICOS</v>
          </cell>
        </row>
        <row r="6259">
          <cell r="A6259" t="str">
            <v>99-RP-13001</v>
          </cell>
          <cell r="E6259" t="str">
            <v>ACABADOS EPOXICOS</v>
          </cell>
        </row>
        <row r="6260">
          <cell r="A6260" t="str">
            <v>99-RP-13013</v>
          </cell>
          <cell r="E6260" t="str">
            <v>ACABADOS EPOXICOS</v>
          </cell>
        </row>
        <row r="6261">
          <cell r="A6261" t="str">
            <v>99-RP-22033</v>
          </cell>
          <cell r="E6261" t="str">
            <v>PRIMARIOS EPOXICOS</v>
          </cell>
        </row>
        <row r="6262">
          <cell r="A6262" t="str">
            <v>99-RP-22055</v>
          </cell>
          <cell r="E6262" t="str">
            <v>OTROS ACABADOS INDUSTRIALES</v>
          </cell>
        </row>
        <row r="6263">
          <cell r="A6263" t="str">
            <v>99-RP-22073</v>
          </cell>
          <cell r="E6263" t="str">
            <v>PRIMARIOS EPOXICOS</v>
          </cell>
        </row>
        <row r="6264">
          <cell r="A6264" t="str">
            <v>99-S-17001</v>
          </cell>
          <cell r="E6264" t="str">
            <v>ESMALTE - APRISA</v>
          </cell>
        </row>
        <row r="6265">
          <cell r="A6265" t="str">
            <v>99-S-17003</v>
          </cell>
          <cell r="E6265" t="str">
            <v>ESMALTE - APRISA</v>
          </cell>
        </row>
        <row r="6266">
          <cell r="A6266" t="str">
            <v>99-S-17004</v>
          </cell>
          <cell r="E6266" t="str">
            <v>ESMALTE - APRISA</v>
          </cell>
        </row>
        <row r="6267">
          <cell r="A6267" t="str">
            <v>99-S-17006</v>
          </cell>
          <cell r="E6267" t="str">
            <v>ESMALTE - APRISA</v>
          </cell>
        </row>
        <row r="6268">
          <cell r="A6268" t="str">
            <v>99-S-17073</v>
          </cell>
          <cell r="E6268" t="str">
            <v>ESMALTE - APRISA</v>
          </cell>
        </row>
        <row r="6269">
          <cell r="A6269" t="str">
            <v>99-S-17074</v>
          </cell>
          <cell r="E6269" t="str">
            <v>ESMALTE - APRISA</v>
          </cell>
        </row>
        <row r="6270">
          <cell r="A6270" t="str">
            <v>99-S-17121</v>
          </cell>
          <cell r="E6270" t="str">
            <v>ESMALTE - APRISA</v>
          </cell>
        </row>
        <row r="6271">
          <cell r="A6271" t="str">
            <v>99-S-17123</v>
          </cell>
          <cell r="E6271" t="str">
            <v>ESMALTE - APRISA</v>
          </cell>
        </row>
        <row r="6272">
          <cell r="A6272" t="str">
            <v>99-S-17124</v>
          </cell>
          <cell r="E6272" t="str">
            <v>ESMALTE - APRISA</v>
          </cell>
        </row>
        <row r="6273">
          <cell r="A6273" t="str">
            <v>99-S-17143</v>
          </cell>
          <cell r="E6273" t="str">
            <v>ESMALTE - APRISA</v>
          </cell>
        </row>
        <row r="6274">
          <cell r="A6274" t="str">
            <v>99-S-17144</v>
          </cell>
          <cell r="E6274" t="str">
            <v>ESMALTE - APRISA</v>
          </cell>
        </row>
        <row r="6275">
          <cell r="A6275" t="str">
            <v>99-S-17153</v>
          </cell>
          <cell r="E6275" t="str">
            <v>ESMALTE - APRISA</v>
          </cell>
        </row>
        <row r="6276">
          <cell r="A6276" t="str">
            <v>99-S-17154</v>
          </cell>
          <cell r="E6276" t="str">
            <v>ESMALTE - APRISA</v>
          </cell>
        </row>
        <row r="6277">
          <cell r="A6277" t="str">
            <v>99-S-17213</v>
          </cell>
          <cell r="E6277" t="str">
            <v>ESMALTE - APRISA</v>
          </cell>
        </row>
        <row r="6278">
          <cell r="A6278" t="str">
            <v>99-S-17214</v>
          </cell>
          <cell r="E6278" t="str">
            <v>ESMALTE - APRISA</v>
          </cell>
        </row>
        <row r="6279">
          <cell r="A6279" t="str">
            <v>99-S-17223</v>
          </cell>
          <cell r="E6279" t="str">
            <v>ESMALTE - APRISA</v>
          </cell>
        </row>
        <row r="6280">
          <cell r="A6280" t="str">
            <v>99-S-17224</v>
          </cell>
          <cell r="E6280" t="str">
            <v>ESMALTE - APRISA</v>
          </cell>
        </row>
        <row r="6281">
          <cell r="A6281" t="str">
            <v>99-S-17353</v>
          </cell>
          <cell r="E6281" t="str">
            <v>ESMALTE - APRISA</v>
          </cell>
        </row>
        <row r="6282">
          <cell r="A6282" t="str">
            <v>99-S-17354</v>
          </cell>
          <cell r="E6282" t="str">
            <v>ESMALTE - APRISA</v>
          </cell>
        </row>
        <row r="6283">
          <cell r="A6283" t="str">
            <v>99-S-17453</v>
          </cell>
          <cell r="E6283" t="str">
            <v>ESMALTE - APRISA</v>
          </cell>
        </row>
        <row r="6284">
          <cell r="A6284" t="str">
            <v>99-S-17454</v>
          </cell>
          <cell r="E6284" t="str">
            <v>ESMALTE - APRISA</v>
          </cell>
        </row>
        <row r="6285">
          <cell r="A6285" t="str">
            <v>99-S-17456</v>
          </cell>
          <cell r="E6285" t="str">
            <v>ESMALTE - APRISA</v>
          </cell>
        </row>
        <row r="6286">
          <cell r="A6286" t="str">
            <v>99-S-17563</v>
          </cell>
          <cell r="E6286" t="str">
            <v>ESMALTE - APRISA</v>
          </cell>
        </row>
        <row r="6287">
          <cell r="A6287" t="str">
            <v>99-S-17564</v>
          </cell>
          <cell r="E6287" t="str">
            <v>ESMALTE - APRISA</v>
          </cell>
        </row>
        <row r="6288">
          <cell r="A6288" t="str">
            <v>99-S-17583</v>
          </cell>
          <cell r="E6288" t="str">
            <v>ESMALTE - APRISA</v>
          </cell>
        </row>
        <row r="6289">
          <cell r="A6289" t="str">
            <v>99-S-17584</v>
          </cell>
          <cell r="E6289" t="str">
            <v>ESMALTE - APRISA</v>
          </cell>
        </row>
        <row r="6290">
          <cell r="A6290" t="str">
            <v>99-S-17643</v>
          </cell>
          <cell r="E6290" t="str">
            <v>ESMALTE - APRISA</v>
          </cell>
        </row>
        <row r="6291">
          <cell r="A6291" t="str">
            <v>99-S-17644</v>
          </cell>
          <cell r="E6291" t="str">
            <v>ESMALTE - APRISA</v>
          </cell>
        </row>
        <row r="6292">
          <cell r="A6292" t="str">
            <v>99-S-17693</v>
          </cell>
          <cell r="E6292" t="str">
            <v>ESMALTE - APRISA</v>
          </cell>
        </row>
        <row r="6293">
          <cell r="A6293" t="str">
            <v>99-S-17694</v>
          </cell>
          <cell r="E6293" t="str">
            <v>ESMALTE - APRISA</v>
          </cell>
        </row>
        <row r="6294">
          <cell r="A6294" t="str">
            <v>99-S-17713</v>
          </cell>
          <cell r="E6294" t="str">
            <v>ESMALTE - APRISA</v>
          </cell>
        </row>
        <row r="6295">
          <cell r="A6295" t="str">
            <v>99-S-17714</v>
          </cell>
          <cell r="E6295" t="str">
            <v>ESMALTE - APRISA</v>
          </cell>
        </row>
        <row r="6296">
          <cell r="A6296" t="str">
            <v>99-S-17793</v>
          </cell>
          <cell r="E6296" t="str">
            <v>ESMALTE - APRISA</v>
          </cell>
        </row>
        <row r="6297">
          <cell r="A6297" t="str">
            <v>99-S-17794</v>
          </cell>
          <cell r="E6297" t="str">
            <v>ESMALTE - APRISA</v>
          </cell>
        </row>
        <row r="6298">
          <cell r="A6298" t="str">
            <v>99-S-17823</v>
          </cell>
          <cell r="E6298" t="str">
            <v>ESMALTE - APRISA</v>
          </cell>
        </row>
        <row r="6299">
          <cell r="A6299" t="str">
            <v>99-S-17824</v>
          </cell>
          <cell r="E6299" t="str">
            <v>ESMALTE - APRISA</v>
          </cell>
        </row>
        <row r="6300">
          <cell r="A6300" t="str">
            <v>99-S-17913</v>
          </cell>
          <cell r="E6300" t="str">
            <v>ESMALTE - APRISA</v>
          </cell>
        </row>
        <row r="6301">
          <cell r="A6301" t="str">
            <v>99-S-17914</v>
          </cell>
          <cell r="E6301" t="str">
            <v>ESMALTE - APRISA</v>
          </cell>
        </row>
        <row r="6302">
          <cell r="A6302" t="str">
            <v>99-S-17916</v>
          </cell>
          <cell r="E6302" t="str">
            <v>ESMALTE - APRISA</v>
          </cell>
        </row>
        <row r="6303">
          <cell r="A6303" t="str">
            <v>99-S-17931</v>
          </cell>
          <cell r="E6303" t="str">
            <v>ESMALTE - APRISA</v>
          </cell>
        </row>
        <row r="6304">
          <cell r="A6304" t="str">
            <v>99-S-17933</v>
          </cell>
          <cell r="E6304" t="str">
            <v>ESMALTE - APRISA</v>
          </cell>
        </row>
        <row r="6305">
          <cell r="A6305" t="str">
            <v>99-S-17934</v>
          </cell>
          <cell r="E6305" t="str">
            <v>ESMALTE - APRISA</v>
          </cell>
        </row>
        <row r="6306">
          <cell r="A6306" t="str">
            <v>99-S-17983</v>
          </cell>
          <cell r="E6306" t="str">
            <v>ESMALTE - APRISA</v>
          </cell>
        </row>
        <row r="6307">
          <cell r="A6307" t="str">
            <v>99-S-17984</v>
          </cell>
          <cell r="E6307" t="str">
            <v>ESMALTE - APRISA</v>
          </cell>
        </row>
        <row r="6308">
          <cell r="A6308" t="str">
            <v>99-S-17991</v>
          </cell>
          <cell r="E6308" t="str">
            <v>ESMALTE - APRISA</v>
          </cell>
        </row>
        <row r="6309">
          <cell r="A6309" t="str">
            <v>99-S-17993</v>
          </cell>
          <cell r="E6309" t="str">
            <v>ESMALTE - APRISA</v>
          </cell>
        </row>
        <row r="6310">
          <cell r="A6310" t="str">
            <v>99-S-17994</v>
          </cell>
          <cell r="E6310" t="str">
            <v>ESMALTE - APRISA</v>
          </cell>
        </row>
        <row r="6311">
          <cell r="A6311" t="str">
            <v>99-S-17996</v>
          </cell>
          <cell r="E6311" t="str">
            <v>ESMALTE - APRISA</v>
          </cell>
        </row>
        <row r="6312">
          <cell r="A6312" t="str">
            <v>99-S-32001</v>
          </cell>
          <cell r="E6312" t="str">
            <v>VINILICA - RIVINOL</v>
          </cell>
        </row>
        <row r="6313">
          <cell r="A6313" t="str">
            <v>99-S-32003</v>
          </cell>
          <cell r="E6313" t="str">
            <v>VINILICA - RIVINOL</v>
          </cell>
        </row>
        <row r="6314">
          <cell r="A6314" t="str">
            <v>99-S-32041</v>
          </cell>
          <cell r="E6314" t="str">
            <v>VINILICA - RIVINOL</v>
          </cell>
        </row>
        <row r="6315">
          <cell r="A6315" t="str">
            <v>99-S-32043</v>
          </cell>
          <cell r="E6315" t="str">
            <v>VINILICA - RIVINOL</v>
          </cell>
        </row>
        <row r="6316">
          <cell r="A6316" t="str">
            <v>99-S-32051</v>
          </cell>
          <cell r="E6316" t="str">
            <v>VINILICA - RIVINOL</v>
          </cell>
        </row>
        <row r="6317">
          <cell r="A6317" t="str">
            <v>99-S-32053</v>
          </cell>
          <cell r="E6317" t="str">
            <v>VINILICA - RIVINOL</v>
          </cell>
        </row>
        <row r="6318">
          <cell r="A6318" t="str">
            <v>99-SP10400</v>
          </cell>
          <cell r="E6318" t="str">
            <v>VINILICA - RIVINOL</v>
          </cell>
        </row>
        <row r="6319">
          <cell r="A6319" t="str">
            <v>99-SP10414</v>
          </cell>
          <cell r="E6319" t="str">
            <v>VINILICA - RIVINOL</v>
          </cell>
        </row>
        <row r="6320">
          <cell r="A6320" t="str">
            <v>99-SP10446</v>
          </cell>
          <cell r="E6320" t="str">
            <v>VINILICA - RIVINOL</v>
          </cell>
        </row>
        <row r="6321">
          <cell r="A6321" t="str">
            <v>99-SP20300</v>
          </cell>
          <cell r="E6321" t="str">
            <v>VINILICA - VINIBAR</v>
          </cell>
        </row>
        <row r="6322">
          <cell r="A6322" t="str">
            <v>99-SP20400</v>
          </cell>
          <cell r="E6322" t="str">
            <v>VINILICA - VINIBAR</v>
          </cell>
        </row>
        <row r="6323">
          <cell r="A6323" t="str">
            <v>99-SP20421</v>
          </cell>
          <cell r="E6323" t="str">
            <v>VINILICA - VINIBAR</v>
          </cell>
        </row>
        <row r="6324">
          <cell r="A6324" t="str">
            <v>99-SP20466</v>
          </cell>
          <cell r="E6324" t="str">
            <v>VINILICA - VINIBAR</v>
          </cell>
        </row>
        <row r="6325">
          <cell r="A6325" t="str">
            <v>99-SP20476</v>
          </cell>
          <cell r="E6325" t="str">
            <v>VINILICA - VINIBAR</v>
          </cell>
        </row>
        <row r="6326">
          <cell r="A6326" t="str">
            <v>99-SP30100</v>
          </cell>
          <cell r="E6326" t="str">
            <v>ESMALTE - KITOX</v>
          </cell>
        </row>
        <row r="6327">
          <cell r="A6327" t="str">
            <v>99-SP30200</v>
          </cell>
          <cell r="E6327" t="str">
            <v>ESMALTE - KITOX</v>
          </cell>
        </row>
        <row r="6328">
          <cell r="A6328" t="str">
            <v>99-SP30299</v>
          </cell>
          <cell r="E6328" t="str">
            <v>ESMALTE - KITOX</v>
          </cell>
        </row>
        <row r="6329">
          <cell r="A6329" t="str">
            <v>99-SP30300</v>
          </cell>
          <cell r="E6329" t="str">
            <v>ESMALTE - KITOX</v>
          </cell>
        </row>
        <row r="6330">
          <cell r="A6330" t="str">
            <v>99-SP40212</v>
          </cell>
          <cell r="E6330" t="str">
            <v>ESM SECADO RAPIDO BASE SOLVENT</v>
          </cell>
        </row>
        <row r="6331">
          <cell r="A6331" t="str">
            <v>99-SP40245</v>
          </cell>
          <cell r="E6331" t="str">
            <v>ESM SECADO RAPIDO BASE SOLVENT</v>
          </cell>
        </row>
        <row r="6332">
          <cell r="A6332" t="str">
            <v>99-SP40262</v>
          </cell>
          <cell r="E6332" t="str">
            <v>ESM SECADO RAPIDO BASE SOLVENT</v>
          </cell>
        </row>
        <row r="6333">
          <cell r="A6333" t="str">
            <v>99-SP40299</v>
          </cell>
          <cell r="E6333" t="str">
            <v>ESM SECADO RAPIDO BASE SOLVENT</v>
          </cell>
        </row>
        <row r="6334">
          <cell r="A6334" t="str">
            <v>99-SP40312</v>
          </cell>
          <cell r="E6334" t="str">
            <v>ESM SECADO RAPIDO BASE SOLVENT</v>
          </cell>
        </row>
        <row r="6335">
          <cell r="A6335" t="str">
            <v>99-SP40345</v>
          </cell>
          <cell r="E6335" t="str">
            <v>ESM SECADO RAPIDO BASE SOLVENT</v>
          </cell>
        </row>
        <row r="6336">
          <cell r="A6336" t="str">
            <v>99-SP40362</v>
          </cell>
          <cell r="E6336" t="str">
            <v>ESM SECADO RAPIDO BASE SOLVENT</v>
          </cell>
        </row>
        <row r="6337">
          <cell r="A6337" t="str">
            <v>99-SP40369</v>
          </cell>
          <cell r="E6337" t="str">
            <v>ESM SECADO RAPIDO BASE SOLVENT</v>
          </cell>
        </row>
        <row r="6338">
          <cell r="A6338" t="str">
            <v>99-SP40393</v>
          </cell>
          <cell r="E6338" t="str">
            <v>ESM SECADO RAPIDO BASE SOLVENT</v>
          </cell>
        </row>
        <row r="6339">
          <cell r="A6339" t="str">
            <v>99-SP50256</v>
          </cell>
          <cell r="E6339" t="str">
            <v>PRIMARIOS ESTRUCTURALES ALQUID</v>
          </cell>
        </row>
        <row r="6340">
          <cell r="A6340" t="str">
            <v>99-SP50356</v>
          </cell>
          <cell r="E6340" t="str">
            <v>PRIMARIOS ESTRUCTURALES ALQUID</v>
          </cell>
        </row>
        <row r="6341">
          <cell r="A6341" t="str">
            <v>99-SPE-66840</v>
          </cell>
          <cell r="E6341" t="str">
            <v>PINTURA PARA TRAFICO</v>
          </cell>
        </row>
        <row r="6342">
          <cell r="A6342" t="str">
            <v>99-T-13000</v>
          </cell>
          <cell r="E6342" t="str">
            <v>LACA NITRO INDUSTRIAL</v>
          </cell>
        </row>
        <row r="6343">
          <cell r="A6343" t="str">
            <v>99-T-13001</v>
          </cell>
          <cell r="E6343" t="str">
            <v>LACA NITRO INDUSTRIAL</v>
          </cell>
        </row>
        <row r="6344">
          <cell r="A6344" t="str">
            <v>99-T-13003</v>
          </cell>
          <cell r="E6344" t="str">
            <v>LACA NITRO INDUSTRIAL</v>
          </cell>
        </row>
        <row r="6345">
          <cell r="A6345" t="str">
            <v>99-T-13004</v>
          </cell>
          <cell r="E6345" t="str">
            <v>LACA NITRO INDUSTRIAL</v>
          </cell>
        </row>
        <row r="6346">
          <cell r="A6346" t="str">
            <v>99-T-13021</v>
          </cell>
          <cell r="E6346" t="str">
            <v>LACA NITRO INDUSTRIAL</v>
          </cell>
        </row>
        <row r="6347">
          <cell r="A6347" t="str">
            <v>99-T-13070</v>
          </cell>
          <cell r="E6347" t="str">
            <v>LACA NITRO TRANSPARENTE SIGLO</v>
          </cell>
        </row>
        <row r="6348">
          <cell r="A6348" t="str">
            <v>99-T-13540</v>
          </cell>
          <cell r="E6348" t="str">
            <v>LACA NITRO TRANSPARENTE SIGLO</v>
          </cell>
        </row>
        <row r="6349">
          <cell r="A6349" t="str">
            <v>99-T-13541</v>
          </cell>
          <cell r="E6349" t="str">
            <v>LACA NITRO TRANSPARENTE SIGLO</v>
          </cell>
        </row>
        <row r="6350">
          <cell r="A6350" t="str">
            <v>99-T-13543</v>
          </cell>
          <cell r="E6350" t="str">
            <v>LACA NITRO TRANSPARENTE SIGLO</v>
          </cell>
        </row>
        <row r="6351">
          <cell r="A6351" t="str">
            <v>99-T-13544</v>
          </cell>
          <cell r="E6351" t="str">
            <v>LACA NITRO TRANSPARENTE SIGLO</v>
          </cell>
        </row>
        <row r="6352">
          <cell r="A6352" t="str">
            <v>99-T-13720</v>
          </cell>
          <cell r="E6352" t="str">
            <v>LACA ACRILICA</v>
          </cell>
        </row>
        <row r="6353">
          <cell r="A6353" t="str">
            <v>99-T-13721</v>
          </cell>
          <cell r="E6353" t="str">
            <v>LACA ACRILICA</v>
          </cell>
        </row>
        <row r="6354">
          <cell r="A6354" t="str">
            <v>99-T-13723</v>
          </cell>
          <cell r="E6354" t="str">
            <v>LACA ACRILICA</v>
          </cell>
        </row>
        <row r="6355">
          <cell r="A6355" t="str">
            <v>99-T-13730</v>
          </cell>
          <cell r="E6355" t="str">
            <v>LACA ACRILICA</v>
          </cell>
        </row>
        <row r="6356">
          <cell r="A6356" t="str">
            <v>99-T-13731</v>
          </cell>
          <cell r="E6356" t="str">
            <v>LACA ACRILICA</v>
          </cell>
        </row>
        <row r="6357">
          <cell r="A6357" t="str">
            <v>99-T-13733</v>
          </cell>
          <cell r="E6357" t="str">
            <v>LACA ACRILICA</v>
          </cell>
        </row>
        <row r="6358">
          <cell r="A6358" t="str">
            <v>99-T-13740</v>
          </cell>
          <cell r="E6358" t="str">
            <v>LACA ACRILICA</v>
          </cell>
        </row>
        <row r="6359">
          <cell r="A6359" t="str">
            <v>99-T-13741</v>
          </cell>
          <cell r="E6359" t="str">
            <v>LACA ACRILICA</v>
          </cell>
        </row>
        <row r="6360">
          <cell r="A6360" t="str">
            <v>99-T-13743</v>
          </cell>
          <cell r="E6360" t="str">
            <v>LACA ACRILICA</v>
          </cell>
        </row>
        <row r="6361">
          <cell r="A6361" t="str">
            <v>99-T-13744</v>
          </cell>
          <cell r="E6361" t="str">
            <v>LACA ACRILICA</v>
          </cell>
        </row>
        <row r="6362">
          <cell r="A6362" t="str">
            <v>99-T-13801</v>
          </cell>
          <cell r="E6362" t="str">
            <v>LACA NITRO TRANSPARENTE SIGLO</v>
          </cell>
        </row>
        <row r="6363">
          <cell r="A6363" t="str">
            <v>99-T-13803</v>
          </cell>
          <cell r="E6363" t="str">
            <v>LACA NITRO TRANSPARENTE SIGLO</v>
          </cell>
        </row>
        <row r="6364">
          <cell r="A6364" t="str">
            <v>99-T-13804</v>
          </cell>
          <cell r="E6364" t="str">
            <v>LACA NITRO TRANSPARENTE SIGLO</v>
          </cell>
        </row>
        <row r="6365">
          <cell r="A6365" t="str">
            <v>99-T-13960</v>
          </cell>
          <cell r="E6365" t="str">
            <v>LACA NITRO INDUSTRIAL</v>
          </cell>
        </row>
        <row r="6366">
          <cell r="A6366" t="str">
            <v>99-T-13961</v>
          </cell>
          <cell r="E6366" t="str">
            <v>LACA NITRO INDUSTRIAL</v>
          </cell>
        </row>
        <row r="6367">
          <cell r="A6367" t="str">
            <v>99-T-13963</v>
          </cell>
          <cell r="E6367" t="str">
            <v>LACA NITRO INDUSTRIAL</v>
          </cell>
        </row>
        <row r="6368">
          <cell r="A6368" t="str">
            <v>99-T-14020</v>
          </cell>
          <cell r="E6368" t="str">
            <v>FONDO DE NITROCELULOSA</v>
          </cell>
        </row>
        <row r="6369">
          <cell r="A6369" t="str">
            <v>99-T-14021</v>
          </cell>
          <cell r="E6369" t="str">
            <v>FONDO DE NITROCELULOSA</v>
          </cell>
        </row>
        <row r="6370">
          <cell r="A6370" t="str">
            <v>99-T-14023</v>
          </cell>
          <cell r="E6370" t="str">
            <v>FONDO DE NITROCELULOSA</v>
          </cell>
        </row>
        <row r="6371">
          <cell r="A6371" t="str">
            <v>99-T-14024</v>
          </cell>
          <cell r="E6371" t="str">
            <v>FONDO DE NITROCELULOSA</v>
          </cell>
        </row>
        <row r="6372">
          <cell r="A6372" t="str">
            <v>99-T-14260</v>
          </cell>
          <cell r="E6372" t="str">
            <v>FONDO DE NITROCELULOSA</v>
          </cell>
        </row>
        <row r="6373">
          <cell r="A6373" t="str">
            <v>99-T-14261</v>
          </cell>
          <cell r="E6373" t="str">
            <v>FONDO DE NITROCELULOSA</v>
          </cell>
        </row>
        <row r="6374">
          <cell r="A6374" t="str">
            <v>99-T-14263</v>
          </cell>
          <cell r="E6374" t="str">
            <v>FONDO DE NITROCELULOSA</v>
          </cell>
        </row>
        <row r="6375">
          <cell r="A6375" t="str">
            <v>99-T-14420</v>
          </cell>
          <cell r="E6375" t="str">
            <v>SELLADORES DE NITROCELULOSA</v>
          </cell>
        </row>
        <row r="6376">
          <cell r="A6376" t="str">
            <v>99-T-14421</v>
          </cell>
          <cell r="E6376" t="str">
            <v>SELLADORES DE NITROCELULOSA</v>
          </cell>
        </row>
        <row r="6377">
          <cell r="A6377" t="str">
            <v>99-T-14560</v>
          </cell>
          <cell r="E6377" t="str">
            <v>FONDO DE NITROCELULOSA</v>
          </cell>
        </row>
        <row r="6378">
          <cell r="A6378" t="str">
            <v>99-T-14561</v>
          </cell>
          <cell r="E6378" t="str">
            <v>FONDO DE NITROCELULOSA</v>
          </cell>
        </row>
        <row r="6379">
          <cell r="A6379" t="str">
            <v>99-T-14563</v>
          </cell>
          <cell r="E6379" t="str">
            <v>FONDO DE NITROCELULOSA</v>
          </cell>
        </row>
        <row r="6380">
          <cell r="A6380" t="str">
            <v>99-T-14720</v>
          </cell>
          <cell r="E6380" t="str">
            <v>SELLADORES DE NITROCELULOSA</v>
          </cell>
        </row>
        <row r="6381">
          <cell r="A6381" t="str">
            <v>99-T-14721</v>
          </cell>
          <cell r="E6381" t="str">
            <v>SELLADORES DE NITROCELULOSA</v>
          </cell>
        </row>
        <row r="6382">
          <cell r="A6382" t="str">
            <v>99-T-14723</v>
          </cell>
          <cell r="E6382" t="str">
            <v>SELLADORES DE NITROCELULOSA</v>
          </cell>
        </row>
        <row r="6383">
          <cell r="A6383" t="str">
            <v>99-T-14731</v>
          </cell>
          <cell r="E6383" t="str">
            <v>SELLADORES DE NITROCELULOSA</v>
          </cell>
        </row>
        <row r="6384">
          <cell r="A6384" t="str">
            <v>99-T-14733</v>
          </cell>
          <cell r="E6384" t="str">
            <v>SELLADORES DE NITROCELULOSA</v>
          </cell>
        </row>
        <row r="6385">
          <cell r="A6385" t="str">
            <v>99-T-14801</v>
          </cell>
          <cell r="E6385" t="str">
            <v>SELLADORES DE NITROCELULOSA</v>
          </cell>
        </row>
        <row r="6386">
          <cell r="A6386" t="str">
            <v>99-T-14803</v>
          </cell>
          <cell r="E6386" t="str">
            <v>SELLADORES DE NITROCELULOSA</v>
          </cell>
        </row>
        <row r="6387">
          <cell r="A6387" t="str">
            <v>99-T-14804</v>
          </cell>
          <cell r="E6387" t="str">
            <v>SELLADORES DE NITROCELULOSA</v>
          </cell>
        </row>
        <row r="6388">
          <cell r="A6388" t="str">
            <v>99-T-14811</v>
          </cell>
          <cell r="E6388" t="str">
            <v>SELLADORES DE NITROCELULOSA</v>
          </cell>
        </row>
        <row r="6389">
          <cell r="A6389" t="str">
            <v>99-T-14813</v>
          </cell>
          <cell r="E6389" t="str">
            <v>SELLADORES DE NITROCELULOSA</v>
          </cell>
        </row>
        <row r="6390">
          <cell r="A6390" t="str">
            <v>99-T-14814</v>
          </cell>
          <cell r="E6390" t="str">
            <v>SELLADORES DE NITROCELULOSA</v>
          </cell>
        </row>
        <row r="6391">
          <cell r="A6391" t="str">
            <v>99-T-14980</v>
          </cell>
          <cell r="E6391" t="str">
            <v>FONDO DE NITROCELULOSA</v>
          </cell>
        </row>
        <row r="6392">
          <cell r="A6392" t="str">
            <v>99-T-14981</v>
          </cell>
          <cell r="E6392" t="str">
            <v>FONDO DE NITROCELULOSA</v>
          </cell>
        </row>
        <row r="6393">
          <cell r="A6393" t="str">
            <v>99-T-14983</v>
          </cell>
          <cell r="E6393" t="str">
            <v>FONDO DE NITROCELULOSA</v>
          </cell>
        </row>
        <row r="6394">
          <cell r="A6394" t="str">
            <v>99-T-B0751</v>
          </cell>
          <cell r="E6394" t="str">
            <v>FONDO DE NITROCELULOSA</v>
          </cell>
        </row>
        <row r="6395">
          <cell r="A6395" t="str">
            <v>99-T-B1611</v>
          </cell>
          <cell r="E6395" t="str">
            <v>FONDO DE NITROCELULOSA</v>
          </cell>
        </row>
        <row r="6396">
          <cell r="A6396" t="str">
            <v>99-T-B1721</v>
          </cell>
          <cell r="E6396" t="str">
            <v>FONDO DE NITROCELULOSA</v>
          </cell>
        </row>
        <row r="6397">
          <cell r="A6397" t="str">
            <v>99-T-B1730</v>
          </cell>
          <cell r="E6397" t="str">
            <v>FONDO DE NITROCELULOSA</v>
          </cell>
        </row>
        <row r="6398">
          <cell r="A6398" t="str">
            <v>99-T-B1731</v>
          </cell>
          <cell r="E6398" t="str">
            <v>FONDO DE NITROCELULOSA</v>
          </cell>
        </row>
        <row r="6399">
          <cell r="A6399" t="str">
            <v>99-T-L0451</v>
          </cell>
          <cell r="E6399" t="str">
            <v>FONDO DE NITROCELULOSA</v>
          </cell>
        </row>
        <row r="6400">
          <cell r="A6400" t="str">
            <v>99-T-L3180</v>
          </cell>
          <cell r="E6400" t="str">
            <v>LACA NITRO TRANSPARENTE SIGLO</v>
          </cell>
        </row>
        <row r="6401">
          <cell r="A6401" t="str">
            <v>99-T-L3181</v>
          </cell>
          <cell r="E6401" t="str">
            <v>LACA NITRO TRANSPARENTE SIGLO</v>
          </cell>
        </row>
        <row r="6402">
          <cell r="A6402" t="str">
            <v>A-23010</v>
          </cell>
          <cell r="E6402" t="str">
            <v>ESM SECADO RAPIDO BASE SOLVENT</v>
          </cell>
        </row>
        <row r="6403">
          <cell r="A6403" t="str">
            <v>ACT01</v>
          </cell>
          <cell r="E6403" t="str">
            <v>ACTIVOS FIJOS</v>
          </cell>
        </row>
        <row r="6404">
          <cell r="A6404" t="str">
            <v>AK-0000</v>
          </cell>
          <cell r="E6404" t="str">
            <v>GASTOS GENERALES</v>
          </cell>
        </row>
        <row r="6405">
          <cell r="A6405" t="str">
            <v>AK-0001</v>
          </cell>
          <cell r="E6405" t="str">
            <v>GASTOS GENERALES</v>
          </cell>
        </row>
        <row r="6406">
          <cell r="A6406" t="str">
            <v>ALP-81050</v>
          </cell>
          <cell r="E6406" t="str">
            <v>RESINAS</v>
          </cell>
        </row>
        <row r="6407">
          <cell r="A6407" t="str">
            <v>ALP-85118</v>
          </cell>
          <cell r="E6407" t="str">
            <v>ACEITES</v>
          </cell>
        </row>
        <row r="6408">
          <cell r="A6408" t="str">
            <v>AO-0458</v>
          </cell>
          <cell r="E6408" t="str">
            <v>GASTOS GENERALES</v>
          </cell>
        </row>
        <row r="6409">
          <cell r="A6409" t="str">
            <v>AP0022</v>
          </cell>
          <cell r="E6409" t="str">
            <v>MADER</v>
          </cell>
        </row>
        <row r="6410">
          <cell r="A6410" t="str">
            <v>AP0023A</v>
          </cell>
          <cell r="E6410" t="str">
            <v>MADER</v>
          </cell>
        </row>
        <row r="6411">
          <cell r="A6411" t="str">
            <v>AP0024A</v>
          </cell>
          <cell r="E6411" t="str">
            <v>MADER</v>
          </cell>
        </row>
        <row r="6412">
          <cell r="A6412" t="str">
            <v>AT-0000</v>
          </cell>
          <cell r="E6412" t="str">
            <v>GASTOS GENERALES</v>
          </cell>
        </row>
        <row r="6413">
          <cell r="A6413" t="str">
            <v>AT-0001</v>
          </cell>
          <cell r="E6413" t="str">
            <v>GASTOS GENERALES</v>
          </cell>
        </row>
        <row r="6414">
          <cell r="A6414" t="str">
            <v>AT-9003</v>
          </cell>
          <cell r="E6414" t="str">
            <v>GASTOS GENERALES</v>
          </cell>
        </row>
        <row r="6415">
          <cell r="A6415" t="str">
            <v>B-20051</v>
          </cell>
          <cell r="E6415" t="str">
            <v>ESMALTE - COLOREX</v>
          </cell>
        </row>
        <row r="6416">
          <cell r="A6416" t="str">
            <v>B-20053</v>
          </cell>
          <cell r="E6416" t="str">
            <v>ESMALTE - COLOREX</v>
          </cell>
        </row>
        <row r="6417">
          <cell r="A6417" t="str">
            <v>B-20054</v>
          </cell>
          <cell r="E6417" t="str">
            <v>ESMALTE - COLOREX</v>
          </cell>
        </row>
        <row r="6418">
          <cell r="A6418" t="str">
            <v>BAG-10844</v>
          </cell>
          <cell r="E6418" t="str">
            <v>BARNIZ ALQUIDALICO GLOSI 3-1</v>
          </cell>
        </row>
        <row r="6419">
          <cell r="A6419" t="str">
            <v>BAG-10845</v>
          </cell>
          <cell r="E6419" t="str">
            <v>BARNIZ ALQUIDALICO GLOSI 3-1</v>
          </cell>
        </row>
        <row r="6420">
          <cell r="A6420" t="str">
            <v>BAG-10846</v>
          </cell>
          <cell r="E6420" t="str">
            <v>BARNIZ ALQUIDALICO GLOSI 3-1</v>
          </cell>
        </row>
        <row r="6421">
          <cell r="A6421" t="str">
            <v>BAG-10884</v>
          </cell>
          <cell r="E6421" t="str">
            <v>BARNIZ ALQUIDALICO GLOSI 3-1</v>
          </cell>
        </row>
        <row r="6422">
          <cell r="A6422" t="str">
            <v>BAG-10885</v>
          </cell>
          <cell r="E6422" t="str">
            <v>BARNIZ ALQUIDALICO GLOSI 3-1</v>
          </cell>
        </row>
        <row r="6423">
          <cell r="A6423" t="str">
            <v>BAG-10886</v>
          </cell>
          <cell r="E6423" t="str">
            <v>BARNIZ ALQUIDALICO GLOSI 3-1</v>
          </cell>
        </row>
        <row r="6424">
          <cell r="A6424" t="str">
            <v>BAG-10894</v>
          </cell>
          <cell r="E6424" t="str">
            <v>BARNIZ ALQUIDALICO GLOSI 3-1</v>
          </cell>
        </row>
        <row r="6425">
          <cell r="A6425" t="str">
            <v>BAG-10895</v>
          </cell>
          <cell r="E6425" t="str">
            <v>BARNIZ ALQUIDALICO GLOSI 3-1</v>
          </cell>
        </row>
        <row r="6426">
          <cell r="A6426" t="str">
            <v>BAG-10896</v>
          </cell>
          <cell r="E6426" t="str">
            <v>BARNIZ ALQUIDALICO GLOSI 3-1</v>
          </cell>
        </row>
        <row r="6427">
          <cell r="A6427" t="str">
            <v>BNG-10844</v>
          </cell>
          <cell r="E6427" t="str">
            <v>BARNIZ NITRO GLOSI 3-1</v>
          </cell>
        </row>
        <row r="6428">
          <cell r="A6428" t="str">
            <v>BNG-10845</v>
          </cell>
          <cell r="E6428" t="str">
            <v>BARNIZ NITRO GLOSI 3-1</v>
          </cell>
        </row>
        <row r="6429">
          <cell r="A6429" t="str">
            <v>BNG-10846</v>
          </cell>
          <cell r="E6429" t="str">
            <v>BARNIZ NITRO GLOSI 3-1</v>
          </cell>
        </row>
        <row r="6430">
          <cell r="A6430" t="str">
            <v>BNG-10884</v>
          </cell>
          <cell r="E6430" t="str">
            <v>BARNIZ NITRO GLOSI 3-1</v>
          </cell>
        </row>
        <row r="6431">
          <cell r="A6431" t="str">
            <v>BNG-10885</v>
          </cell>
          <cell r="E6431" t="str">
            <v>BARNIZ NITRO GLOSI 3-1</v>
          </cell>
        </row>
        <row r="6432">
          <cell r="A6432" t="str">
            <v>BNG-10886</v>
          </cell>
          <cell r="E6432" t="str">
            <v>BARNIZ NITRO GLOSI 3-1</v>
          </cell>
        </row>
        <row r="6433">
          <cell r="A6433" t="str">
            <v>BNG-10894</v>
          </cell>
          <cell r="E6433" t="str">
            <v>BARNIZ NITRO GLOSI 3-1</v>
          </cell>
        </row>
        <row r="6434">
          <cell r="A6434" t="str">
            <v>BNG-10895</v>
          </cell>
          <cell r="E6434" t="str">
            <v>BARNIZ NITRO GLOSI 3-1</v>
          </cell>
        </row>
        <row r="6435">
          <cell r="A6435" t="str">
            <v>BNG-10896</v>
          </cell>
          <cell r="E6435" t="str">
            <v>BARNIZ NITRO GLOSI 3-1</v>
          </cell>
        </row>
        <row r="6436">
          <cell r="A6436" t="str">
            <v>CIM001</v>
          </cell>
          <cell r="E6436" t="str">
            <v>HARDWARE</v>
          </cell>
        </row>
        <row r="6437">
          <cell r="A6437" t="str">
            <v>CIN-7I910 0503</v>
          </cell>
          <cell r="E6437" t="str">
            <v>CIN COATINGS</v>
          </cell>
        </row>
        <row r="6438">
          <cell r="A6438" t="str">
            <v>CIN-7I920 0503</v>
          </cell>
          <cell r="E6438" t="str">
            <v>CIN COATINGS</v>
          </cell>
        </row>
        <row r="6439">
          <cell r="A6439" t="str">
            <v>CIN-7K206 7N40</v>
          </cell>
          <cell r="E6439" t="str">
            <v>CIN COATINGS</v>
          </cell>
        </row>
        <row r="6440">
          <cell r="A6440" t="str">
            <v>CIN-7K921 7101</v>
          </cell>
          <cell r="E6440" t="str">
            <v>CIN COATINGS</v>
          </cell>
        </row>
        <row r="6441">
          <cell r="A6441" t="str">
            <v>CIN-7K927 9980</v>
          </cell>
          <cell r="E6441" t="str">
            <v>CIN COATINGS</v>
          </cell>
        </row>
        <row r="6442">
          <cell r="A6442" t="str">
            <v>CIN-7L136 9010</v>
          </cell>
          <cell r="E6442" t="str">
            <v>CIN COATINGS</v>
          </cell>
        </row>
        <row r="6443">
          <cell r="A6443" t="str">
            <v>CIN-7L151 9010</v>
          </cell>
          <cell r="E6443" t="str">
            <v>CIN COATINGS</v>
          </cell>
        </row>
        <row r="6444">
          <cell r="A6444" t="str">
            <v>CIN-7L190 9999</v>
          </cell>
          <cell r="E6444" t="str">
            <v>CIN COATINGS</v>
          </cell>
        </row>
        <row r="6445">
          <cell r="A6445" t="str">
            <v>CIN-7L199 9999</v>
          </cell>
          <cell r="E6445" t="str">
            <v>CIN COATINGS</v>
          </cell>
        </row>
        <row r="6446">
          <cell r="A6446" t="str">
            <v>CIN-7P702 9999</v>
          </cell>
          <cell r="E6446" t="str">
            <v>CIN COATINGS</v>
          </cell>
        </row>
        <row r="6447">
          <cell r="A6447" t="str">
            <v>CIN-7P731 0505</v>
          </cell>
          <cell r="E6447" t="str">
            <v>CIN COATINGS</v>
          </cell>
        </row>
        <row r="6448">
          <cell r="A6448" t="str">
            <v>CIN-7P731 0507</v>
          </cell>
          <cell r="E6448" t="str">
            <v>CIN COATINGS</v>
          </cell>
        </row>
        <row r="6449">
          <cell r="A6449" t="str">
            <v>CIN-7P731 9016</v>
          </cell>
          <cell r="E6449" t="str">
            <v>CIN COATINGS</v>
          </cell>
        </row>
        <row r="6450">
          <cell r="A6450" t="str">
            <v>CIN-7Q100 0000</v>
          </cell>
          <cell r="E6450" t="str">
            <v>CIN COATINGS</v>
          </cell>
        </row>
        <row r="6451">
          <cell r="A6451" t="str">
            <v>CIN-7Q600 0000</v>
          </cell>
          <cell r="E6451" t="str">
            <v>CIN COATINGS</v>
          </cell>
        </row>
        <row r="6452">
          <cell r="A6452" t="str">
            <v>CIN-7Q680 0000</v>
          </cell>
          <cell r="E6452" t="str">
            <v>CIN COATINGS</v>
          </cell>
        </row>
        <row r="6453">
          <cell r="A6453" t="str">
            <v>CIN-7Q898 0000</v>
          </cell>
          <cell r="E6453" t="str">
            <v>CIN COATINGS</v>
          </cell>
        </row>
        <row r="6454">
          <cell r="A6454" t="str">
            <v>CM-62262</v>
          </cell>
          <cell r="E6454" t="str">
            <v>COLORES AL CEMENTO</v>
          </cell>
        </row>
        <row r="6455">
          <cell r="A6455" t="str">
            <v>CM-62265</v>
          </cell>
          <cell r="E6455" t="str">
            <v>COLORES AL CEMENTO</v>
          </cell>
        </row>
        <row r="6456">
          <cell r="A6456" t="str">
            <v>CM-62562</v>
          </cell>
          <cell r="E6456" t="str">
            <v>COLORES AL CEMENTO</v>
          </cell>
        </row>
        <row r="6457">
          <cell r="A6457" t="str">
            <v>CM-62565</v>
          </cell>
          <cell r="E6457" t="str">
            <v>COLORES AL CEMENTO</v>
          </cell>
        </row>
        <row r="6458">
          <cell r="A6458" t="str">
            <v>CM-62582</v>
          </cell>
          <cell r="E6458" t="str">
            <v>COLORES AL CEMENTO</v>
          </cell>
        </row>
        <row r="6459">
          <cell r="A6459" t="str">
            <v>CM-62585</v>
          </cell>
          <cell r="E6459" t="str">
            <v>COLORES AL CEMENTO</v>
          </cell>
        </row>
        <row r="6460">
          <cell r="A6460" t="str">
            <v>CM-62652</v>
          </cell>
          <cell r="E6460" t="str">
            <v>COLORES AL CEMENTO</v>
          </cell>
        </row>
        <row r="6461">
          <cell r="A6461" t="str">
            <v>CM-62655</v>
          </cell>
          <cell r="E6461" t="str">
            <v>COLORES AL CEMENTO</v>
          </cell>
        </row>
        <row r="6462">
          <cell r="A6462" t="str">
            <v>CM-62732</v>
          </cell>
          <cell r="E6462" t="str">
            <v>COLORES AL CEMENTO</v>
          </cell>
        </row>
        <row r="6463">
          <cell r="A6463" t="str">
            <v>CM-62735</v>
          </cell>
          <cell r="E6463" t="str">
            <v>COLORES AL CEMENTO</v>
          </cell>
        </row>
        <row r="6464">
          <cell r="A6464" t="str">
            <v>CM-62992</v>
          </cell>
          <cell r="E6464" t="str">
            <v>COLORES AL CEMENTO</v>
          </cell>
        </row>
        <row r="6465">
          <cell r="A6465" t="str">
            <v>CM-62995</v>
          </cell>
          <cell r="E6465" t="str">
            <v>COLORES AL CEMENTO</v>
          </cell>
        </row>
        <row r="6466">
          <cell r="A6466" t="str">
            <v>COMISION</v>
          </cell>
          <cell r="E6466" t="str">
            <v>GASTOS GENERALES</v>
          </cell>
        </row>
        <row r="6467">
          <cell r="A6467" t="str">
            <v>DESCAR</v>
          </cell>
          <cell r="E6467" t="str">
            <v>OTRAS MATERIAS PRIMAS</v>
          </cell>
        </row>
        <row r="6468">
          <cell r="A6468" t="str">
            <v>DESCAR-G</v>
          </cell>
          <cell r="E6468" t="str">
            <v>NO IDENTIFICADO</v>
          </cell>
        </row>
        <row r="6469">
          <cell r="A6469" t="str">
            <v>DESMAD</v>
          </cell>
          <cell r="E6469" t="str">
            <v>OTRAS MATERIAS PRIMAS</v>
          </cell>
        </row>
        <row r="6470">
          <cell r="A6470" t="str">
            <v>DESMET</v>
          </cell>
          <cell r="E6470" t="str">
            <v>OTRAS MATERIAS PRIMAS</v>
          </cell>
        </row>
        <row r="6471">
          <cell r="A6471" t="str">
            <v>DESMET-1</v>
          </cell>
          <cell r="E6471" t="str">
            <v>OTRAS MATERIAS PRIMAS</v>
          </cell>
        </row>
        <row r="6472">
          <cell r="A6472" t="str">
            <v>DESMET-2</v>
          </cell>
          <cell r="E6472" t="str">
            <v>OTRAS MATERIAS PRIMAS</v>
          </cell>
        </row>
        <row r="6473">
          <cell r="A6473" t="str">
            <v>DESPOL</v>
          </cell>
          <cell r="E6473" t="str">
            <v>OTRAS MATERIAS PRIMAS</v>
          </cell>
        </row>
        <row r="6474">
          <cell r="A6474" t="str">
            <v>DO-0016</v>
          </cell>
          <cell r="E6474" t="str">
            <v>GASTOS GENERALES</v>
          </cell>
        </row>
        <row r="6475">
          <cell r="A6475" t="str">
            <v>E-06050</v>
          </cell>
          <cell r="E6475" t="str">
            <v>SOLVENTES INDUSTRIALES</v>
          </cell>
        </row>
        <row r="6476">
          <cell r="A6476" t="str">
            <v>E-07420</v>
          </cell>
          <cell r="E6476" t="str">
            <v>SICLA Y DIPLOMADO</v>
          </cell>
        </row>
        <row r="6477">
          <cell r="A6477" t="str">
            <v>E-08920</v>
          </cell>
          <cell r="E6477" t="str">
            <v>SICLA Y DIPLOMADO</v>
          </cell>
        </row>
        <row r="6478">
          <cell r="A6478" t="str">
            <v>E-08921</v>
          </cell>
          <cell r="E6478" t="str">
            <v>SICLA Y DIPLOMADO</v>
          </cell>
        </row>
        <row r="6479">
          <cell r="A6479" t="str">
            <v>E-09871</v>
          </cell>
          <cell r="E6479" t="str">
            <v>SICLA Y DIPLOMADO</v>
          </cell>
        </row>
        <row r="6480">
          <cell r="A6480" t="str">
            <v>E-11811</v>
          </cell>
          <cell r="E6480" t="str">
            <v>OTROS ACABADOS INDUSTRIALES</v>
          </cell>
        </row>
        <row r="6481">
          <cell r="A6481" t="str">
            <v>E-13944</v>
          </cell>
          <cell r="E6481" t="str">
            <v>ESM SECADO RAPIDO BASE SOLVENT</v>
          </cell>
        </row>
        <row r="6482">
          <cell r="A6482" t="str">
            <v>E-14171</v>
          </cell>
          <cell r="E6482" t="str">
            <v>ESM SECADO RAPIDO BASE SOLVENT</v>
          </cell>
        </row>
        <row r="6483">
          <cell r="A6483" t="str">
            <v>E-17331</v>
          </cell>
          <cell r="E6483" t="str">
            <v>ESM SECADO RAPIDO BASE SOLVENT</v>
          </cell>
        </row>
        <row r="6484">
          <cell r="A6484" t="str">
            <v>E-17521</v>
          </cell>
          <cell r="E6484" t="str">
            <v>ESM SECADO RAPIDO BASE SOLVENT</v>
          </cell>
        </row>
        <row r="6485">
          <cell r="A6485" t="str">
            <v>E-17524</v>
          </cell>
          <cell r="E6485" t="str">
            <v>ESM SECADO RAPIDO BASE SOLVENT</v>
          </cell>
        </row>
        <row r="6486">
          <cell r="A6486" t="str">
            <v>E-18380</v>
          </cell>
          <cell r="E6486" t="str">
            <v>OTROS ACABADOS INDUSTRIALES</v>
          </cell>
        </row>
        <row r="6487">
          <cell r="A6487" t="str">
            <v>E-18381</v>
          </cell>
          <cell r="E6487" t="str">
            <v>OTROS ACABADOS INDUSTRIALES</v>
          </cell>
        </row>
        <row r="6488">
          <cell r="A6488" t="str">
            <v>E-19590</v>
          </cell>
          <cell r="E6488" t="str">
            <v>ESMALTE DE HORNEO BASE SOLVENT</v>
          </cell>
        </row>
        <row r="6489">
          <cell r="A6489" t="str">
            <v>E-19591</v>
          </cell>
          <cell r="E6489" t="str">
            <v>ESMALTE DE HORNEO BASE SOLVENT</v>
          </cell>
        </row>
        <row r="6490">
          <cell r="A6490" t="str">
            <v>E-19620</v>
          </cell>
          <cell r="E6490" t="str">
            <v>ESM SECADO RAPIDO BASE SOLVENT</v>
          </cell>
        </row>
        <row r="6491">
          <cell r="A6491" t="str">
            <v>E-19680</v>
          </cell>
          <cell r="E6491" t="str">
            <v>ESM SECADO RAPIDO BASE SOLVENT</v>
          </cell>
        </row>
        <row r="6492">
          <cell r="A6492" t="str">
            <v>E-20270</v>
          </cell>
          <cell r="E6492" t="str">
            <v>ESMALTE - KITOX</v>
          </cell>
        </row>
        <row r="6493">
          <cell r="A6493" t="str">
            <v>E-21121</v>
          </cell>
          <cell r="E6493" t="str">
            <v>ESMALTE - KITOX</v>
          </cell>
        </row>
        <row r="6494">
          <cell r="A6494" t="str">
            <v>E-21671</v>
          </cell>
          <cell r="E6494" t="str">
            <v>ESMALTE - COLOREX</v>
          </cell>
        </row>
        <row r="6495">
          <cell r="A6495" t="str">
            <v>E-22591</v>
          </cell>
          <cell r="E6495" t="str">
            <v>ESMALTE - KITOX</v>
          </cell>
        </row>
        <row r="6496">
          <cell r="A6496" t="str">
            <v>E-22594</v>
          </cell>
          <cell r="E6496" t="str">
            <v>ESMALTE - KITOX</v>
          </cell>
        </row>
        <row r="6497">
          <cell r="A6497" t="str">
            <v>E-23391</v>
          </cell>
          <cell r="E6497" t="str">
            <v>ESMALTE - KITOX</v>
          </cell>
        </row>
        <row r="6498">
          <cell r="A6498" t="str">
            <v>E-23601</v>
          </cell>
          <cell r="E6498" t="str">
            <v>ESMALTE - KITOX</v>
          </cell>
        </row>
        <row r="6499">
          <cell r="A6499" t="str">
            <v>E-23631</v>
          </cell>
          <cell r="E6499" t="str">
            <v>ESMALTE - MILCO</v>
          </cell>
        </row>
        <row r="6500">
          <cell r="A6500" t="str">
            <v>E-23633</v>
          </cell>
          <cell r="E6500" t="str">
            <v>ESMALTE - MILCO</v>
          </cell>
        </row>
        <row r="6501">
          <cell r="A6501" t="str">
            <v>E-23634</v>
          </cell>
          <cell r="E6501" t="str">
            <v>ESMALTE - MILCO</v>
          </cell>
        </row>
        <row r="6502">
          <cell r="A6502" t="str">
            <v>E-23931</v>
          </cell>
          <cell r="E6502" t="str">
            <v>ESMALTE - OTROS</v>
          </cell>
        </row>
        <row r="6503">
          <cell r="A6503" t="str">
            <v>E-23933</v>
          </cell>
          <cell r="E6503" t="str">
            <v>ESMALTE - OTROS</v>
          </cell>
        </row>
        <row r="6504">
          <cell r="A6504" t="str">
            <v>E-23991</v>
          </cell>
          <cell r="E6504" t="str">
            <v>ESMALTE - KITOX</v>
          </cell>
        </row>
        <row r="6505">
          <cell r="A6505" t="str">
            <v>E-23994</v>
          </cell>
          <cell r="E6505" t="str">
            <v>ESMALTE - KITOX</v>
          </cell>
        </row>
        <row r="6506">
          <cell r="A6506" t="str">
            <v>E-24045</v>
          </cell>
          <cell r="E6506" t="str">
            <v>ESMALTE - KITOX</v>
          </cell>
        </row>
        <row r="6507">
          <cell r="A6507" t="str">
            <v>E-24094</v>
          </cell>
          <cell r="E6507" t="str">
            <v>ESMALTE - KITOX</v>
          </cell>
        </row>
        <row r="6508">
          <cell r="A6508" t="str">
            <v>E-24145</v>
          </cell>
          <cell r="E6508" t="str">
            <v>BARNIZ ALQUIDALICO SIGLO</v>
          </cell>
        </row>
        <row r="6509">
          <cell r="A6509" t="str">
            <v>E-24391</v>
          </cell>
          <cell r="E6509" t="str">
            <v>ESMALTE ALQUIDALICO GLOSI</v>
          </cell>
        </row>
        <row r="6510">
          <cell r="A6510" t="str">
            <v>E-24491</v>
          </cell>
          <cell r="E6510" t="str">
            <v>ESMALTE ALQUIDALICO GLOSI</v>
          </cell>
        </row>
        <row r="6511">
          <cell r="A6511" t="str">
            <v>E-24935</v>
          </cell>
          <cell r="E6511" t="str">
            <v>ESMALTE - KITOX</v>
          </cell>
        </row>
        <row r="6512">
          <cell r="A6512" t="str">
            <v>E-24936</v>
          </cell>
          <cell r="E6512" t="str">
            <v>ESMALTE - KITOX</v>
          </cell>
        </row>
        <row r="6513">
          <cell r="A6513" t="str">
            <v>E-25035</v>
          </cell>
          <cell r="E6513" t="str">
            <v>ESMALTE - MILCO</v>
          </cell>
        </row>
        <row r="6514">
          <cell r="A6514" t="str">
            <v>E-25923</v>
          </cell>
          <cell r="E6514" t="str">
            <v>ESMALTE - KITOX</v>
          </cell>
        </row>
        <row r="6515">
          <cell r="A6515" t="str">
            <v>E-25993</v>
          </cell>
          <cell r="E6515" t="str">
            <v>ESMALTE - KITOX</v>
          </cell>
        </row>
        <row r="6516">
          <cell r="A6516" t="str">
            <v>E-26013</v>
          </cell>
          <cell r="E6516" t="str">
            <v>ESMALTE - MILCO</v>
          </cell>
        </row>
        <row r="6517">
          <cell r="A6517" t="str">
            <v>E-30111</v>
          </cell>
          <cell r="E6517" t="str">
            <v>VINILICA - CAMPAÑA</v>
          </cell>
        </row>
        <row r="6518">
          <cell r="A6518" t="str">
            <v>E-30131</v>
          </cell>
          <cell r="E6518" t="str">
            <v>VINILICA - OTRAS</v>
          </cell>
        </row>
        <row r="6519">
          <cell r="A6519" t="str">
            <v>E-30141</v>
          </cell>
          <cell r="E6519" t="str">
            <v>VINILICA - CAMPAÑA</v>
          </cell>
        </row>
        <row r="6520">
          <cell r="A6520" t="str">
            <v>E-30151</v>
          </cell>
          <cell r="E6520" t="str">
            <v>VINILICA - CAMPAÑA</v>
          </cell>
        </row>
        <row r="6521">
          <cell r="A6521" t="str">
            <v>E-30171</v>
          </cell>
          <cell r="E6521" t="str">
            <v>VINILICA - CAMPAÑA</v>
          </cell>
        </row>
        <row r="6522">
          <cell r="A6522" t="str">
            <v>E-30431</v>
          </cell>
          <cell r="E6522" t="str">
            <v>VINILICA - RIVINOL</v>
          </cell>
        </row>
        <row r="6523">
          <cell r="A6523" t="str">
            <v>E-31061</v>
          </cell>
          <cell r="E6523" t="str">
            <v>VINILICA - VINIBAR</v>
          </cell>
        </row>
        <row r="6524">
          <cell r="A6524" t="str">
            <v>E-31241</v>
          </cell>
          <cell r="E6524" t="str">
            <v>VINILICA - CAMPAÑA</v>
          </cell>
        </row>
        <row r="6525">
          <cell r="A6525" t="str">
            <v>E-31321</v>
          </cell>
          <cell r="E6525" t="str">
            <v>VINILICA - VINIBAR</v>
          </cell>
        </row>
        <row r="6526">
          <cell r="A6526" t="str">
            <v>E-31521</v>
          </cell>
          <cell r="E6526" t="str">
            <v>VINILICA - VINIBAR</v>
          </cell>
        </row>
        <row r="6527">
          <cell r="A6527" t="str">
            <v>E-33651</v>
          </cell>
          <cell r="E6527" t="str">
            <v>VINILICA - PINTAVIN</v>
          </cell>
        </row>
        <row r="6528">
          <cell r="A6528" t="str">
            <v>E-33653</v>
          </cell>
          <cell r="E6528" t="str">
            <v>VINILICA - PINTAVIN</v>
          </cell>
        </row>
        <row r="6529">
          <cell r="A6529" t="str">
            <v>E-33654</v>
          </cell>
          <cell r="E6529" t="str">
            <v>VINILICA - PINTAVIN</v>
          </cell>
        </row>
        <row r="6530">
          <cell r="A6530" t="str">
            <v>E-33751</v>
          </cell>
          <cell r="E6530" t="str">
            <v>VINILICA - PINTAVIN</v>
          </cell>
        </row>
        <row r="6531">
          <cell r="A6531" t="str">
            <v>E-33753</v>
          </cell>
          <cell r="E6531" t="str">
            <v>VINILICA - PINTAVIN</v>
          </cell>
        </row>
        <row r="6532">
          <cell r="A6532" t="str">
            <v>E-33754</v>
          </cell>
          <cell r="E6532" t="str">
            <v>VINILICA - PINTAVIN</v>
          </cell>
        </row>
        <row r="6533">
          <cell r="A6533" t="str">
            <v>E-35611</v>
          </cell>
          <cell r="E6533" t="str">
            <v>VINILICA - OTRAS</v>
          </cell>
        </row>
        <row r="6534">
          <cell r="A6534" t="str">
            <v>E-37801</v>
          </cell>
          <cell r="E6534" t="str">
            <v>VINILICA - POLIPRISA</v>
          </cell>
        </row>
        <row r="6535">
          <cell r="A6535" t="str">
            <v>E-37803</v>
          </cell>
          <cell r="E6535" t="str">
            <v>VINILICA - POLIPRISA</v>
          </cell>
        </row>
        <row r="6536">
          <cell r="A6536" t="str">
            <v>E-37804</v>
          </cell>
          <cell r="E6536" t="str">
            <v>VINILICA - POLIPRISA</v>
          </cell>
        </row>
        <row r="6537">
          <cell r="A6537" t="str">
            <v>E-38001</v>
          </cell>
          <cell r="E6537" t="str">
            <v>VINILICA - POLIPRISA</v>
          </cell>
        </row>
        <row r="6538">
          <cell r="A6538" t="str">
            <v>E-38003</v>
          </cell>
          <cell r="E6538" t="str">
            <v>VINILICA - POLIPRISA</v>
          </cell>
        </row>
        <row r="6539">
          <cell r="A6539" t="str">
            <v>E-38004</v>
          </cell>
          <cell r="E6539" t="str">
            <v>VINILICA - POLIPRISA</v>
          </cell>
        </row>
        <row r="6540">
          <cell r="A6540" t="str">
            <v>E-38011</v>
          </cell>
          <cell r="E6540" t="str">
            <v>VINILICA - POLIPRISA</v>
          </cell>
        </row>
        <row r="6541">
          <cell r="A6541" t="str">
            <v>E-38013</v>
          </cell>
          <cell r="E6541" t="str">
            <v>VINILICA - POLIPRISA</v>
          </cell>
        </row>
        <row r="6542">
          <cell r="A6542" t="str">
            <v>E-38014</v>
          </cell>
          <cell r="E6542" t="str">
            <v>VINILICA - POLIPRISA</v>
          </cell>
        </row>
        <row r="6543">
          <cell r="A6543" t="str">
            <v>E-38021</v>
          </cell>
          <cell r="E6543" t="str">
            <v>VINILICA - POLIPRISA</v>
          </cell>
        </row>
        <row r="6544">
          <cell r="A6544" t="str">
            <v>E-38023</v>
          </cell>
          <cell r="E6544" t="str">
            <v>VINILICA - POLIPRISA</v>
          </cell>
        </row>
        <row r="6545">
          <cell r="A6545" t="str">
            <v>E-38024</v>
          </cell>
          <cell r="E6545" t="str">
            <v>VINILICA - POLIPRISA</v>
          </cell>
        </row>
        <row r="6546">
          <cell r="A6546" t="str">
            <v>E-38501</v>
          </cell>
          <cell r="E6546" t="str">
            <v>PRIMARIOS ESTRUCTURALES ALQUID</v>
          </cell>
        </row>
        <row r="6547">
          <cell r="A6547" t="str">
            <v>E-38503</v>
          </cell>
          <cell r="E6547" t="str">
            <v>PRIMARIOS ESTRUCTURALES ALQUID</v>
          </cell>
        </row>
        <row r="6548">
          <cell r="A6548" t="str">
            <v>E-38871</v>
          </cell>
          <cell r="E6548" t="str">
            <v>VINILICA - OTRAS</v>
          </cell>
        </row>
        <row r="6549">
          <cell r="A6549" t="str">
            <v>E-38920</v>
          </cell>
          <cell r="E6549" t="str">
            <v>VINILICA - POLIPRISA</v>
          </cell>
        </row>
        <row r="6550">
          <cell r="A6550" t="str">
            <v>E-38921</v>
          </cell>
          <cell r="E6550" t="str">
            <v>VINILICA - POLIPRISA</v>
          </cell>
        </row>
        <row r="6551">
          <cell r="A6551" t="str">
            <v>E-38921US</v>
          </cell>
          <cell r="E6551" t="str">
            <v>VINILICA - POLIPRISA</v>
          </cell>
        </row>
        <row r="6552">
          <cell r="A6552" t="str">
            <v>E-38923</v>
          </cell>
          <cell r="E6552" t="str">
            <v>VINILICA - POLIPRISA</v>
          </cell>
        </row>
        <row r="6553">
          <cell r="A6553" t="str">
            <v>E-38924</v>
          </cell>
          <cell r="E6553" t="str">
            <v>VINILICA - POLIPRISA</v>
          </cell>
        </row>
        <row r="6554">
          <cell r="A6554" t="str">
            <v>E-39001</v>
          </cell>
          <cell r="E6554" t="str">
            <v>VINILICA - OTRAS</v>
          </cell>
        </row>
        <row r="6555">
          <cell r="A6555" t="str">
            <v>E-39143</v>
          </cell>
          <cell r="E6555" t="str">
            <v>VINILICA - OTRAS</v>
          </cell>
        </row>
        <row r="6556">
          <cell r="A6556" t="str">
            <v>E-39144</v>
          </cell>
          <cell r="E6556" t="str">
            <v>VINILICA - OTRAS</v>
          </cell>
        </row>
        <row r="6557">
          <cell r="A6557" t="str">
            <v>E-39831</v>
          </cell>
          <cell r="E6557" t="str">
            <v>VINILICA - RIVINOL</v>
          </cell>
        </row>
        <row r="6558">
          <cell r="A6558" t="str">
            <v>E-39833</v>
          </cell>
          <cell r="E6558" t="str">
            <v>VINILICA - RIVINOL</v>
          </cell>
        </row>
        <row r="6559">
          <cell r="A6559" t="str">
            <v>E-40513</v>
          </cell>
          <cell r="E6559" t="str">
            <v>OTROS ACABADOS INDUSTRIALES</v>
          </cell>
        </row>
        <row r="6560">
          <cell r="A6560" t="str">
            <v>E-4051GL</v>
          </cell>
          <cell r="E6560" t="str">
            <v>OTROS ACABADOS INDUSTRIALES</v>
          </cell>
        </row>
        <row r="6561">
          <cell r="A6561" t="str">
            <v>E-41001</v>
          </cell>
          <cell r="E6561" t="str">
            <v>ESM SECADO RAPIDO BASE SOLVENT</v>
          </cell>
        </row>
        <row r="6562">
          <cell r="A6562" t="str">
            <v>E-41360</v>
          </cell>
          <cell r="E6562" t="str">
            <v>OTROS ACABADOS INDUSTRIALES</v>
          </cell>
        </row>
        <row r="6563">
          <cell r="A6563" t="str">
            <v>E-41361</v>
          </cell>
          <cell r="E6563" t="str">
            <v>OTROS ACABADOS INDUSTRIALES</v>
          </cell>
        </row>
        <row r="6564">
          <cell r="A6564" t="str">
            <v>E-41363</v>
          </cell>
          <cell r="E6564" t="str">
            <v>OTROS ACABADOS INDUSTRIALES</v>
          </cell>
        </row>
        <row r="6565">
          <cell r="A6565" t="str">
            <v>E-41411</v>
          </cell>
          <cell r="E6565" t="str">
            <v>ESMALTE DE HORNEO BASE SOLVENT</v>
          </cell>
        </row>
        <row r="6566">
          <cell r="A6566" t="str">
            <v>E-41690</v>
          </cell>
          <cell r="E6566" t="str">
            <v>ESMALTE DE HORNEO BASE SOLVENT</v>
          </cell>
        </row>
        <row r="6567">
          <cell r="A6567" t="str">
            <v>E-42981</v>
          </cell>
          <cell r="E6567" t="str">
            <v>OTROS ACABADOS INDUSTRIALES</v>
          </cell>
        </row>
        <row r="6568">
          <cell r="A6568" t="str">
            <v>E-42983</v>
          </cell>
          <cell r="E6568" t="str">
            <v>OTROS ACABADOS INDUSTRIALES</v>
          </cell>
        </row>
        <row r="6569">
          <cell r="A6569" t="str">
            <v>E-43130</v>
          </cell>
          <cell r="E6569" t="str">
            <v>PRIMARIOS ESTRUCTURALES ALQUID</v>
          </cell>
        </row>
        <row r="6570">
          <cell r="A6570" t="str">
            <v>E-43131</v>
          </cell>
          <cell r="E6570" t="str">
            <v>PRIMARIOS ESTRUCTURALES ALQUID</v>
          </cell>
        </row>
        <row r="6571">
          <cell r="A6571" t="str">
            <v>E-43133</v>
          </cell>
          <cell r="E6571" t="str">
            <v>PRIMARIOS ESTRUCTURALES ALQUID</v>
          </cell>
        </row>
        <row r="6572">
          <cell r="A6572" t="str">
            <v>E-43134</v>
          </cell>
          <cell r="E6572" t="str">
            <v>PRIMARIOS ESTRUCTURALES ALQUID</v>
          </cell>
        </row>
        <row r="6573">
          <cell r="A6573" t="str">
            <v>E-43201</v>
          </cell>
          <cell r="E6573" t="str">
            <v>OTROS ACABADOS INDUSTRIALES</v>
          </cell>
        </row>
        <row r="6574">
          <cell r="A6574" t="str">
            <v>E-43470</v>
          </cell>
          <cell r="E6574" t="str">
            <v>ESMALTE DE HORNEO BASE SOLVENT</v>
          </cell>
        </row>
        <row r="6575">
          <cell r="A6575" t="str">
            <v>E-43850</v>
          </cell>
          <cell r="E6575" t="str">
            <v>PRIMARIOS ESTRUCTURALES ALQUID</v>
          </cell>
        </row>
        <row r="6576">
          <cell r="A6576" t="str">
            <v>E-43851</v>
          </cell>
          <cell r="E6576" t="str">
            <v>PRIMARIOS ESTRUCTURALES ALQUID</v>
          </cell>
        </row>
        <row r="6577">
          <cell r="A6577" t="str">
            <v>E-43920</v>
          </cell>
          <cell r="E6577" t="str">
            <v>ESMALTE DE HORNEO BASE SOLVENT</v>
          </cell>
        </row>
        <row r="6578">
          <cell r="A6578" t="str">
            <v>E-44611</v>
          </cell>
          <cell r="E6578" t="str">
            <v>ESM SECADO RAPIDO BASE SOLVENT</v>
          </cell>
        </row>
        <row r="6579">
          <cell r="A6579" t="str">
            <v>E-44621</v>
          </cell>
          <cell r="E6579" t="str">
            <v>ESM SECADO RAPIDO BASE SOLVENT</v>
          </cell>
        </row>
        <row r="6580">
          <cell r="A6580" t="str">
            <v>E-44791</v>
          </cell>
          <cell r="E6580" t="str">
            <v>ESM SECADO RAPIDO BASE SOLVENT</v>
          </cell>
        </row>
        <row r="6581">
          <cell r="A6581" t="str">
            <v>E-44941</v>
          </cell>
          <cell r="E6581" t="str">
            <v>ESM SECADO RAPIDO BASE SOLVENT</v>
          </cell>
        </row>
        <row r="6582">
          <cell r="A6582" t="str">
            <v>E-45110</v>
          </cell>
          <cell r="E6582" t="str">
            <v>ESMALTE DE HORNEO BASE SOLVENT</v>
          </cell>
        </row>
        <row r="6583">
          <cell r="A6583" t="str">
            <v>E-45240</v>
          </cell>
          <cell r="E6583" t="str">
            <v>ESMALTE DE HORNEO BASE SOLVENT</v>
          </cell>
        </row>
        <row r="6584">
          <cell r="A6584" t="str">
            <v>E-45241</v>
          </cell>
          <cell r="E6584" t="str">
            <v>ESMALTE DE HORNEO BASE SOLVENT</v>
          </cell>
        </row>
        <row r="6585">
          <cell r="A6585" t="str">
            <v>E-45370</v>
          </cell>
          <cell r="E6585" t="str">
            <v>ESM SECADO RAPIDO BASE SOLVENT</v>
          </cell>
        </row>
        <row r="6586">
          <cell r="A6586" t="str">
            <v>E-46510</v>
          </cell>
          <cell r="E6586" t="str">
            <v>ESMALTE DE HORNEO BASE SOLVENT</v>
          </cell>
        </row>
        <row r="6587">
          <cell r="A6587" t="str">
            <v>E-46681</v>
          </cell>
          <cell r="E6587" t="str">
            <v>ESMALTE DE HORNEO BASE SOLVENT</v>
          </cell>
        </row>
        <row r="6588">
          <cell r="A6588" t="str">
            <v>E-46840</v>
          </cell>
          <cell r="E6588" t="str">
            <v>ESMALTE DE HORNEO BASE SOLVENT</v>
          </cell>
        </row>
        <row r="6589">
          <cell r="A6589" t="str">
            <v>E-46893</v>
          </cell>
          <cell r="E6589" t="str">
            <v>PRIMARIOS ESTRUCTURALES ALQUID</v>
          </cell>
        </row>
        <row r="6590">
          <cell r="A6590" t="str">
            <v>E-47020</v>
          </cell>
          <cell r="E6590" t="str">
            <v>ESM SECADO RAPIDO BASE AGUA</v>
          </cell>
        </row>
        <row r="6591">
          <cell r="A6591" t="str">
            <v>E-47021</v>
          </cell>
          <cell r="E6591" t="str">
            <v>ESM SECADO RAPIDO BASE AGUA</v>
          </cell>
        </row>
        <row r="6592">
          <cell r="A6592" t="str">
            <v>E-47241</v>
          </cell>
          <cell r="E6592" t="str">
            <v>ESM SECADO RAPIDO BASE SOLVENT</v>
          </cell>
        </row>
        <row r="6593">
          <cell r="A6593" t="str">
            <v>E-47281</v>
          </cell>
          <cell r="E6593" t="str">
            <v>ESM SECADO RAPIDO BASE SOLVENT</v>
          </cell>
        </row>
        <row r="6594">
          <cell r="A6594" t="str">
            <v>E-47344</v>
          </cell>
          <cell r="E6594" t="str">
            <v>ESM SECADO RAPIDO BASE SOLVENT</v>
          </cell>
        </row>
        <row r="6595">
          <cell r="A6595" t="str">
            <v>E-47761</v>
          </cell>
          <cell r="E6595" t="str">
            <v>ESMALTE DE HORNEO BASE AGUA</v>
          </cell>
        </row>
        <row r="6596">
          <cell r="A6596" t="str">
            <v>E-47800</v>
          </cell>
          <cell r="E6596" t="str">
            <v>ESM SECADO RAPIDO BASE AGUA</v>
          </cell>
        </row>
        <row r="6597">
          <cell r="A6597" t="str">
            <v>E-47801</v>
          </cell>
          <cell r="E6597" t="str">
            <v>ESM SECADO RAPIDO BASE AGUA</v>
          </cell>
        </row>
        <row r="6598">
          <cell r="A6598" t="str">
            <v>E-47921</v>
          </cell>
          <cell r="E6598" t="str">
            <v>ESM SECADO RAPIDO BASE SOLVENT</v>
          </cell>
        </row>
        <row r="6599">
          <cell r="A6599" t="str">
            <v>E-48060</v>
          </cell>
          <cell r="E6599" t="str">
            <v>OTROS ACABADOS INDUSTRIALES</v>
          </cell>
        </row>
        <row r="6600">
          <cell r="A6600" t="str">
            <v>E-48461</v>
          </cell>
          <cell r="E6600" t="str">
            <v>ESMALTE DE HORNEO BASE SOLVENT</v>
          </cell>
        </row>
        <row r="6601">
          <cell r="A6601" t="str">
            <v>E-48580</v>
          </cell>
          <cell r="E6601" t="str">
            <v>OTROS ACABADOS INDUSTRIALES</v>
          </cell>
        </row>
        <row r="6602">
          <cell r="A6602" t="str">
            <v>E-48903</v>
          </cell>
          <cell r="E6602" t="str">
            <v>OTROS ACABADOS INDUSTRIALES</v>
          </cell>
        </row>
        <row r="6603">
          <cell r="A6603" t="str">
            <v>E-48951</v>
          </cell>
          <cell r="E6603" t="str">
            <v>ESM SECADO RAPIDO BASE SOLVENT</v>
          </cell>
        </row>
        <row r="6604">
          <cell r="A6604" t="str">
            <v>E-48953</v>
          </cell>
          <cell r="E6604" t="str">
            <v>ESM SECADO RAPIDO BASE SOLVENT</v>
          </cell>
        </row>
        <row r="6605">
          <cell r="A6605" t="str">
            <v>E-48954</v>
          </cell>
          <cell r="E6605" t="str">
            <v>ESM SECADO RAPIDO BASE SOLVENT</v>
          </cell>
        </row>
        <row r="6606">
          <cell r="A6606" t="str">
            <v>E-49351</v>
          </cell>
          <cell r="E6606" t="str">
            <v>ESM SECADO RAPIDO BASE SOLVENT</v>
          </cell>
        </row>
        <row r="6607">
          <cell r="A6607" t="str">
            <v>E-49533</v>
          </cell>
          <cell r="E6607" t="str">
            <v>OTROS ACABADOS INDUSTRIALES</v>
          </cell>
        </row>
        <row r="6608">
          <cell r="A6608" t="str">
            <v>E-49551</v>
          </cell>
          <cell r="E6608" t="str">
            <v>ESMALTE DE HORNEO BASE SOLVENT</v>
          </cell>
        </row>
        <row r="6609">
          <cell r="A6609" t="str">
            <v>E-49623</v>
          </cell>
          <cell r="E6609" t="str">
            <v>ACABADOS ALQUIDALICOS AF</v>
          </cell>
        </row>
        <row r="6610">
          <cell r="A6610" t="str">
            <v>E-49683</v>
          </cell>
          <cell r="E6610" t="str">
            <v>ESM SECADO RAPIDO BASE SOLVENT</v>
          </cell>
        </row>
        <row r="6611">
          <cell r="A6611" t="str">
            <v>E-50121</v>
          </cell>
          <cell r="E6611" t="str">
            <v>ACABADOS DE PU</v>
          </cell>
        </row>
        <row r="6612">
          <cell r="A6612" t="str">
            <v>E-50511</v>
          </cell>
          <cell r="E6612" t="str">
            <v>ACABADOS ALQUIDALICOS</v>
          </cell>
        </row>
        <row r="6613">
          <cell r="A6613" t="str">
            <v>E-50513</v>
          </cell>
          <cell r="E6613" t="str">
            <v>ACABADOS ALQUIDALICOS</v>
          </cell>
        </row>
        <row r="6614">
          <cell r="A6614" t="str">
            <v>E-50781</v>
          </cell>
          <cell r="E6614" t="str">
            <v>ACABADOS DE PU</v>
          </cell>
        </row>
        <row r="6615">
          <cell r="A6615" t="str">
            <v>E-50961</v>
          </cell>
          <cell r="E6615" t="str">
            <v>ACABADOS EPOXICOS</v>
          </cell>
        </row>
        <row r="6616">
          <cell r="A6616" t="str">
            <v>E-50973</v>
          </cell>
          <cell r="E6616" t="str">
            <v>ACABADOS EPOXICOS</v>
          </cell>
        </row>
        <row r="6617">
          <cell r="A6617" t="str">
            <v>E-51001</v>
          </cell>
          <cell r="E6617" t="str">
            <v>ACABADOS DE PU</v>
          </cell>
        </row>
        <row r="6618">
          <cell r="A6618" t="str">
            <v>E-51101</v>
          </cell>
          <cell r="E6618" t="str">
            <v>OTROS ACABADOS INDUSTRIALES</v>
          </cell>
        </row>
        <row r="6619">
          <cell r="A6619" t="str">
            <v>E-52871</v>
          </cell>
          <cell r="E6619" t="str">
            <v>ACABADOS DE PU</v>
          </cell>
        </row>
        <row r="6620">
          <cell r="A6620" t="str">
            <v>E-53353</v>
          </cell>
          <cell r="E6620" t="str">
            <v>ACABADOS EPOXICOS</v>
          </cell>
        </row>
        <row r="6621">
          <cell r="A6621" t="str">
            <v>E-54841</v>
          </cell>
          <cell r="E6621" t="str">
            <v>ACABADOS EPOXICOS</v>
          </cell>
        </row>
        <row r="6622">
          <cell r="A6622" t="str">
            <v>E-55711</v>
          </cell>
          <cell r="E6622" t="str">
            <v>ACABADOS DE PU</v>
          </cell>
        </row>
        <row r="6623">
          <cell r="A6623" t="str">
            <v>E-55713</v>
          </cell>
          <cell r="E6623" t="str">
            <v>ACABADOS DE PU</v>
          </cell>
        </row>
        <row r="6624">
          <cell r="A6624" t="str">
            <v>E-55761</v>
          </cell>
          <cell r="E6624" t="str">
            <v>ACABADOS EPOXICOS</v>
          </cell>
        </row>
        <row r="6625">
          <cell r="A6625" t="str">
            <v>E-56233</v>
          </cell>
          <cell r="E6625" t="str">
            <v>ACABADOS DE PU</v>
          </cell>
        </row>
        <row r="6626">
          <cell r="A6626" t="str">
            <v>E-56581</v>
          </cell>
          <cell r="E6626" t="str">
            <v>ACABADOS EPOXICOS</v>
          </cell>
        </row>
        <row r="6627">
          <cell r="A6627" t="str">
            <v>E-56651</v>
          </cell>
          <cell r="E6627" t="str">
            <v>OTROS ACABADOS INDUSTRIALES</v>
          </cell>
        </row>
        <row r="6628">
          <cell r="A6628" t="str">
            <v>E-56653</v>
          </cell>
          <cell r="E6628" t="str">
            <v>OTROS ACABADOS INDUSTRIALES</v>
          </cell>
        </row>
        <row r="6629">
          <cell r="A6629" t="str">
            <v>E-56961</v>
          </cell>
          <cell r="E6629" t="str">
            <v>ACABADOS EPOXICOS</v>
          </cell>
        </row>
        <row r="6630">
          <cell r="A6630" t="str">
            <v>E-57100</v>
          </cell>
          <cell r="E6630" t="str">
            <v>OTROS ACABADOS INDUSTRIALES</v>
          </cell>
        </row>
        <row r="6631">
          <cell r="A6631" t="str">
            <v>E-57180</v>
          </cell>
          <cell r="E6631" t="str">
            <v>SOLVENTES INDUSTRIALES</v>
          </cell>
        </row>
        <row r="6632">
          <cell r="A6632" t="str">
            <v>E-57303</v>
          </cell>
          <cell r="E6632" t="str">
            <v>ACABADOS DE PU</v>
          </cell>
        </row>
        <row r="6633">
          <cell r="A6633" t="str">
            <v>E-57411</v>
          </cell>
          <cell r="E6633" t="str">
            <v>ACABADOS EPOXICOS</v>
          </cell>
        </row>
        <row r="6634">
          <cell r="A6634" t="str">
            <v>E-57523</v>
          </cell>
          <cell r="E6634" t="str">
            <v>OTROS ACABADOS INDUSTRIALES</v>
          </cell>
        </row>
        <row r="6635">
          <cell r="A6635" t="str">
            <v>E-57524</v>
          </cell>
          <cell r="E6635" t="str">
            <v>OTROS ACABADOS INDUSTRIALES</v>
          </cell>
        </row>
        <row r="6636">
          <cell r="A6636" t="str">
            <v>E-57551</v>
          </cell>
          <cell r="E6636" t="str">
            <v>ACABADOS DE PU</v>
          </cell>
        </row>
        <row r="6637">
          <cell r="A6637" t="str">
            <v>E-57571</v>
          </cell>
          <cell r="E6637" t="str">
            <v>OTROS ACABADOS INDUSTRIALES</v>
          </cell>
        </row>
        <row r="6638">
          <cell r="A6638" t="str">
            <v>E-57573</v>
          </cell>
          <cell r="E6638" t="str">
            <v>OTROS ACABADOS INDUSTRIALES</v>
          </cell>
        </row>
        <row r="6639">
          <cell r="A6639" t="str">
            <v>E-57631</v>
          </cell>
          <cell r="E6639" t="str">
            <v>ACABADOS EPOXICOS</v>
          </cell>
        </row>
        <row r="6640">
          <cell r="A6640" t="str">
            <v>E-57641</v>
          </cell>
          <cell r="E6640" t="str">
            <v>ACABADOS EPOXICOS</v>
          </cell>
        </row>
        <row r="6641">
          <cell r="A6641" t="str">
            <v>E-58101</v>
          </cell>
          <cell r="E6641" t="str">
            <v>ACABADOS DE PU</v>
          </cell>
        </row>
        <row r="6642">
          <cell r="A6642" t="str">
            <v>E-58440</v>
          </cell>
          <cell r="E6642" t="str">
            <v>PRIMARIOS ALQUIDALICOS</v>
          </cell>
        </row>
        <row r="6643">
          <cell r="A6643" t="str">
            <v>E-58450</v>
          </cell>
          <cell r="E6643" t="str">
            <v>ACABADOS DE PU</v>
          </cell>
        </row>
        <row r="6644">
          <cell r="A6644" t="str">
            <v>E-58481</v>
          </cell>
          <cell r="E6644" t="str">
            <v>ACABADOS DE PU</v>
          </cell>
        </row>
        <row r="6645">
          <cell r="A6645" t="str">
            <v>E-58951</v>
          </cell>
          <cell r="E6645" t="str">
            <v>ACABADOS DE PU</v>
          </cell>
        </row>
        <row r="6646">
          <cell r="A6646" t="str">
            <v>E-58991</v>
          </cell>
          <cell r="E6646" t="str">
            <v>ACABADOS EPOXICOS</v>
          </cell>
        </row>
        <row r="6647">
          <cell r="A6647" t="str">
            <v>E-59011</v>
          </cell>
          <cell r="E6647" t="str">
            <v>ACABADOS EPOXICOS</v>
          </cell>
        </row>
        <row r="6648">
          <cell r="A6648" t="str">
            <v>E-59064</v>
          </cell>
          <cell r="E6648" t="str">
            <v>ACABADOS EPOXICOS</v>
          </cell>
        </row>
        <row r="6649">
          <cell r="A6649" t="str">
            <v>E-59074</v>
          </cell>
          <cell r="E6649" t="str">
            <v>ACABADOS EPOXICOS</v>
          </cell>
        </row>
        <row r="6650">
          <cell r="A6650" t="str">
            <v>E-59231</v>
          </cell>
          <cell r="E6650" t="str">
            <v>ACABADOS DE PU</v>
          </cell>
        </row>
        <row r="6651">
          <cell r="A6651" t="str">
            <v>E-59233</v>
          </cell>
          <cell r="E6651" t="str">
            <v>ACABADOS DE PU</v>
          </cell>
        </row>
        <row r="6652">
          <cell r="A6652" t="str">
            <v>E-59253</v>
          </cell>
          <cell r="E6652" t="str">
            <v>ACABADOS DE PU</v>
          </cell>
        </row>
        <row r="6653">
          <cell r="A6653" t="str">
            <v>E-59313</v>
          </cell>
          <cell r="E6653" t="str">
            <v>ACABADOS EPOXICOS</v>
          </cell>
        </row>
        <row r="6654">
          <cell r="A6654" t="str">
            <v>E-59403</v>
          </cell>
          <cell r="E6654" t="str">
            <v>ACABADOS DE PU</v>
          </cell>
        </row>
        <row r="6655">
          <cell r="A6655" t="str">
            <v>E-5940GL</v>
          </cell>
          <cell r="E6655" t="str">
            <v>ACABADOS DE PU</v>
          </cell>
        </row>
        <row r="6656">
          <cell r="A6656" t="str">
            <v>E-59431</v>
          </cell>
          <cell r="E6656" t="str">
            <v>ACABADOS DE PU</v>
          </cell>
        </row>
        <row r="6657">
          <cell r="A6657" t="str">
            <v>E-59501</v>
          </cell>
          <cell r="E6657" t="str">
            <v>ACABADOS DE PU</v>
          </cell>
        </row>
        <row r="6658">
          <cell r="A6658" t="str">
            <v>E-59503</v>
          </cell>
          <cell r="E6658" t="str">
            <v>ACABADOS DE PU</v>
          </cell>
        </row>
        <row r="6659">
          <cell r="A6659" t="str">
            <v>E-59541</v>
          </cell>
          <cell r="E6659" t="str">
            <v>ACABADOS DE PU</v>
          </cell>
        </row>
        <row r="6660">
          <cell r="A6660" t="str">
            <v>E-59571</v>
          </cell>
          <cell r="E6660" t="str">
            <v>ACABADOS DE PU</v>
          </cell>
        </row>
        <row r="6661">
          <cell r="A6661" t="str">
            <v>E-59671</v>
          </cell>
          <cell r="E6661" t="str">
            <v>ACABADOS DE PU</v>
          </cell>
        </row>
        <row r="6662">
          <cell r="A6662" t="str">
            <v>E-59791</v>
          </cell>
          <cell r="E6662" t="str">
            <v>ACABADOS EPOXICOS</v>
          </cell>
        </row>
        <row r="6663">
          <cell r="A6663" t="str">
            <v>E-59871</v>
          </cell>
          <cell r="E6663" t="str">
            <v>ACABADOS DE PU</v>
          </cell>
        </row>
        <row r="6664">
          <cell r="A6664" t="str">
            <v>E-59921</v>
          </cell>
          <cell r="E6664" t="str">
            <v>ACABADOS DE PU</v>
          </cell>
        </row>
        <row r="6665">
          <cell r="A6665" t="str">
            <v>E-60970</v>
          </cell>
          <cell r="E6665" t="str">
            <v>SICLA Y DIPLOMADO</v>
          </cell>
        </row>
        <row r="6666">
          <cell r="A6666" t="str">
            <v>E-61261</v>
          </cell>
          <cell r="E6666" t="str">
            <v>LACA NITRO INDUSTRIAL</v>
          </cell>
        </row>
        <row r="6667">
          <cell r="A6667" t="str">
            <v>E-61413</v>
          </cell>
          <cell r="E6667" t="str">
            <v>LACA NITRO TRANSPARENTE SIGLO</v>
          </cell>
        </row>
        <row r="6668">
          <cell r="A6668" t="str">
            <v>E-61531</v>
          </cell>
          <cell r="E6668" t="str">
            <v>FONDO DE NITRO AUTOMOTRIZ</v>
          </cell>
        </row>
        <row r="6669">
          <cell r="A6669" t="str">
            <v>E-61533</v>
          </cell>
          <cell r="E6669" t="str">
            <v>FONDO DE NITRO AUTOMOTRIZ</v>
          </cell>
        </row>
        <row r="6670">
          <cell r="A6670" t="str">
            <v>E-61534</v>
          </cell>
          <cell r="E6670" t="str">
            <v>FONDO DE NITRO AUTOMOTRIZ</v>
          </cell>
        </row>
        <row r="6671">
          <cell r="A6671" t="str">
            <v>E-62181</v>
          </cell>
          <cell r="E6671" t="str">
            <v>MATIZANTE UNIVERSAL</v>
          </cell>
        </row>
        <row r="6672">
          <cell r="A6672" t="str">
            <v>E-62183</v>
          </cell>
          <cell r="E6672" t="str">
            <v>MATIZANTE UNIVERSAL</v>
          </cell>
        </row>
        <row r="6673">
          <cell r="A6673" t="str">
            <v>E-62184</v>
          </cell>
          <cell r="E6673" t="str">
            <v>MATIZANTE UNIVERSAL</v>
          </cell>
        </row>
        <row r="6674">
          <cell r="A6674" t="str">
            <v>E-62310</v>
          </cell>
          <cell r="E6674" t="str">
            <v>LACA NITRO TRANSPARENTE SIGLO</v>
          </cell>
        </row>
        <row r="6675">
          <cell r="A6675" t="str">
            <v>E-62311</v>
          </cell>
          <cell r="E6675" t="str">
            <v>LACA NITRO TRANSPARENTE SIGLO</v>
          </cell>
        </row>
        <row r="6676">
          <cell r="A6676" t="str">
            <v>E-63210</v>
          </cell>
          <cell r="E6676" t="str">
            <v>LACA NITRO TRANSPARENTE SIGLO</v>
          </cell>
        </row>
        <row r="6677">
          <cell r="A6677" t="str">
            <v>E-63211</v>
          </cell>
          <cell r="E6677" t="str">
            <v>LACA NITRO TRANSPARENTE SIGLO</v>
          </cell>
        </row>
        <row r="6678">
          <cell r="A6678" t="str">
            <v>E-63570</v>
          </cell>
          <cell r="E6678" t="str">
            <v>LACA NITRO TRANSPARENTE SIGLO</v>
          </cell>
        </row>
        <row r="6679">
          <cell r="A6679" t="str">
            <v>E-63571</v>
          </cell>
          <cell r="E6679" t="str">
            <v>LACA NITRO TRANSPARENTE SIGLO</v>
          </cell>
        </row>
        <row r="6680">
          <cell r="A6680" t="str">
            <v>E-63790</v>
          </cell>
          <cell r="E6680" t="str">
            <v>BARNIZ DE POLIURETANO SIGLO</v>
          </cell>
        </row>
        <row r="6681">
          <cell r="A6681" t="str">
            <v>E-63791</v>
          </cell>
          <cell r="E6681" t="str">
            <v>BARNIZ DE POLIURETANO SIGLO</v>
          </cell>
        </row>
        <row r="6682">
          <cell r="A6682" t="str">
            <v>E-63793</v>
          </cell>
          <cell r="E6682" t="str">
            <v>BARNIZ DE POLIURETANO SIGLO</v>
          </cell>
        </row>
        <row r="6683">
          <cell r="A6683" t="str">
            <v>E-63794</v>
          </cell>
          <cell r="E6683" t="str">
            <v>BARNIZ DE POLIURETANO SIGLO</v>
          </cell>
        </row>
        <row r="6684">
          <cell r="A6684" t="str">
            <v>E-63860</v>
          </cell>
          <cell r="E6684" t="str">
            <v>LACA NITRO TRANSPARENTE SIGLO</v>
          </cell>
        </row>
        <row r="6685">
          <cell r="A6685" t="str">
            <v>E-63910</v>
          </cell>
          <cell r="E6685" t="str">
            <v>SICLA Y DIPLOMADO</v>
          </cell>
        </row>
        <row r="6686">
          <cell r="A6686" t="str">
            <v>E-63920</v>
          </cell>
          <cell r="E6686" t="str">
            <v>SELLADORES DE NITROCELULOSA</v>
          </cell>
        </row>
        <row r="6687">
          <cell r="A6687" t="str">
            <v>E-64060</v>
          </cell>
          <cell r="E6687" t="str">
            <v>LACA NITRO TRANSPARENTE SIGLO</v>
          </cell>
        </row>
        <row r="6688">
          <cell r="A6688" t="str">
            <v>E-64061</v>
          </cell>
          <cell r="E6688" t="str">
            <v>LACA NITRO TRANSPARENTE SIGLO</v>
          </cell>
        </row>
        <row r="6689">
          <cell r="A6689" t="str">
            <v>E-64480</v>
          </cell>
          <cell r="E6689" t="str">
            <v>LACA NITRO TRANSPARENTE SIGLO</v>
          </cell>
        </row>
        <row r="6690">
          <cell r="A6690" t="str">
            <v>E-64490</v>
          </cell>
          <cell r="E6690" t="str">
            <v>LACA NITRO TRANSPARENTE SIGLO</v>
          </cell>
        </row>
        <row r="6691">
          <cell r="A6691" t="str">
            <v>E-64980</v>
          </cell>
          <cell r="E6691" t="str">
            <v>LACA NITRO TRANSPARENTE SIGLO</v>
          </cell>
        </row>
        <row r="6692">
          <cell r="A6692" t="str">
            <v>E-65070</v>
          </cell>
          <cell r="E6692" t="str">
            <v>LACA NITRO TRANSPARENTE SIGLO</v>
          </cell>
        </row>
        <row r="6693">
          <cell r="A6693" t="str">
            <v>E-65140</v>
          </cell>
          <cell r="E6693" t="str">
            <v>LACA NITRO TRANSPARENTE SIGLO</v>
          </cell>
        </row>
        <row r="6694">
          <cell r="A6694" t="str">
            <v>E-65141</v>
          </cell>
          <cell r="E6694" t="str">
            <v>LACA NITRO TRANSPARENTE SIGLO</v>
          </cell>
        </row>
        <row r="6695">
          <cell r="A6695" t="str">
            <v>E-65230</v>
          </cell>
          <cell r="E6695" t="str">
            <v>SELLADORES DE POLIURETANO</v>
          </cell>
        </row>
        <row r="6696">
          <cell r="A6696" t="str">
            <v>E-65231</v>
          </cell>
          <cell r="E6696" t="str">
            <v>SELLADORES DE POLIURETANO</v>
          </cell>
        </row>
        <row r="6697">
          <cell r="A6697" t="str">
            <v>E-65291</v>
          </cell>
          <cell r="E6697" t="str">
            <v>SOLVENTES INDUSTRIALES</v>
          </cell>
        </row>
        <row r="6698">
          <cell r="A6698" t="str">
            <v>E-65300</v>
          </cell>
          <cell r="E6698" t="str">
            <v>SOLVENTES INDUSTRIALES</v>
          </cell>
        </row>
        <row r="6699">
          <cell r="A6699" t="str">
            <v>E-65301</v>
          </cell>
          <cell r="E6699" t="str">
            <v>SOLVENTES INDUSTRIALES</v>
          </cell>
        </row>
        <row r="6700">
          <cell r="A6700" t="str">
            <v>E-65303</v>
          </cell>
          <cell r="E6700" t="str">
            <v>SOLVENTES INDUSTRIALES</v>
          </cell>
        </row>
        <row r="6701">
          <cell r="A6701" t="str">
            <v>E-65304</v>
          </cell>
          <cell r="E6701" t="str">
            <v>SOLVENTES INDUSTRIALES</v>
          </cell>
        </row>
        <row r="6702">
          <cell r="A6702" t="str">
            <v>E-65580</v>
          </cell>
          <cell r="E6702" t="str">
            <v>FONDO DE NITROCELULOSA</v>
          </cell>
        </row>
        <row r="6703">
          <cell r="A6703" t="str">
            <v>E-65581</v>
          </cell>
          <cell r="E6703" t="str">
            <v>FONDO DE NITROCELULOSA</v>
          </cell>
        </row>
        <row r="6704">
          <cell r="A6704" t="str">
            <v>E-65641</v>
          </cell>
          <cell r="E6704" t="str">
            <v>FONDO DE POLIURETANO</v>
          </cell>
        </row>
        <row r="6705">
          <cell r="A6705" t="str">
            <v>E-65651</v>
          </cell>
          <cell r="E6705" t="str">
            <v>SELLADORES DE POLIURETANO</v>
          </cell>
        </row>
        <row r="6706">
          <cell r="A6706" t="str">
            <v>E-65653</v>
          </cell>
          <cell r="E6706" t="str">
            <v>SELLADORES DE POLIURETANO</v>
          </cell>
        </row>
        <row r="6707">
          <cell r="A6707" t="str">
            <v>E-65654</v>
          </cell>
          <cell r="E6707" t="str">
            <v>SELLADORES DE POLIURETANO</v>
          </cell>
        </row>
        <row r="6708">
          <cell r="A6708" t="str">
            <v>E-65661</v>
          </cell>
          <cell r="E6708" t="str">
            <v>BARNIZ DE POLIURETANO SIGLO</v>
          </cell>
        </row>
        <row r="6709">
          <cell r="A6709" t="str">
            <v>E-65663</v>
          </cell>
          <cell r="E6709" t="str">
            <v>BARNIZ DE POLIURETANO SIGLO</v>
          </cell>
        </row>
        <row r="6710">
          <cell r="A6710" t="str">
            <v>E-65664</v>
          </cell>
          <cell r="E6710" t="str">
            <v>BARNIZ DE POLIURETANO SIGLO</v>
          </cell>
        </row>
        <row r="6711">
          <cell r="A6711" t="str">
            <v>E-65771</v>
          </cell>
          <cell r="E6711" t="str">
            <v>LACA NITRO TRANSPARENTE SIGLO</v>
          </cell>
        </row>
        <row r="6712">
          <cell r="A6712" t="str">
            <v>E-66061</v>
          </cell>
          <cell r="E6712" t="str">
            <v>BARNIZ DE POLIURETANO SIGLO</v>
          </cell>
        </row>
        <row r="6713">
          <cell r="A6713" t="str">
            <v>E-66063</v>
          </cell>
          <cell r="E6713" t="str">
            <v>BARNIZ DE POLIURETANO SIGLO</v>
          </cell>
        </row>
        <row r="6714">
          <cell r="A6714" t="str">
            <v>E-66064</v>
          </cell>
          <cell r="E6714" t="str">
            <v>BARNIZ DE POLIURETANO SIGLO</v>
          </cell>
        </row>
        <row r="6715">
          <cell r="A6715" t="str">
            <v>E-66151</v>
          </cell>
          <cell r="E6715" t="str">
            <v>FONDO UNIVERSAL</v>
          </cell>
        </row>
        <row r="6716">
          <cell r="A6716" t="str">
            <v>E-66153</v>
          </cell>
          <cell r="E6716" t="str">
            <v>FONDO UNIVERSAL</v>
          </cell>
        </row>
        <row r="6717">
          <cell r="A6717" t="str">
            <v>E-66154</v>
          </cell>
          <cell r="E6717" t="str">
            <v>FONDO UNIVERSAL</v>
          </cell>
        </row>
        <row r="6718">
          <cell r="A6718" t="str">
            <v>E-66241</v>
          </cell>
          <cell r="E6718" t="str">
            <v>FONDO DE POLIURETANO</v>
          </cell>
        </row>
        <row r="6719">
          <cell r="A6719" t="str">
            <v>E-66560</v>
          </cell>
          <cell r="E6719" t="str">
            <v>LACA NITRO TRANSPARENTE SIGLO</v>
          </cell>
        </row>
        <row r="6720">
          <cell r="A6720" t="str">
            <v>E-66640</v>
          </cell>
          <cell r="E6720" t="str">
            <v>TINTAS BASE SOLVENTE P/MADERA</v>
          </cell>
        </row>
        <row r="6721">
          <cell r="A6721" t="str">
            <v>E-66641</v>
          </cell>
          <cell r="E6721" t="str">
            <v>TINTAS BASE SOLVENTE P/MADERA</v>
          </cell>
        </row>
        <row r="6722">
          <cell r="A6722" t="str">
            <v>E-66643</v>
          </cell>
          <cell r="E6722" t="str">
            <v>TINTAS BASE SOLVENTE P/MADERA</v>
          </cell>
        </row>
        <row r="6723">
          <cell r="A6723" t="str">
            <v>E-66801</v>
          </cell>
          <cell r="E6723" t="str">
            <v>BARNIZ DE POLIURETANO SIGLO</v>
          </cell>
        </row>
        <row r="6724">
          <cell r="A6724" t="str">
            <v>E-66841</v>
          </cell>
          <cell r="E6724" t="str">
            <v>LACA ACRILICA</v>
          </cell>
        </row>
        <row r="6725">
          <cell r="A6725" t="str">
            <v>E-66890</v>
          </cell>
          <cell r="E6725" t="str">
            <v>BARNIZ DE SECADO RAPIDO SIGLO</v>
          </cell>
        </row>
        <row r="6726">
          <cell r="A6726" t="str">
            <v>E-66891</v>
          </cell>
          <cell r="E6726" t="str">
            <v>BARNIZ DE SECADO RAPIDO SIGLO</v>
          </cell>
        </row>
        <row r="6727">
          <cell r="A6727" t="str">
            <v>E-66893</v>
          </cell>
          <cell r="E6727" t="str">
            <v>BARNIZ DE SECADO RAPIDO SIGLO</v>
          </cell>
        </row>
        <row r="6728">
          <cell r="A6728" t="str">
            <v>E-66894</v>
          </cell>
          <cell r="E6728" t="str">
            <v>BARNIZ DE SECADO RAPIDO SIGLO</v>
          </cell>
        </row>
        <row r="6729">
          <cell r="A6729" t="str">
            <v>E-66951</v>
          </cell>
          <cell r="E6729" t="str">
            <v>FONDO UNIVERSAL</v>
          </cell>
        </row>
        <row r="6730">
          <cell r="A6730" t="str">
            <v>E-66953</v>
          </cell>
          <cell r="E6730" t="str">
            <v>FONDO UNIVERSAL</v>
          </cell>
        </row>
        <row r="6731">
          <cell r="A6731" t="str">
            <v>E-66954</v>
          </cell>
          <cell r="E6731" t="str">
            <v>FONDO UNIVERSAL</v>
          </cell>
        </row>
        <row r="6732">
          <cell r="A6732" t="str">
            <v>E-67081</v>
          </cell>
          <cell r="E6732" t="str">
            <v>LACA NITRO INDUSTRIAL</v>
          </cell>
        </row>
        <row r="6733">
          <cell r="A6733" t="str">
            <v>E-67170</v>
          </cell>
          <cell r="E6733" t="str">
            <v>LACA NITRO INDUSTRIAL</v>
          </cell>
        </row>
        <row r="6734">
          <cell r="A6734" t="str">
            <v>E-67171</v>
          </cell>
          <cell r="E6734" t="str">
            <v>LACA NITRO INDUSTRIAL</v>
          </cell>
        </row>
        <row r="6735">
          <cell r="A6735" t="str">
            <v>E-67280</v>
          </cell>
          <cell r="E6735" t="str">
            <v>SELLADORES DE NITROCELULOSA</v>
          </cell>
        </row>
        <row r="6736">
          <cell r="A6736" t="str">
            <v>E-67281</v>
          </cell>
          <cell r="E6736" t="str">
            <v>SELLADORES DE NITROCELULOSA</v>
          </cell>
        </row>
        <row r="6737">
          <cell r="A6737" t="str">
            <v>E-67283</v>
          </cell>
          <cell r="E6737" t="str">
            <v>SELLADORES DE NITROCELULOSA</v>
          </cell>
        </row>
        <row r="6738">
          <cell r="A6738" t="str">
            <v>E-67531</v>
          </cell>
          <cell r="E6738" t="str">
            <v>LACA NITRO INDUSTRIAL</v>
          </cell>
        </row>
        <row r="6739">
          <cell r="A6739" t="str">
            <v>E-67640</v>
          </cell>
          <cell r="E6739" t="str">
            <v>LACA NITRO TRANSPARENTE SIGLO</v>
          </cell>
        </row>
        <row r="6740">
          <cell r="A6740" t="str">
            <v>E-67671</v>
          </cell>
          <cell r="E6740" t="str">
            <v>BARNIZ DE POLIURETANO SIGLO</v>
          </cell>
        </row>
        <row r="6741">
          <cell r="A6741" t="str">
            <v>E-67761</v>
          </cell>
          <cell r="E6741" t="str">
            <v>BARNIZ DE POLIURETANO SIGLO</v>
          </cell>
        </row>
        <row r="6742">
          <cell r="A6742" t="str">
            <v>E-67763</v>
          </cell>
          <cell r="E6742" t="str">
            <v>BARNIZ DE POLIURETANO SIGLO</v>
          </cell>
        </row>
        <row r="6743">
          <cell r="A6743" t="str">
            <v>E-67764</v>
          </cell>
          <cell r="E6743" t="str">
            <v>BARNIZ DE POLIURETANO SIGLO</v>
          </cell>
        </row>
        <row r="6744">
          <cell r="A6744" t="str">
            <v>E-67971</v>
          </cell>
          <cell r="E6744" t="str">
            <v>SELLADORES DE POLIURETANO</v>
          </cell>
        </row>
        <row r="6745">
          <cell r="A6745" t="str">
            <v>E-68010</v>
          </cell>
          <cell r="E6745" t="str">
            <v>SELLADORES DE POLIURETANO</v>
          </cell>
        </row>
        <row r="6746">
          <cell r="A6746" t="str">
            <v>E-68011</v>
          </cell>
          <cell r="E6746" t="str">
            <v>SELLADORES DE POLIURETANO</v>
          </cell>
        </row>
        <row r="6747">
          <cell r="A6747" t="str">
            <v>E-68013</v>
          </cell>
          <cell r="E6747" t="str">
            <v>SELLADORES DE POLIURETANO</v>
          </cell>
        </row>
        <row r="6748">
          <cell r="A6748" t="str">
            <v>E-68014</v>
          </cell>
          <cell r="E6748" t="str">
            <v>SELLADORES DE POLIURETANO</v>
          </cell>
        </row>
        <row r="6749">
          <cell r="A6749" t="str">
            <v>E-68021</v>
          </cell>
          <cell r="E6749" t="str">
            <v>BARNIZ DE POLIURETANO SIGLO</v>
          </cell>
        </row>
        <row r="6750">
          <cell r="A6750" t="str">
            <v>E-68131</v>
          </cell>
          <cell r="E6750" t="str">
            <v>BARNIZ DE POLIURETANO SIGLO</v>
          </cell>
        </row>
        <row r="6751">
          <cell r="A6751" t="str">
            <v>E-68133</v>
          </cell>
          <cell r="E6751" t="str">
            <v>BARNIZ DE POLIURETANO SIGLO</v>
          </cell>
        </row>
        <row r="6752">
          <cell r="A6752" t="str">
            <v>E-68134</v>
          </cell>
          <cell r="E6752" t="str">
            <v>BARNIZ DE POLIURETANO SIGLO</v>
          </cell>
        </row>
        <row r="6753">
          <cell r="A6753" t="str">
            <v>E-68141</v>
          </cell>
          <cell r="E6753" t="str">
            <v>BARNIZ DE POLIURETANO SIGLO</v>
          </cell>
        </row>
        <row r="6754">
          <cell r="A6754" t="str">
            <v>E-68143</v>
          </cell>
          <cell r="E6754" t="str">
            <v>BARNIZ DE POLIURETANO SIGLO</v>
          </cell>
        </row>
        <row r="6755">
          <cell r="A6755" t="str">
            <v>E-68144</v>
          </cell>
          <cell r="E6755" t="str">
            <v>BARNIZ DE POLIURETANO SIGLO</v>
          </cell>
        </row>
        <row r="6756">
          <cell r="A6756" t="str">
            <v>E-68251</v>
          </cell>
          <cell r="E6756" t="str">
            <v>BARNIZ DE POLIURETANO SIGLO</v>
          </cell>
        </row>
        <row r="6757">
          <cell r="A6757" t="str">
            <v>E-68261</v>
          </cell>
          <cell r="E6757" t="str">
            <v>LACA ACRILICA</v>
          </cell>
        </row>
        <row r="6758">
          <cell r="A6758" t="str">
            <v>E-68281</v>
          </cell>
          <cell r="E6758" t="str">
            <v>LACA ACRILICA</v>
          </cell>
        </row>
        <row r="6759">
          <cell r="A6759" t="str">
            <v>E-68311</v>
          </cell>
          <cell r="E6759" t="str">
            <v>BARNIZ DE POLIURETANO SIGLO</v>
          </cell>
        </row>
        <row r="6760">
          <cell r="A6760" t="str">
            <v>E-68313</v>
          </cell>
          <cell r="E6760" t="str">
            <v>BARNIZ DE POLIURETANO SIGLO</v>
          </cell>
        </row>
        <row r="6761">
          <cell r="A6761" t="str">
            <v>E-68461</v>
          </cell>
          <cell r="E6761" t="str">
            <v>LACA NITRO INDUSTRIAL</v>
          </cell>
        </row>
        <row r="6762">
          <cell r="A6762" t="str">
            <v>E-68590</v>
          </cell>
          <cell r="E6762" t="str">
            <v>LACA NITRO TRANSPARENTE SIGLO</v>
          </cell>
        </row>
        <row r="6763">
          <cell r="A6763" t="str">
            <v>E-68591</v>
          </cell>
          <cell r="E6763" t="str">
            <v>LACA NITRO TRANSPARENTE SIGLO</v>
          </cell>
        </row>
        <row r="6764">
          <cell r="A6764" t="str">
            <v>E-68691</v>
          </cell>
          <cell r="E6764" t="str">
            <v>LACA NITRO INDUSTRIAL</v>
          </cell>
        </row>
        <row r="6765">
          <cell r="A6765" t="str">
            <v>E-68693</v>
          </cell>
          <cell r="E6765" t="str">
            <v>LACA NITRO INDUSTRIAL</v>
          </cell>
        </row>
        <row r="6766">
          <cell r="A6766" t="str">
            <v>E-68890</v>
          </cell>
          <cell r="E6766" t="str">
            <v>SELLADORES DE NITROCELULOSA</v>
          </cell>
        </row>
        <row r="6767">
          <cell r="A6767" t="str">
            <v>E-69070</v>
          </cell>
          <cell r="E6767" t="str">
            <v>LACA NITRO TRANSPARENTE SIGLO</v>
          </cell>
        </row>
        <row r="6768">
          <cell r="A6768" t="str">
            <v>E-69071</v>
          </cell>
          <cell r="E6768" t="str">
            <v>LACA NITRO TRANSPARENTE SIGLO</v>
          </cell>
        </row>
        <row r="6769">
          <cell r="A6769" t="str">
            <v>E-69073</v>
          </cell>
          <cell r="E6769" t="str">
            <v>LACA NITRO TRANSPARENTE SIGLO</v>
          </cell>
        </row>
        <row r="6770">
          <cell r="A6770" t="str">
            <v>E-69074</v>
          </cell>
          <cell r="E6770" t="str">
            <v>LACA NITRO TRANSPARENTE SIGLO</v>
          </cell>
        </row>
        <row r="6771">
          <cell r="A6771" t="str">
            <v>E-69081</v>
          </cell>
          <cell r="E6771" t="str">
            <v>LACA NITRO TRANSPARENTE SIGLO</v>
          </cell>
        </row>
        <row r="6772">
          <cell r="A6772" t="str">
            <v>E-69083</v>
          </cell>
          <cell r="E6772" t="str">
            <v>LACA NITRO TRANSPARENTE SIGLO</v>
          </cell>
        </row>
        <row r="6773">
          <cell r="A6773" t="str">
            <v>E-69084</v>
          </cell>
          <cell r="E6773" t="str">
            <v>LACA NITRO TRANSPARENTE SIGLO</v>
          </cell>
        </row>
        <row r="6774">
          <cell r="A6774" t="str">
            <v>E-69091</v>
          </cell>
          <cell r="E6774" t="str">
            <v>LACA NITRO TRANSPARENTE SIGLO</v>
          </cell>
        </row>
        <row r="6775">
          <cell r="A6775" t="str">
            <v>E-69093</v>
          </cell>
          <cell r="E6775" t="str">
            <v>LACA NITRO TRANSPARENTE SIGLO</v>
          </cell>
        </row>
        <row r="6776">
          <cell r="A6776" t="str">
            <v>E-69161</v>
          </cell>
          <cell r="E6776" t="str">
            <v>BARNIZ DE POLIURETANO SIGLO</v>
          </cell>
        </row>
        <row r="6777">
          <cell r="A6777" t="str">
            <v>E-69163</v>
          </cell>
          <cell r="E6777" t="str">
            <v>BARNIZ DE POLIURETANO SIGLO</v>
          </cell>
        </row>
        <row r="6778">
          <cell r="A6778" t="str">
            <v>E-69164</v>
          </cell>
          <cell r="E6778" t="str">
            <v>BARNIZ DE POLIURETANO SIGLO</v>
          </cell>
        </row>
        <row r="6779">
          <cell r="A6779" t="str">
            <v>E-69171</v>
          </cell>
          <cell r="E6779" t="str">
            <v>BARNIZ DE POLIURETANO SIGLO</v>
          </cell>
        </row>
        <row r="6780">
          <cell r="A6780" t="str">
            <v>E-69173</v>
          </cell>
          <cell r="E6780" t="str">
            <v>BARNIZ DE POLIURETANO SIGLO</v>
          </cell>
        </row>
        <row r="6781">
          <cell r="A6781" t="str">
            <v>E-69340</v>
          </cell>
          <cell r="E6781" t="str">
            <v>LACA NITRO INDUSTRIAL</v>
          </cell>
        </row>
        <row r="6782">
          <cell r="A6782" t="str">
            <v>E-69341</v>
          </cell>
          <cell r="E6782" t="str">
            <v>LACA NITRO INDUSTRIAL</v>
          </cell>
        </row>
        <row r="6783">
          <cell r="A6783" t="str">
            <v>E-69361</v>
          </cell>
          <cell r="E6783" t="str">
            <v>FONDO DE NITROCELULOSA</v>
          </cell>
        </row>
        <row r="6784">
          <cell r="A6784" t="str">
            <v>E-69381</v>
          </cell>
          <cell r="E6784" t="str">
            <v>LACA ACRILICA</v>
          </cell>
        </row>
        <row r="6785">
          <cell r="A6785" t="str">
            <v>E-69391</v>
          </cell>
          <cell r="E6785" t="str">
            <v>SELLADORES ACRILICOS</v>
          </cell>
        </row>
        <row r="6786">
          <cell r="A6786" t="str">
            <v>E-69393</v>
          </cell>
          <cell r="E6786" t="str">
            <v>SELLADORES ACRILICOS</v>
          </cell>
        </row>
        <row r="6787">
          <cell r="A6787" t="str">
            <v>E-69400</v>
          </cell>
          <cell r="E6787" t="str">
            <v>BARNIZ DE SECADO RAPIDO SIGLO</v>
          </cell>
        </row>
        <row r="6788">
          <cell r="A6788" t="str">
            <v>E-69401</v>
          </cell>
          <cell r="E6788" t="str">
            <v>BARNIZ DE SECADO RAPIDO SIGLO</v>
          </cell>
        </row>
        <row r="6789">
          <cell r="A6789" t="str">
            <v>E-69470</v>
          </cell>
          <cell r="E6789" t="str">
            <v>LACA NITRO INDUSTRIAL</v>
          </cell>
        </row>
        <row r="6790">
          <cell r="A6790" t="str">
            <v>E-69471</v>
          </cell>
          <cell r="E6790" t="str">
            <v>LACA NITRO INDUSTRIAL</v>
          </cell>
        </row>
        <row r="6791">
          <cell r="A6791" t="str">
            <v>E-69580</v>
          </cell>
          <cell r="E6791" t="str">
            <v>FONDO POLIACRILICO Y POLIESTER</v>
          </cell>
        </row>
        <row r="6792">
          <cell r="A6792" t="str">
            <v>E-69581</v>
          </cell>
          <cell r="E6792" t="str">
            <v>FONDO POLIACRILICO Y POLIESTER</v>
          </cell>
        </row>
        <row r="6793">
          <cell r="A6793" t="str">
            <v>E-69583</v>
          </cell>
          <cell r="E6793" t="str">
            <v>FONDO POLIACRILICO Y POLIESTER</v>
          </cell>
        </row>
        <row r="6794">
          <cell r="A6794" t="str">
            <v>E-69593</v>
          </cell>
          <cell r="E6794" t="str">
            <v>FONDO POLIACRILICO Y POLIESTER</v>
          </cell>
        </row>
        <row r="6795">
          <cell r="A6795" t="str">
            <v>E-69603</v>
          </cell>
          <cell r="E6795" t="str">
            <v>FONDO POLIACRILICO Y POLIESTER</v>
          </cell>
        </row>
        <row r="6796">
          <cell r="A6796" t="str">
            <v>E-69604</v>
          </cell>
          <cell r="E6796" t="str">
            <v>FONDO POLIACRILICO Y POLIESTER</v>
          </cell>
        </row>
        <row r="6797">
          <cell r="A6797" t="str">
            <v>E-69611</v>
          </cell>
          <cell r="E6797" t="str">
            <v>BARNIZ DE POLIURETANO SIGLO</v>
          </cell>
        </row>
        <row r="6798">
          <cell r="A6798" t="str">
            <v>E-69613</v>
          </cell>
          <cell r="E6798" t="str">
            <v>BARNIZ DE POLIURETANO SIGLO</v>
          </cell>
        </row>
        <row r="6799">
          <cell r="A6799" t="str">
            <v>E-69614</v>
          </cell>
          <cell r="E6799" t="str">
            <v>BARNIZ DE POLIURETANO SIGLO</v>
          </cell>
        </row>
        <row r="6800">
          <cell r="A6800" t="str">
            <v>E-69631</v>
          </cell>
          <cell r="E6800" t="str">
            <v>SOLVENTES INDUSTRIALES</v>
          </cell>
        </row>
        <row r="6801">
          <cell r="A6801" t="str">
            <v>E-69801</v>
          </cell>
          <cell r="E6801" t="str">
            <v>MANCHAS PARA MADERA</v>
          </cell>
        </row>
        <row r="6802">
          <cell r="A6802" t="str">
            <v>E-69870</v>
          </cell>
          <cell r="E6802" t="str">
            <v>LACA NITRO TRANSPARENTE SIGLO</v>
          </cell>
        </row>
        <row r="6803">
          <cell r="A6803" t="str">
            <v>E-69890</v>
          </cell>
          <cell r="E6803" t="str">
            <v>LACA NITRO INDUSTRIAL</v>
          </cell>
        </row>
        <row r="6804">
          <cell r="A6804" t="str">
            <v>E-69891</v>
          </cell>
          <cell r="E6804" t="str">
            <v>LACA NITRO INDUSTRIAL</v>
          </cell>
        </row>
        <row r="6805">
          <cell r="A6805" t="str">
            <v>E-69901</v>
          </cell>
          <cell r="E6805" t="str">
            <v>LACA NITRO TRANSPARENTE SIGLO</v>
          </cell>
        </row>
        <row r="6806">
          <cell r="A6806" t="str">
            <v>E-69981</v>
          </cell>
          <cell r="E6806" t="str">
            <v>SELLADORES DE NITROCELULOSA</v>
          </cell>
        </row>
        <row r="6807">
          <cell r="A6807" t="str">
            <v>E-70151</v>
          </cell>
          <cell r="E6807" t="str">
            <v>TINTAS BASE SOLVENTE P/MADERA</v>
          </cell>
        </row>
        <row r="6808">
          <cell r="A6808" t="str">
            <v>E-70230</v>
          </cell>
          <cell r="E6808" t="str">
            <v>SELLADORES DE NITROCELULOSA</v>
          </cell>
        </row>
        <row r="6809">
          <cell r="A6809" t="str">
            <v>E-70231</v>
          </cell>
          <cell r="E6809" t="str">
            <v>SELLADORES DE NITROCELULOSA</v>
          </cell>
        </row>
        <row r="6810">
          <cell r="A6810" t="str">
            <v>E-70331</v>
          </cell>
          <cell r="E6810" t="str">
            <v>SELLADORES DE POLIURETANO</v>
          </cell>
        </row>
        <row r="6811">
          <cell r="A6811" t="str">
            <v>E-70341</v>
          </cell>
          <cell r="E6811" t="str">
            <v>FONDO DE POLIURETANO</v>
          </cell>
        </row>
        <row r="6812">
          <cell r="A6812" t="str">
            <v>E-70400</v>
          </cell>
          <cell r="E6812" t="str">
            <v>LACA ACRILICA</v>
          </cell>
        </row>
        <row r="6813">
          <cell r="A6813" t="str">
            <v>E-70401</v>
          </cell>
          <cell r="E6813" t="str">
            <v>LACA ACRILICA</v>
          </cell>
        </row>
        <row r="6814">
          <cell r="A6814" t="str">
            <v>E-70471</v>
          </cell>
          <cell r="E6814" t="str">
            <v>TINTAS BASE SOLVENTE P/MADERA</v>
          </cell>
        </row>
        <row r="6815">
          <cell r="A6815" t="str">
            <v>E-71140</v>
          </cell>
          <cell r="E6815" t="str">
            <v>LACA NITRO TRANSPARENTE SIGLO</v>
          </cell>
        </row>
        <row r="6816">
          <cell r="A6816" t="str">
            <v>E-71151</v>
          </cell>
          <cell r="E6816" t="str">
            <v>SELLADORES DE NITROCELULOSA</v>
          </cell>
        </row>
        <row r="6817">
          <cell r="A6817" t="str">
            <v>E-71480</v>
          </cell>
          <cell r="E6817" t="str">
            <v>FONDO DE NITROCELULOSA</v>
          </cell>
        </row>
        <row r="6818">
          <cell r="A6818" t="str">
            <v>E-71481</v>
          </cell>
          <cell r="E6818" t="str">
            <v>FONDO DE NITROCELULOSA</v>
          </cell>
        </row>
        <row r="6819">
          <cell r="A6819" t="str">
            <v>E-71484</v>
          </cell>
          <cell r="E6819" t="str">
            <v>FONDO DE NITROCELULOSA</v>
          </cell>
        </row>
        <row r="6820">
          <cell r="A6820" t="str">
            <v>E-71511</v>
          </cell>
          <cell r="E6820" t="str">
            <v>LACA NITRO INDUSTRIAL</v>
          </cell>
        </row>
        <row r="6821">
          <cell r="A6821" t="str">
            <v>E-71591</v>
          </cell>
          <cell r="E6821" t="str">
            <v>TINTAS BASE SOLVENTE P/MADERA</v>
          </cell>
        </row>
        <row r="6822">
          <cell r="A6822" t="str">
            <v>E-71593</v>
          </cell>
          <cell r="E6822" t="str">
            <v>TINTAS BASE SOLVENTE P/MADERA</v>
          </cell>
        </row>
        <row r="6823">
          <cell r="A6823" t="str">
            <v>E-71594</v>
          </cell>
          <cell r="E6823" t="str">
            <v>TINTAS BASE SOLVENTE P/MADERA</v>
          </cell>
        </row>
        <row r="6824">
          <cell r="A6824" t="str">
            <v>E-71611</v>
          </cell>
          <cell r="E6824" t="str">
            <v>TINTAS BASE SOLVENTE P/MADERA</v>
          </cell>
        </row>
        <row r="6825">
          <cell r="A6825" t="str">
            <v>E-71613</v>
          </cell>
          <cell r="E6825" t="str">
            <v>TINTAS BASE SOLVENTE P/MADERA</v>
          </cell>
        </row>
        <row r="6826">
          <cell r="A6826" t="str">
            <v>E-72031</v>
          </cell>
          <cell r="E6826" t="str">
            <v>OTROS ACABADOS INDUSTRIALES</v>
          </cell>
        </row>
        <row r="6827">
          <cell r="A6827" t="str">
            <v>E-72111</v>
          </cell>
          <cell r="E6827" t="str">
            <v>LACA NITRO TRANSPARENTE SIGLO</v>
          </cell>
        </row>
        <row r="6828">
          <cell r="A6828" t="str">
            <v>E-72140</v>
          </cell>
          <cell r="E6828" t="str">
            <v>BARNIZ DE POLIURETANO SIGLO</v>
          </cell>
        </row>
        <row r="6829">
          <cell r="A6829" t="str">
            <v>E-72151</v>
          </cell>
          <cell r="E6829" t="str">
            <v>PRETRATAMIENTO METALICO INDUST</v>
          </cell>
        </row>
        <row r="6830">
          <cell r="A6830" t="str">
            <v>E-72280</v>
          </cell>
          <cell r="E6830" t="str">
            <v>FONDO POLIACRILICO Y POLIESTER</v>
          </cell>
        </row>
        <row r="6831">
          <cell r="A6831" t="str">
            <v>E-72281</v>
          </cell>
          <cell r="E6831" t="str">
            <v>FONDO POLIACRILICO Y POLIESTER</v>
          </cell>
        </row>
        <row r="6832">
          <cell r="A6832" t="str">
            <v>E-72321</v>
          </cell>
          <cell r="E6832" t="str">
            <v>MANCHAS PARA MADERA</v>
          </cell>
        </row>
        <row r="6833">
          <cell r="A6833" t="str">
            <v>E-72351</v>
          </cell>
          <cell r="E6833" t="str">
            <v>FONDO DE POLIURETANO</v>
          </cell>
        </row>
        <row r="6834">
          <cell r="A6834" t="str">
            <v>E-72361</v>
          </cell>
          <cell r="E6834" t="str">
            <v>FONDO DE POLIURETANO</v>
          </cell>
        </row>
        <row r="6835">
          <cell r="A6835" t="str">
            <v>E-72391</v>
          </cell>
          <cell r="E6835" t="str">
            <v>TAPAPOROS Y RESANES PARA MADER</v>
          </cell>
        </row>
        <row r="6836">
          <cell r="A6836" t="str">
            <v>E-72480</v>
          </cell>
          <cell r="E6836" t="str">
            <v>BARNIZ DE POLIURETANO SIGLO</v>
          </cell>
        </row>
        <row r="6837">
          <cell r="A6837" t="str">
            <v>E-72481</v>
          </cell>
          <cell r="E6837" t="str">
            <v>BARNIZ DE POLIURETANO SIGLO</v>
          </cell>
        </row>
        <row r="6838">
          <cell r="A6838" t="str">
            <v>E-72483</v>
          </cell>
          <cell r="E6838" t="str">
            <v>BARNIZ DE POLIURETANO SIGLO</v>
          </cell>
        </row>
        <row r="6839">
          <cell r="A6839" t="str">
            <v>E-72563</v>
          </cell>
          <cell r="E6839" t="str">
            <v>SELLADORES DE POLIURETANO</v>
          </cell>
        </row>
        <row r="6840">
          <cell r="A6840" t="str">
            <v>E-72641</v>
          </cell>
          <cell r="E6840" t="str">
            <v>TINTAS BASE SOLVENTE P/MADERA</v>
          </cell>
        </row>
        <row r="6841">
          <cell r="A6841" t="str">
            <v>E-72700</v>
          </cell>
          <cell r="E6841" t="str">
            <v>LACA NITRO TRANSPARENTE SIGLO</v>
          </cell>
        </row>
        <row r="6842">
          <cell r="A6842" t="str">
            <v>E-72801</v>
          </cell>
          <cell r="E6842" t="str">
            <v>TINTAS BASE SOLVENTE P/MADERA</v>
          </cell>
        </row>
        <row r="6843">
          <cell r="A6843" t="str">
            <v>E-72831</v>
          </cell>
          <cell r="E6843" t="str">
            <v>OTROS ACABADOS INDUSTRIALES</v>
          </cell>
        </row>
        <row r="6844">
          <cell r="A6844" t="str">
            <v>E-73051</v>
          </cell>
          <cell r="E6844" t="str">
            <v>TAPAPOROS Y RESANES PARA MADER</v>
          </cell>
        </row>
        <row r="6845">
          <cell r="A6845" t="str">
            <v>E-73053</v>
          </cell>
          <cell r="E6845" t="str">
            <v>TAPAPOROS Y RESANES PARA MADER</v>
          </cell>
        </row>
        <row r="6846">
          <cell r="A6846" t="str">
            <v>E-73054</v>
          </cell>
          <cell r="E6846" t="str">
            <v>TAPAPOROS Y RESANES PARA MADER</v>
          </cell>
        </row>
        <row r="6847">
          <cell r="A6847" t="str">
            <v>E-73055</v>
          </cell>
          <cell r="E6847" t="str">
            <v>TAPAPOROS Y RESANES PARA MADER</v>
          </cell>
        </row>
        <row r="6848">
          <cell r="A6848" t="str">
            <v>E-73063</v>
          </cell>
          <cell r="E6848" t="str">
            <v>TAPAPOROS Y RESANES PARA MADER</v>
          </cell>
        </row>
        <row r="6849">
          <cell r="A6849" t="str">
            <v>E-73064</v>
          </cell>
          <cell r="E6849" t="str">
            <v>TAPAPOROS Y RESANES PARA MADER</v>
          </cell>
        </row>
        <row r="6850">
          <cell r="A6850" t="str">
            <v>E-73065</v>
          </cell>
          <cell r="E6850" t="str">
            <v>TAPAPOROS Y RESANES PARA MADER</v>
          </cell>
        </row>
        <row r="6851">
          <cell r="A6851" t="str">
            <v>E-73073</v>
          </cell>
          <cell r="E6851" t="str">
            <v>TAPAPOROS Y RESANES PARA MADER</v>
          </cell>
        </row>
        <row r="6852">
          <cell r="A6852" t="str">
            <v>E-73074</v>
          </cell>
          <cell r="E6852" t="str">
            <v>TAPAPOROS Y RESANES PARA MADER</v>
          </cell>
        </row>
        <row r="6853">
          <cell r="A6853" t="str">
            <v>E-73075</v>
          </cell>
          <cell r="E6853" t="str">
            <v>TAPAPOROS Y RESANES PARA MADER</v>
          </cell>
        </row>
        <row r="6854">
          <cell r="A6854" t="str">
            <v>E-73261</v>
          </cell>
          <cell r="E6854" t="str">
            <v>BARNIZ DE POLIURETANO SIGLO</v>
          </cell>
        </row>
        <row r="6855">
          <cell r="A6855" t="str">
            <v>E-73281</v>
          </cell>
          <cell r="E6855" t="str">
            <v>ESMALTE ACRILICO</v>
          </cell>
        </row>
        <row r="6856">
          <cell r="A6856" t="str">
            <v>E-73391</v>
          </cell>
          <cell r="E6856" t="str">
            <v>SOLVENTES INDUSTRIALES</v>
          </cell>
        </row>
        <row r="6857">
          <cell r="A6857" t="str">
            <v>E-73411</v>
          </cell>
          <cell r="E6857" t="str">
            <v>FONDO DE POLIURETANO</v>
          </cell>
        </row>
        <row r="6858">
          <cell r="A6858" t="str">
            <v>E-73510</v>
          </cell>
          <cell r="E6858" t="str">
            <v>LACA NITRO TRANSPARENTE SIGLO</v>
          </cell>
        </row>
        <row r="6859">
          <cell r="A6859" t="str">
            <v>E-73511</v>
          </cell>
          <cell r="E6859" t="str">
            <v>LACA NITRO TRANSPARENTE SIGLO</v>
          </cell>
        </row>
        <row r="6860">
          <cell r="A6860" t="str">
            <v>E-73551</v>
          </cell>
          <cell r="E6860" t="str">
            <v>SELLADORES DE POLIURETANO</v>
          </cell>
        </row>
        <row r="6861">
          <cell r="A6861" t="str">
            <v>E-73553</v>
          </cell>
          <cell r="E6861" t="str">
            <v>SELLADORES DE POLIURETANO</v>
          </cell>
        </row>
        <row r="6862">
          <cell r="A6862" t="str">
            <v>E-73554</v>
          </cell>
          <cell r="E6862" t="str">
            <v>SELLADORES DE POLIURETANO</v>
          </cell>
        </row>
        <row r="6863">
          <cell r="A6863" t="str">
            <v>E-73621</v>
          </cell>
          <cell r="E6863" t="str">
            <v>TINTAS BASE SOLVENTE P/MADERA</v>
          </cell>
        </row>
        <row r="6864">
          <cell r="A6864" t="str">
            <v>E-73790</v>
          </cell>
          <cell r="E6864" t="str">
            <v>BARNIZ DE SECADO RAPIDO SIGLO</v>
          </cell>
        </row>
        <row r="6865">
          <cell r="A6865" t="str">
            <v>E-73791</v>
          </cell>
          <cell r="E6865" t="str">
            <v>BARNIZ DE SECADO RAPIDO SIGLO</v>
          </cell>
        </row>
        <row r="6866">
          <cell r="A6866" t="str">
            <v>E-73841</v>
          </cell>
          <cell r="E6866" t="str">
            <v>TINTAS BASE SOLVENTE P/MADERA</v>
          </cell>
        </row>
        <row r="6867">
          <cell r="A6867" t="str">
            <v>E-73891</v>
          </cell>
          <cell r="E6867" t="str">
            <v>TAPAPOROS Y RESANES PARA MADER</v>
          </cell>
        </row>
        <row r="6868">
          <cell r="A6868" t="str">
            <v>E-73893</v>
          </cell>
          <cell r="E6868" t="str">
            <v>TAPAPOROS Y RESANES PARA MADER</v>
          </cell>
        </row>
        <row r="6869">
          <cell r="A6869" t="str">
            <v>E-73971</v>
          </cell>
          <cell r="E6869" t="str">
            <v>BARNIZ DE POLIURETANO SIGLO</v>
          </cell>
        </row>
        <row r="6870">
          <cell r="A6870" t="str">
            <v>E-73973</v>
          </cell>
          <cell r="E6870" t="str">
            <v>BARNIZ DE POLIURETANO SIGLO</v>
          </cell>
        </row>
        <row r="6871">
          <cell r="A6871" t="str">
            <v>E-74250</v>
          </cell>
          <cell r="E6871" t="str">
            <v>FONDO DE POLIURETANO</v>
          </cell>
        </row>
        <row r="6872">
          <cell r="A6872" t="str">
            <v>E-74251</v>
          </cell>
          <cell r="E6872" t="str">
            <v>FONDO DE POLIURETANO</v>
          </cell>
        </row>
        <row r="6873">
          <cell r="A6873" t="str">
            <v>E-74290</v>
          </cell>
          <cell r="E6873" t="str">
            <v>LACA NITRO TRANSPARENTE SIGLO</v>
          </cell>
        </row>
        <row r="6874">
          <cell r="A6874" t="str">
            <v>E-74300</v>
          </cell>
          <cell r="E6874" t="str">
            <v>LACA NITRO TRANSPARENTE SIGLO</v>
          </cell>
        </row>
        <row r="6875">
          <cell r="A6875" t="str">
            <v>E-74321</v>
          </cell>
          <cell r="E6875" t="str">
            <v>FONDO DE NITROCELULOSA</v>
          </cell>
        </row>
        <row r="6876">
          <cell r="A6876" t="str">
            <v>E-74323</v>
          </cell>
          <cell r="E6876" t="str">
            <v>FONDO DE NITROCELULOSA</v>
          </cell>
        </row>
        <row r="6877">
          <cell r="A6877" t="str">
            <v>E-74381</v>
          </cell>
          <cell r="E6877" t="str">
            <v>TINTAS BASE SOLVENTE P/MADERA</v>
          </cell>
        </row>
        <row r="6878">
          <cell r="A6878" t="str">
            <v>E-74411</v>
          </cell>
          <cell r="E6878" t="str">
            <v>FONDO DE NITROCELULOSA</v>
          </cell>
        </row>
        <row r="6879">
          <cell r="A6879" t="str">
            <v>E-74413</v>
          </cell>
          <cell r="E6879" t="str">
            <v>FONDO DE NITROCELULOSA</v>
          </cell>
        </row>
        <row r="6880">
          <cell r="A6880" t="str">
            <v>E-74421</v>
          </cell>
          <cell r="E6880" t="str">
            <v>FONDO DE NITROCELULOSA</v>
          </cell>
        </row>
        <row r="6881">
          <cell r="A6881" t="str">
            <v>E-74423</v>
          </cell>
          <cell r="E6881" t="str">
            <v>FONDO DE NITROCELULOSA</v>
          </cell>
        </row>
        <row r="6882">
          <cell r="A6882" t="str">
            <v>E-74424</v>
          </cell>
          <cell r="E6882" t="str">
            <v>FONDO DE NITROCELULOSA</v>
          </cell>
        </row>
        <row r="6883">
          <cell r="A6883" t="str">
            <v>E-74451</v>
          </cell>
          <cell r="E6883" t="str">
            <v>FONDO DE NITROCELULOSA</v>
          </cell>
        </row>
        <row r="6884">
          <cell r="A6884" t="str">
            <v>E-74491</v>
          </cell>
          <cell r="E6884" t="str">
            <v>TAPAPOROS Y RESANES PARA MADER</v>
          </cell>
        </row>
        <row r="6885">
          <cell r="A6885" t="str">
            <v>E-74591</v>
          </cell>
          <cell r="E6885" t="str">
            <v>BARNIZ DE POLIURETANO SIGLO</v>
          </cell>
        </row>
        <row r="6886">
          <cell r="A6886" t="str">
            <v>E-74871</v>
          </cell>
          <cell r="E6886" t="str">
            <v>SELLADORES DE POLIURETANO</v>
          </cell>
        </row>
        <row r="6887">
          <cell r="A6887" t="str">
            <v>E-74920</v>
          </cell>
          <cell r="E6887" t="str">
            <v>LACA NITRO TRANSPARENTE SIGLO</v>
          </cell>
        </row>
        <row r="6888">
          <cell r="A6888" t="str">
            <v>E-74961</v>
          </cell>
          <cell r="E6888" t="str">
            <v>LACA BASE AGUA</v>
          </cell>
        </row>
        <row r="6889">
          <cell r="A6889" t="str">
            <v>E-75051</v>
          </cell>
          <cell r="E6889" t="str">
            <v>FONDO DE POLIURETANO</v>
          </cell>
        </row>
        <row r="6890">
          <cell r="A6890" t="str">
            <v>E-75054</v>
          </cell>
          <cell r="E6890" t="str">
            <v>FONDO DE POLIURETANO</v>
          </cell>
        </row>
        <row r="6891">
          <cell r="A6891" t="str">
            <v>E-75121</v>
          </cell>
          <cell r="E6891" t="str">
            <v>SOLVENTES INDUSTRIALES</v>
          </cell>
        </row>
        <row r="6892">
          <cell r="A6892" t="str">
            <v>E-75141</v>
          </cell>
          <cell r="E6892" t="str">
            <v>TINTAS BASE SOLVENTE P/MADERA</v>
          </cell>
        </row>
        <row r="6893">
          <cell r="A6893" t="str">
            <v>E-75144</v>
          </cell>
          <cell r="E6893" t="str">
            <v>TINTAS BASE SOLVENTE P/MADERA</v>
          </cell>
        </row>
        <row r="6894">
          <cell r="A6894" t="str">
            <v>E-75151</v>
          </cell>
          <cell r="E6894" t="str">
            <v>TINTAS BASE SOLVENTE P/MADERA</v>
          </cell>
        </row>
        <row r="6895">
          <cell r="A6895" t="str">
            <v>E-75154</v>
          </cell>
          <cell r="E6895" t="str">
            <v>TINTAS BASE SOLVENTE P/MADERA</v>
          </cell>
        </row>
        <row r="6896">
          <cell r="A6896" t="str">
            <v>E-75161</v>
          </cell>
          <cell r="E6896" t="str">
            <v>TINTAS AL ACEITE P/MADERA</v>
          </cell>
        </row>
        <row r="6897">
          <cell r="A6897" t="str">
            <v>E-75164</v>
          </cell>
          <cell r="E6897" t="str">
            <v>TINTAS AL ACEITE P/MADERA</v>
          </cell>
        </row>
        <row r="6898">
          <cell r="A6898" t="str">
            <v>E-75171</v>
          </cell>
          <cell r="E6898" t="str">
            <v>TINTAS AL ACEITE P/MADERA</v>
          </cell>
        </row>
        <row r="6899">
          <cell r="A6899" t="str">
            <v>E-75174</v>
          </cell>
          <cell r="E6899" t="str">
            <v>TINTAS AL ACEITE P/MADERA</v>
          </cell>
        </row>
        <row r="6900">
          <cell r="A6900" t="str">
            <v>E-75184</v>
          </cell>
          <cell r="E6900" t="str">
            <v>TINTAS AL ACEITE P/MADERA</v>
          </cell>
        </row>
        <row r="6901">
          <cell r="A6901" t="str">
            <v>E-75191</v>
          </cell>
          <cell r="E6901" t="str">
            <v>TINTAS AL ACEITE P/MADERA</v>
          </cell>
        </row>
        <row r="6902">
          <cell r="A6902" t="str">
            <v>E-75193</v>
          </cell>
          <cell r="E6902" t="str">
            <v>TINTAS AL ACEITE P/MADERA</v>
          </cell>
        </row>
        <row r="6903">
          <cell r="A6903" t="str">
            <v>E-75194</v>
          </cell>
          <cell r="E6903" t="str">
            <v>TINTAS AL ACEITE P/MADERA</v>
          </cell>
        </row>
        <row r="6904">
          <cell r="A6904" t="str">
            <v>E-75221</v>
          </cell>
          <cell r="E6904" t="str">
            <v>FONDO DE NITROCELULOSA</v>
          </cell>
        </row>
        <row r="6905">
          <cell r="A6905" t="str">
            <v>E-75420</v>
          </cell>
          <cell r="E6905" t="str">
            <v>SELLADORES DE NITRO ECONOMICOS</v>
          </cell>
        </row>
        <row r="6906">
          <cell r="A6906" t="str">
            <v>E-75421</v>
          </cell>
          <cell r="E6906" t="str">
            <v>SELLADORES DE NITRO ECONOMICOS</v>
          </cell>
        </row>
        <row r="6907">
          <cell r="A6907" t="str">
            <v>E-75423</v>
          </cell>
          <cell r="E6907" t="str">
            <v>SELLADORES DE NITRO ECONOMICOS</v>
          </cell>
        </row>
        <row r="6908">
          <cell r="A6908" t="str">
            <v>E-75424</v>
          </cell>
          <cell r="E6908" t="str">
            <v>SELLADORES DE NITRO ECONOMICOS</v>
          </cell>
        </row>
        <row r="6909">
          <cell r="A6909" t="str">
            <v>E-75431</v>
          </cell>
          <cell r="E6909" t="str">
            <v>LACA NITRO TRANSPARENTE SIGLO</v>
          </cell>
        </row>
        <row r="6910">
          <cell r="A6910" t="str">
            <v>E-75471</v>
          </cell>
          <cell r="E6910" t="str">
            <v>BARNIZ DE POLIURETANO SIGLO</v>
          </cell>
        </row>
        <row r="6911">
          <cell r="A6911" t="str">
            <v>E-75521</v>
          </cell>
          <cell r="E6911" t="str">
            <v>LACA NITRO INDUSTRIAL</v>
          </cell>
        </row>
        <row r="6912">
          <cell r="A6912" t="str">
            <v>E-75581</v>
          </cell>
          <cell r="E6912" t="str">
            <v>LACA NITRO INDUSTRIAL</v>
          </cell>
        </row>
        <row r="6913">
          <cell r="A6913" t="str">
            <v>E-75623</v>
          </cell>
          <cell r="E6913" t="str">
            <v>FONDO DE NITROCELULOSA</v>
          </cell>
        </row>
        <row r="6914">
          <cell r="A6914" t="str">
            <v>E-75661</v>
          </cell>
          <cell r="E6914" t="str">
            <v>SELLADORES DE NITROCELULOSA</v>
          </cell>
        </row>
        <row r="6915">
          <cell r="A6915" t="str">
            <v>E-75663</v>
          </cell>
          <cell r="E6915" t="str">
            <v>SELLADORES DE NITROCELULOSA</v>
          </cell>
        </row>
        <row r="6916">
          <cell r="A6916" t="str">
            <v>E-75664</v>
          </cell>
          <cell r="E6916" t="str">
            <v>SELLADORES DE NITROCELULOSA</v>
          </cell>
        </row>
        <row r="6917">
          <cell r="A6917" t="str">
            <v>E-75670</v>
          </cell>
          <cell r="E6917" t="str">
            <v>LACA ACRILICA</v>
          </cell>
        </row>
        <row r="6918">
          <cell r="A6918" t="str">
            <v>E-75690</v>
          </cell>
          <cell r="E6918" t="str">
            <v>LACA NITRO TRANSPARENTE SIGLO</v>
          </cell>
        </row>
        <row r="6919">
          <cell r="A6919" t="str">
            <v>E-75701</v>
          </cell>
          <cell r="E6919" t="str">
            <v>SELLADORES DE NITROCELULOSA</v>
          </cell>
        </row>
        <row r="6920">
          <cell r="A6920" t="str">
            <v>E-75821</v>
          </cell>
          <cell r="E6920" t="str">
            <v>FONDO DE POLIURETANO</v>
          </cell>
        </row>
        <row r="6921">
          <cell r="A6921" t="str">
            <v>E-75830</v>
          </cell>
          <cell r="E6921" t="str">
            <v>SELLADORES DE NITROCELULOSA</v>
          </cell>
        </row>
        <row r="6922">
          <cell r="A6922" t="str">
            <v>E-75831</v>
          </cell>
          <cell r="E6922" t="str">
            <v>SELLADORES DE POLIURETANO</v>
          </cell>
        </row>
        <row r="6923">
          <cell r="A6923" t="str">
            <v>E-75870</v>
          </cell>
          <cell r="E6923" t="str">
            <v>LACA NITRO TRANSPARENTE SIGLO</v>
          </cell>
        </row>
        <row r="6924">
          <cell r="A6924" t="str">
            <v>E-75871</v>
          </cell>
          <cell r="E6924" t="str">
            <v>LACA NITRO TRANSPARENTE SIGLO</v>
          </cell>
        </row>
        <row r="6925">
          <cell r="A6925" t="str">
            <v>E-75901</v>
          </cell>
          <cell r="E6925" t="str">
            <v>ESMALTE ACRILICO</v>
          </cell>
        </row>
        <row r="6926">
          <cell r="A6926" t="str">
            <v>E-75923</v>
          </cell>
          <cell r="E6926" t="str">
            <v>LACA NITRO TRANSPARENTE SIGLO</v>
          </cell>
        </row>
        <row r="6927">
          <cell r="A6927" t="str">
            <v>E-75931</v>
          </cell>
          <cell r="E6927" t="str">
            <v>FONDO DE POLIURETANO</v>
          </cell>
        </row>
        <row r="6928">
          <cell r="A6928" t="str">
            <v>E-76011</v>
          </cell>
          <cell r="E6928" t="str">
            <v>BARNIZ DE POLIURETANO SIGLO</v>
          </cell>
        </row>
        <row r="6929">
          <cell r="A6929" t="str">
            <v>E-76021</v>
          </cell>
          <cell r="E6929" t="str">
            <v>FONDO DE POLIURETANO</v>
          </cell>
        </row>
        <row r="6930">
          <cell r="A6930" t="str">
            <v>E-76051</v>
          </cell>
          <cell r="E6930" t="str">
            <v>TINTAS BASE SOLVENTE P/MADERA</v>
          </cell>
        </row>
        <row r="6931">
          <cell r="A6931" t="str">
            <v>E-76054</v>
          </cell>
          <cell r="E6931" t="str">
            <v>TINTAS BASE SOLVENTE P/MADERA</v>
          </cell>
        </row>
        <row r="6932">
          <cell r="A6932" t="str">
            <v>E-76080</v>
          </cell>
          <cell r="E6932" t="str">
            <v>TINTAS BASE SOLVENTE P/MADERA</v>
          </cell>
        </row>
        <row r="6933">
          <cell r="A6933" t="str">
            <v>E-76140</v>
          </cell>
          <cell r="E6933" t="str">
            <v>FONDO DE POLIURETANO</v>
          </cell>
        </row>
        <row r="6934">
          <cell r="A6934" t="str">
            <v>E-76141</v>
          </cell>
          <cell r="E6934" t="str">
            <v>FONDO DE POLIURETANO</v>
          </cell>
        </row>
        <row r="6935">
          <cell r="A6935" t="str">
            <v>E-76181</v>
          </cell>
          <cell r="E6935" t="str">
            <v>BARNIZ DE POLIURETANO SIGLO</v>
          </cell>
        </row>
        <row r="6936">
          <cell r="A6936" t="str">
            <v>E-76360</v>
          </cell>
          <cell r="E6936" t="str">
            <v>LACA NITRO TRANSPARENTE SIGLO</v>
          </cell>
        </row>
        <row r="6937">
          <cell r="A6937" t="str">
            <v>E-76400</v>
          </cell>
          <cell r="E6937" t="str">
            <v>LACA NITRO TRANSPARENTE SIGLO</v>
          </cell>
        </row>
        <row r="6938">
          <cell r="A6938" t="str">
            <v>E-76421</v>
          </cell>
          <cell r="E6938" t="str">
            <v>BARNIZ DE POLIURETANO SIGLO</v>
          </cell>
        </row>
        <row r="6939">
          <cell r="A6939" t="str">
            <v>E-80591</v>
          </cell>
          <cell r="E6939" t="str">
            <v>VINILICA - PRISASPORT</v>
          </cell>
        </row>
        <row r="6940">
          <cell r="A6940" t="str">
            <v>E-80651</v>
          </cell>
          <cell r="E6940" t="str">
            <v>VINILICA - OTRAS</v>
          </cell>
        </row>
        <row r="6941">
          <cell r="A6941" t="str">
            <v>E-80811</v>
          </cell>
          <cell r="E6941" t="str">
            <v>VINILICA - VINIBAR</v>
          </cell>
        </row>
        <row r="6942">
          <cell r="A6942" t="str">
            <v>E-81481</v>
          </cell>
          <cell r="E6942" t="str">
            <v>FONDOS ARQUITECTONICOS</v>
          </cell>
        </row>
        <row r="6943">
          <cell r="A6943" t="str">
            <v>E-81483</v>
          </cell>
          <cell r="E6943" t="str">
            <v>FONDOS ARQUITECTONICOS</v>
          </cell>
        </row>
        <row r="6944">
          <cell r="A6944" t="str">
            <v>E-81901</v>
          </cell>
          <cell r="E6944" t="str">
            <v>VINILICA - PINTAVIN</v>
          </cell>
        </row>
        <row r="6945">
          <cell r="A6945" t="str">
            <v>E-83001</v>
          </cell>
          <cell r="E6945" t="str">
            <v>VINILICA - MAXIPRISA</v>
          </cell>
        </row>
        <row r="6946">
          <cell r="A6946" t="str">
            <v>E-83021</v>
          </cell>
          <cell r="E6946" t="str">
            <v>VINILICA - MAXIPRISA</v>
          </cell>
        </row>
        <row r="6947">
          <cell r="A6947" t="str">
            <v>E-83070</v>
          </cell>
          <cell r="E6947" t="str">
            <v>TRAFICO BASE AGUA</v>
          </cell>
        </row>
        <row r="6948">
          <cell r="A6948" t="str">
            <v>E-83071</v>
          </cell>
          <cell r="E6948" t="str">
            <v>TRAFICO BASE AGUA</v>
          </cell>
        </row>
        <row r="6949">
          <cell r="A6949" t="str">
            <v>E-83080</v>
          </cell>
          <cell r="E6949" t="str">
            <v>TRAFICO BASE AGUA</v>
          </cell>
        </row>
        <row r="6950">
          <cell r="A6950" t="str">
            <v>E-83081</v>
          </cell>
          <cell r="E6950" t="str">
            <v>TRAFICO BASE AGUA</v>
          </cell>
        </row>
        <row r="6951">
          <cell r="A6951" t="str">
            <v>E-83250</v>
          </cell>
          <cell r="E6951" t="str">
            <v>FONDOS ARQUITECTONICOS</v>
          </cell>
        </row>
        <row r="6952">
          <cell r="A6952" t="str">
            <v>E-83251</v>
          </cell>
          <cell r="E6952" t="str">
            <v>FONDOS ARQUITECTONICOS</v>
          </cell>
        </row>
        <row r="6953">
          <cell r="A6953" t="str">
            <v>E-83253</v>
          </cell>
          <cell r="E6953" t="str">
            <v>FONDOS ARQUITECTONICOS</v>
          </cell>
        </row>
        <row r="6954">
          <cell r="A6954" t="str">
            <v>E-83331</v>
          </cell>
          <cell r="E6954" t="str">
            <v>VINILICA - POLIPRISA</v>
          </cell>
        </row>
        <row r="6955">
          <cell r="A6955" t="str">
            <v>E-83341</v>
          </cell>
          <cell r="E6955" t="str">
            <v>VINILICA - POLIPRISA</v>
          </cell>
        </row>
        <row r="6956">
          <cell r="A6956" t="str">
            <v>E-83471</v>
          </cell>
          <cell r="E6956" t="str">
            <v>VINILICA - POLIPRISA</v>
          </cell>
        </row>
        <row r="6957">
          <cell r="A6957" t="str">
            <v>E-83601</v>
          </cell>
          <cell r="E6957" t="str">
            <v>VINILICA - POLIPRISA</v>
          </cell>
        </row>
        <row r="6958">
          <cell r="A6958" t="str">
            <v>E-84131</v>
          </cell>
          <cell r="E6958" t="str">
            <v>VINILICA - MAXIPRISA</v>
          </cell>
        </row>
        <row r="6959">
          <cell r="A6959" t="str">
            <v>E-84133</v>
          </cell>
          <cell r="E6959" t="str">
            <v>VINILICA - MAXIPRISA</v>
          </cell>
        </row>
        <row r="6960">
          <cell r="A6960" t="str">
            <v>E-84151</v>
          </cell>
          <cell r="E6960" t="str">
            <v>VINILICA - MAXIPRISA</v>
          </cell>
        </row>
        <row r="6961">
          <cell r="A6961" t="str">
            <v>E-84270</v>
          </cell>
          <cell r="E6961" t="str">
            <v>SELLADOR VINILICO H-55</v>
          </cell>
        </row>
        <row r="6962">
          <cell r="A6962" t="str">
            <v>E-84271</v>
          </cell>
          <cell r="E6962" t="str">
            <v>SELLADOR VINILICO H-55</v>
          </cell>
        </row>
        <row r="6963">
          <cell r="A6963" t="str">
            <v>E-84691</v>
          </cell>
          <cell r="E6963" t="str">
            <v>VINILICA - POLIPRISA</v>
          </cell>
        </row>
        <row r="6964">
          <cell r="A6964" t="str">
            <v>E-84781</v>
          </cell>
          <cell r="E6964" t="str">
            <v>FONDOS ARQUITECTONICOS</v>
          </cell>
        </row>
        <row r="6965">
          <cell r="A6965" t="str">
            <v>E-84891</v>
          </cell>
          <cell r="E6965" t="str">
            <v>SELLADOR - VINILICO (RIVI)</v>
          </cell>
        </row>
        <row r="6966">
          <cell r="A6966" t="str">
            <v>E-84911</v>
          </cell>
          <cell r="E6966" t="str">
            <v>VINILICA - POLIPRISA</v>
          </cell>
        </row>
        <row r="6967">
          <cell r="A6967" t="str">
            <v>E-90190</v>
          </cell>
          <cell r="E6967" t="str">
            <v>PRIMARIOS ESTRUCTURALES ALQUID</v>
          </cell>
        </row>
        <row r="6968">
          <cell r="A6968" t="str">
            <v>E-90191</v>
          </cell>
          <cell r="E6968" t="str">
            <v>PRIMARIOS ESTRUCTURALES ALQUID</v>
          </cell>
        </row>
        <row r="6969">
          <cell r="A6969" t="str">
            <v>E-90193</v>
          </cell>
          <cell r="E6969" t="str">
            <v>PRIMARIOS ESTRUCTURALES ALQUID</v>
          </cell>
        </row>
        <row r="6970">
          <cell r="A6970" t="str">
            <v>E-90194</v>
          </cell>
          <cell r="E6970" t="str">
            <v>PRIMARIOS ESTRUCTURALES ALQUID</v>
          </cell>
        </row>
        <row r="6971">
          <cell r="A6971" t="str">
            <v>E-90245</v>
          </cell>
          <cell r="E6971" t="str">
            <v>PRETRATAMIENTO METALICO INDUST</v>
          </cell>
        </row>
        <row r="6972">
          <cell r="A6972" t="str">
            <v>E-90381</v>
          </cell>
          <cell r="E6972" t="str">
            <v>PRIMARIOS ALQUIDALICOS</v>
          </cell>
        </row>
        <row r="6973">
          <cell r="A6973" t="str">
            <v>E-90383</v>
          </cell>
          <cell r="E6973" t="str">
            <v>PRIMARIOS ALQUIDALICOS</v>
          </cell>
        </row>
        <row r="6974">
          <cell r="A6974" t="str">
            <v>E-90384</v>
          </cell>
          <cell r="E6974" t="str">
            <v>PRIMARIOS ALQUIDALICOS</v>
          </cell>
        </row>
        <row r="6975">
          <cell r="A6975" t="str">
            <v>E-95031</v>
          </cell>
          <cell r="E6975" t="str">
            <v>ESMALTE DE HORNEO BASE SOLVENT</v>
          </cell>
        </row>
        <row r="6976">
          <cell r="A6976" t="str">
            <v>E-95050</v>
          </cell>
          <cell r="E6976" t="str">
            <v>ESMALTE DE HORNEO BASE SOLVENT</v>
          </cell>
        </row>
        <row r="6977">
          <cell r="A6977" t="str">
            <v>E-9505TB</v>
          </cell>
          <cell r="E6977" t="str">
            <v>ESMALTE DE HORNEO BASE SOLVENT</v>
          </cell>
        </row>
        <row r="6978">
          <cell r="A6978" t="str">
            <v>E-95110</v>
          </cell>
          <cell r="E6978" t="str">
            <v>ESMALTE DE HORNEO BASE SOLVENT</v>
          </cell>
        </row>
        <row r="6979">
          <cell r="A6979" t="str">
            <v>E-95120</v>
          </cell>
          <cell r="E6979" t="str">
            <v>ESMALTE DE HORNEO BASE SOLVENT</v>
          </cell>
        </row>
        <row r="6980">
          <cell r="A6980" t="str">
            <v>E-95251</v>
          </cell>
          <cell r="E6980" t="str">
            <v>ESMALTE DE HORNEO BASE SOLVENT</v>
          </cell>
        </row>
        <row r="6981">
          <cell r="A6981" t="str">
            <v>E-95270</v>
          </cell>
          <cell r="E6981" t="str">
            <v>PRIMARIOS ESTRUCTURALES ALQUID</v>
          </cell>
        </row>
        <row r="6982">
          <cell r="A6982" t="str">
            <v>E-95391</v>
          </cell>
          <cell r="E6982" t="str">
            <v>PRIMARIOS ESTRUCTURALES ALQUID</v>
          </cell>
        </row>
        <row r="6983">
          <cell r="A6983" t="str">
            <v>E-95874</v>
          </cell>
          <cell r="E6983" t="str">
            <v>PRIMARIOS ESTRUCTURALES ALQUID</v>
          </cell>
        </row>
        <row r="6984">
          <cell r="A6984" t="str">
            <v>E-96120</v>
          </cell>
          <cell r="E6984" t="str">
            <v>ESM SECADO RAPIDO BASE SOLVENT</v>
          </cell>
        </row>
        <row r="6985">
          <cell r="A6985" t="str">
            <v>E-96140</v>
          </cell>
          <cell r="E6985" t="str">
            <v>ESM SECADO RAPIDO BASE SOLVENT</v>
          </cell>
        </row>
        <row r="6986">
          <cell r="A6986" t="str">
            <v>E-96141</v>
          </cell>
          <cell r="E6986" t="str">
            <v>ESM SECADO RAPIDO BASE SOLVENT</v>
          </cell>
        </row>
        <row r="6987">
          <cell r="A6987" t="str">
            <v>E-96181</v>
          </cell>
          <cell r="E6987" t="str">
            <v>PRIMARIOS ESTRUCTURALES ALQUID</v>
          </cell>
        </row>
        <row r="6988">
          <cell r="A6988" t="str">
            <v>E-96183</v>
          </cell>
          <cell r="E6988" t="str">
            <v>PRIMARIOS ESTRUCTURALES ALQUID</v>
          </cell>
        </row>
        <row r="6989">
          <cell r="A6989" t="str">
            <v>E-96184</v>
          </cell>
          <cell r="E6989" t="str">
            <v>PRIMARIOS ESTRUCTURALES ALQUID</v>
          </cell>
        </row>
        <row r="6990">
          <cell r="A6990" t="str">
            <v>E-96220</v>
          </cell>
          <cell r="E6990" t="str">
            <v>ESM SECADO RAPIDO BASE SOLVENT</v>
          </cell>
        </row>
        <row r="6991">
          <cell r="A6991" t="str">
            <v>E-96221</v>
          </cell>
          <cell r="E6991" t="str">
            <v>ESM SECADO RAPIDO BASE SOLVENT</v>
          </cell>
        </row>
        <row r="6992">
          <cell r="A6992" t="str">
            <v>E-96223</v>
          </cell>
          <cell r="E6992" t="str">
            <v>ESM SECADO RAPIDO BASE SOLVENT</v>
          </cell>
        </row>
        <row r="6993">
          <cell r="A6993" t="str">
            <v>E-96350</v>
          </cell>
          <cell r="E6993" t="str">
            <v>ESMALTE DE HORNEO BASE SOLVENT</v>
          </cell>
        </row>
        <row r="6994">
          <cell r="A6994" t="str">
            <v>E-96471</v>
          </cell>
          <cell r="E6994" t="str">
            <v>ESM SECADO RAPIDO BASE SOLVENT</v>
          </cell>
        </row>
        <row r="6995">
          <cell r="A6995" t="str">
            <v>E-96671</v>
          </cell>
          <cell r="E6995" t="str">
            <v>ESM SECADO RAPIDO BASE SOLVENT</v>
          </cell>
        </row>
        <row r="6996">
          <cell r="A6996" t="str">
            <v>E-96880</v>
          </cell>
          <cell r="E6996" t="str">
            <v>ESMALTE DE HORNEO BASE SOLVENT</v>
          </cell>
        </row>
        <row r="6997">
          <cell r="A6997" t="str">
            <v>E-96881</v>
          </cell>
          <cell r="E6997" t="str">
            <v>ESMALTE DE HORNEO BASE SOLVENT</v>
          </cell>
        </row>
        <row r="6998">
          <cell r="A6998" t="str">
            <v>E-9709TB</v>
          </cell>
          <cell r="E6998" t="str">
            <v>ESM SECADO RAPIDO BASE SOLVENT</v>
          </cell>
        </row>
        <row r="6999">
          <cell r="A6999" t="str">
            <v>E-97131</v>
          </cell>
          <cell r="E6999" t="str">
            <v>ESM SECADO RAPIDO BASE AGUA</v>
          </cell>
        </row>
        <row r="7000">
          <cell r="A7000" t="str">
            <v>E-97421</v>
          </cell>
          <cell r="E7000" t="str">
            <v>ACABADO MARTILLADO  SR</v>
          </cell>
        </row>
        <row r="7001">
          <cell r="A7001" t="str">
            <v>E-97480</v>
          </cell>
          <cell r="E7001" t="str">
            <v>ESMALTE DE HORNEO BASE SOLVENT</v>
          </cell>
        </row>
        <row r="7002">
          <cell r="A7002" t="str">
            <v>E-97630</v>
          </cell>
          <cell r="E7002" t="str">
            <v>ESM SECADO RAPIDO BASE SOLVENT</v>
          </cell>
        </row>
        <row r="7003">
          <cell r="A7003" t="str">
            <v>E-97633</v>
          </cell>
          <cell r="E7003" t="str">
            <v>ESM SECADO RAPIDO BASE SOLVENT</v>
          </cell>
        </row>
        <row r="7004">
          <cell r="A7004" t="str">
            <v>E-97753</v>
          </cell>
          <cell r="E7004" t="str">
            <v>PRETRATAMIENTO METALICO INDUST</v>
          </cell>
        </row>
        <row r="7005">
          <cell r="A7005" t="str">
            <v>E-97843</v>
          </cell>
          <cell r="E7005" t="str">
            <v>OTROS ACABADOS INDUSTRIALES</v>
          </cell>
        </row>
        <row r="7006">
          <cell r="A7006" t="str">
            <v>E-98010</v>
          </cell>
          <cell r="E7006" t="str">
            <v>ESMALTE DE HORNEO BASE SOLVENT</v>
          </cell>
        </row>
        <row r="7007">
          <cell r="A7007" t="str">
            <v>E-98080</v>
          </cell>
          <cell r="E7007" t="str">
            <v>ESMALTE DE HORNEO BASE SOLVENT</v>
          </cell>
        </row>
        <row r="7008">
          <cell r="A7008" t="str">
            <v>E-98421</v>
          </cell>
          <cell r="E7008" t="str">
            <v>ESM SECADO RAPIDO BASE SOLVENT</v>
          </cell>
        </row>
        <row r="7009">
          <cell r="A7009" t="str">
            <v>E-98430</v>
          </cell>
          <cell r="E7009" t="str">
            <v>ESM SECADO RAPIDO BASE SOLVENT</v>
          </cell>
        </row>
        <row r="7010">
          <cell r="A7010" t="str">
            <v>E-98650</v>
          </cell>
          <cell r="E7010" t="str">
            <v>ESMALTE DE HORNEO BASE SOLVENT</v>
          </cell>
        </row>
        <row r="7011">
          <cell r="A7011" t="str">
            <v>E-98670</v>
          </cell>
          <cell r="E7011" t="str">
            <v>ESMALTE DE HORNEO BASE SOLVENT</v>
          </cell>
        </row>
        <row r="7012">
          <cell r="A7012" t="str">
            <v>E-98781</v>
          </cell>
          <cell r="E7012" t="str">
            <v>ESM SECADO RAPIDO BASE SOLVENT</v>
          </cell>
        </row>
        <row r="7013">
          <cell r="A7013" t="str">
            <v>E-98833</v>
          </cell>
          <cell r="E7013" t="str">
            <v>OTROS ACABADOS INDUSTRIALES</v>
          </cell>
        </row>
        <row r="7014">
          <cell r="A7014" t="str">
            <v>E-98940</v>
          </cell>
          <cell r="E7014" t="str">
            <v>ESMALTE DE HORNEO BASE SOLVENT</v>
          </cell>
        </row>
        <row r="7015">
          <cell r="A7015" t="str">
            <v>E-99230</v>
          </cell>
          <cell r="E7015" t="str">
            <v>ESMALTE DE HORNEO BASE SOLVENT</v>
          </cell>
        </row>
        <row r="7016">
          <cell r="A7016" t="str">
            <v>E-99241</v>
          </cell>
          <cell r="E7016" t="str">
            <v>ESM SECADO RAPIDO BASE SOLVENT</v>
          </cell>
        </row>
        <row r="7017">
          <cell r="A7017" t="str">
            <v>E-99243</v>
          </cell>
          <cell r="E7017" t="str">
            <v>ESM SECADO RAPIDO BASE SOLVENT</v>
          </cell>
        </row>
        <row r="7018">
          <cell r="A7018" t="str">
            <v>E-99244</v>
          </cell>
          <cell r="E7018" t="str">
            <v>ESM SECADO RAPIDO BASE SOLVENT</v>
          </cell>
        </row>
        <row r="7019">
          <cell r="A7019" t="str">
            <v>E-99250</v>
          </cell>
          <cell r="E7019" t="str">
            <v>ESMALTE DE HORNEO BASE SOLVENT</v>
          </cell>
        </row>
        <row r="7020">
          <cell r="A7020" t="str">
            <v>E-99330</v>
          </cell>
          <cell r="E7020" t="str">
            <v>OTROS ACABADOS INDUSTRIALES</v>
          </cell>
        </row>
        <row r="7021">
          <cell r="A7021" t="str">
            <v>E-99331</v>
          </cell>
          <cell r="E7021" t="str">
            <v>OTROS ACABADOS INDUSTRIALES</v>
          </cell>
        </row>
        <row r="7022">
          <cell r="A7022" t="str">
            <v>E-99390</v>
          </cell>
          <cell r="E7022" t="str">
            <v>ESMALTE DE HORNEO BASE SOLVENT</v>
          </cell>
        </row>
        <row r="7023">
          <cell r="A7023" t="str">
            <v>EAG-10004</v>
          </cell>
          <cell r="E7023" t="str">
            <v>ESMALTE ALQUIDALICO GLOSI</v>
          </cell>
        </row>
        <row r="7024">
          <cell r="A7024" t="str">
            <v>EAG-10005</v>
          </cell>
          <cell r="E7024" t="str">
            <v>ESMALTE ALQUIDALICO GLOSI</v>
          </cell>
        </row>
        <row r="7025">
          <cell r="A7025" t="str">
            <v>EAG-10006</v>
          </cell>
          <cell r="E7025" t="str">
            <v>ESMALTE ALQUIDALICO GLOSI</v>
          </cell>
        </row>
        <row r="7026">
          <cell r="A7026" t="str">
            <v>EAG-10134</v>
          </cell>
          <cell r="E7026" t="str">
            <v>ESMALTE ALQUIDALICO GLOSI</v>
          </cell>
        </row>
        <row r="7027">
          <cell r="A7027" t="str">
            <v>EAG-10135</v>
          </cell>
          <cell r="E7027" t="str">
            <v>ESMALTE ALQUIDALICO GLOSI</v>
          </cell>
        </row>
        <row r="7028">
          <cell r="A7028" t="str">
            <v>EAG-10136</v>
          </cell>
          <cell r="E7028" t="str">
            <v>ESMALTE ALQUIDALICO GLOSI</v>
          </cell>
        </row>
        <row r="7029">
          <cell r="A7029" t="str">
            <v>EAG-10264</v>
          </cell>
          <cell r="E7029" t="str">
            <v>ESMALTE ALQUIDALICO GLOSI</v>
          </cell>
        </row>
        <row r="7030">
          <cell r="A7030" t="str">
            <v>EAG-10265</v>
          </cell>
          <cell r="E7030" t="str">
            <v>ESMALTE ALQUIDALICO GLOSI</v>
          </cell>
        </row>
        <row r="7031">
          <cell r="A7031" t="str">
            <v>EAG-10266</v>
          </cell>
          <cell r="E7031" t="str">
            <v>ESMALTE ALQUIDALICO GLOSI</v>
          </cell>
        </row>
        <row r="7032">
          <cell r="A7032" t="str">
            <v>EAG-10454</v>
          </cell>
          <cell r="E7032" t="str">
            <v>ESMALTE ALQUIDALICO GLOSI</v>
          </cell>
        </row>
        <row r="7033">
          <cell r="A7033" t="str">
            <v>EAG-10455</v>
          </cell>
          <cell r="E7033" t="str">
            <v>ESMALTE ALQUIDALICO GLOSI</v>
          </cell>
        </row>
        <row r="7034">
          <cell r="A7034" t="str">
            <v>EAG-10456</v>
          </cell>
          <cell r="E7034" t="str">
            <v>ESMALTE ALQUIDALICO GLOSI</v>
          </cell>
        </row>
        <row r="7035">
          <cell r="A7035" t="str">
            <v>EAG-10564</v>
          </cell>
          <cell r="E7035" t="str">
            <v>ESMALTE ALQUIDALICO GLOSI</v>
          </cell>
        </row>
        <row r="7036">
          <cell r="A7036" t="str">
            <v>EAG-10565</v>
          </cell>
          <cell r="E7036" t="str">
            <v>ESMALTE ALQUIDALICO GLOSI</v>
          </cell>
        </row>
        <row r="7037">
          <cell r="A7037" t="str">
            <v>EAG-10566</v>
          </cell>
          <cell r="E7037" t="str">
            <v>ESMALTE ALQUIDALICO GLOSI</v>
          </cell>
        </row>
        <row r="7038">
          <cell r="A7038" t="str">
            <v>EAG-10654</v>
          </cell>
          <cell r="E7038" t="str">
            <v>ESMALTE ALQUIDALICO GLOSI</v>
          </cell>
        </row>
        <row r="7039">
          <cell r="A7039" t="str">
            <v>EAG-10655</v>
          </cell>
          <cell r="E7039" t="str">
            <v>ESMALTE ALQUIDALICO GLOSI</v>
          </cell>
        </row>
        <row r="7040">
          <cell r="A7040" t="str">
            <v>EAG-10656</v>
          </cell>
          <cell r="E7040" t="str">
            <v>ESMALTE ALQUIDALICO GLOSI</v>
          </cell>
        </row>
        <row r="7041">
          <cell r="A7041" t="str">
            <v>EAG-10774</v>
          </cell>
          <cell r="E7041" t="str">
            <v>ESMALTE ALQUIDALICO GLOSI</v>
          </cell>
        </row>
        <row r="7042">
          <cell r="A7042" t="str">
            <v>EAG-10775</v>
          </cell>
          <cell r="E7042" t="str">
            <v>ESMALTE ALQUIDALICO GLOSI</v>
          </cell>
        </row>
        <row r="7043">
          <cell r="A7043" t="str">
            <v>EAG-10776</v>
          </cell>
          <cell r="E7043" t="str">
            <v>ESMALTE ALQUIDALICO GLOSI</v>
          </cell>
        </row>
        <row r="7044">
          <cell r="A7044" t="str">
            <v>EAG-10994</v>
          </cell>
          <cell r="E7044" t="str">
            <v>ESMALTE ALQUIDALICO GLOSI</v>
          </cell>
        </row>
        <row r="7045">
          <cell r="A7045" t="str">
            <v>EAG-10995</v>
          </cell>
          <cell r="E7045" t="str">
            <v>ESMALTE ALQUIDALICO GLOSI</v>
          </cell>
        </row>
        <row r="7046">
          <cell r="A7046" t="str">
            <v>EAG-10996</v>
          </cell>
          <cell r="E7046" t="str">
            <v>ESMALTE ALQUIDALICO GLOSI</v>
          </cell>
        </row>
        <row r="7047">
          <cell r="A7047" t="str">
            <v>ES-00021</v>
          </cell>
          <cell r="E7047" t="str">
            <v>ESMALTE DE HORNEO BASE SOLVENT</v>
          </cell>
        </row>
        <row r="7048">
          <cell r="A7048" t="str">
            <v>ES-00031</v>
          </cell>
          <cell r="E7048" t="str">
            <v>ESM SECADO RAPIDO BASE SOLVENT</v>
          </cell>
        </row>
        <row r="7049">
          <cell r="A7049" t="str">
            <v>ES-00033</v>
          </cell>
          <cell r="E7049" t="str">
            <v>ESM SECADO RAPIDO BASE SOLVENT</v>
          </cell>
        </row>
        <row r="7050">
          <cell r="A7050" t="str">
            <v>ES-00034</v>
          </cell>
          <cell r="E7050" t="str">
            <v>ESM SECADO RAPIDO BASE SOLVENT</v>
          </cell>
        </row>
        <row r="7051">
          <cell r="A7051" t="str">
            <v>ES-00200</v>
          </cell>
          <cell r="E7051" t="str">
            <v>ESMALTE DE HORNEO BASE SOLVENT</v>
          </cell>
        </row>
        <row r="7052">
          <cell r="A7052" t="str">
            <v>ES-00210</v>
          </cell>
          <cell r="E7052" t="str">
            <v>ESMALTE DE HORNEO BASE SOLVENT</v>
          </cell>
        </row>
        <row r="7053">
          <cell r="A7053" t="str">
            <v>ES-00221</v>
          </cell>
          <cell r="E7053" t="str">
            <v>ESM SECADO RAPIDO BASE SOLVENT</v>
          </cell>
        </row>
        <row r="7054">
          <cell r="A7054" t="str">
            <v>ES-00320</v>
          </cell>
          <cell r="E7054" t="str">
            <v>ESMALTE DE HORNEO BASE SOLVENT</v>
          </cell>
        </row>
        <row r="7055">
          <cell r="A7055" t="str">
            <v>ES-00341</v>
          </cell>
          <cell r="E7055" t="str">
            <v>ESMALTE DE HORNEO BASE SOLVENT</v>
          </cell>
        </row>
        <row r="7056">
          <cell r="A7056" t="str">
            <v>ES-00361</v>
          </cell>
          <cell r="E7056" t="str">
            <v>ESM SECADO RAPIDO BASE SOLVENT</v>
          </cell>
        </row>
        <row r="7057">
          <cell r="A7057" t="str">
            <v>ES-00380</v>
          </cell>
          <cell r="E7057" t="str">
            <v>ESMALTE DE HORNEO BASE SOLVENT</v>
          </cell>
        </row>
        <row r="7058">
          <cell r="A7058" t="str">
            <v>ES-00410</v>
          </cell>
          <cell r="E7058" t="str">
            <v>ESMALTE DE HORNEO BASE SOLVENT</v>
          </cell>
        </row>
        <row r="7059">
          <cell r="A7059" t="str">
            <v>ES-00590</v>
          </cell>
          <cell r="E7059" t="str">
            <v>ESMALTE DE HORNEO BASE SOLVENT</v>
          </cell>
        </row>
        <row r="7060">
          <cell r="A7060" t="str">
            <v>ES-00600</v>
          </cell>
          <cell r="E7060" t="str">
            <v>ESMALTE DE HORNEO BASE SOLVENT</v>
          </cell>
        </row>
        <row r="7061">
          <cell r="A7061" t="str">
            <v>ES-00670</v>
          </cell>
          <cell r="E7061" t="str">
            <v>ESMALTE DE HORNEO BASE SOLVENT</v>
          </cell>
        </row>
        <row r="7062">
          <cell r="A7062" t="str">
            <v>ES-00780</v>
          </cell>
          <cell r="E7062" t="str">
            <v>ESMALTE DE HORNEO BASE SOLVENT</v>
          </cell>
        </row>
        <row r="7063">
          <cell r="A7063" t="str">
            <v>ES-00781</v>
          </cell>
          <cell r="E7063" t="str">
            <v>ESMALTE DE HORNEO BASE SOLVENT</v>
          </cell>
        </row>
        <row r="7064">
          <cell r="A7064" t="str">
            <v>ES-00830</v>
          </cell>
          <cell r="E7064" t="str">
            <v>ACABADO MARTILLADO  SR</v>
          </cell>
        </row>
        <row r="7065">
          <cell r="A7065" t="str">
            <v>ES-00840</v>
          </cell>
          <cell r="E7065" t="str">
            <v>ACABADO MARTILLADO  SR</v>
          </cell>
        </row>
        <row r="7066">
          <cell r="A7066" t="str">
            <v>ES-00920</v>
          </cell>
          <cell r="E7066" t="str">
            <v>ESMALTE DE HORNEO BASE SOLVENT</v>
          </cell>
        </row>
        <row r="7067">
          <cell r="A7067" t="str">
            <v>ES-00931</v>
          </cell>
          <cell r="E7067" t="str">
            <v>ESM SECADO RAPIDO BASE SOLVENT</v>
          </cell>
        </row>
        <row r="7068">
          <cell r="A7068" t="str">
            <v>ES-00950</v>
          </cell>
          <cell r="E7068" t="str">
            <v>ESMALTE DE HORNEO BASE SOLVENT</v>
          </cell>
        </row>
        <row r="7069">
          <cell r="A7069" t="str">
            <v>ES-01030</v>
          </cell>
          <cell r="E7069" t="str">
            <v>ESMALTE DE HORNEO BASE SOLVENT</v>
          </cell>
        </row>
        <row r="7070">
          <cell r="A7070" t="str">
            <v>ES-01070</v>
          </cell>
          <cell r="E7070" t="str">
            <v>ESM SECADO RAPIDO BASE SOLVENT</v>
          </cell>
        </row>
        <row r="7071">
          <cell r="A7071" t="str">
            <v>ES-01171</v>
          </cell>
          <cell r="E7071" t="str">
            <v>OTROS ACABADOS INDUSTRIALES</v>
          </cell>
        </row>
        <row r="7072">
          <cell r="A7072" t="str">
            <v>ES-01181</v>
          </cell>
          <cell r="E7072" t="str">
            <v>ESM SECADO RAPIDO BASE SOLVENT</v>
          </cell>
        </row>
        <row r="7073">
          <cell r="A7073" t="str">
            <v>ES-01210</v>
          </cell>
          <cell r="E7073" t="str">
            <v>ESMALTE DE HORNEO BASE SOLVENT</v>
          </cell>
        </row>
        <row r="7074">
          <cell r="A7074" t="str">
            <v>ES-01280</v>
          </cell>
          <cell r="E7074" t="str">
            <v>ACABADOS ALQUIDALICOS</v>
          </cell>
        </row>
        <row r="7075">
          <cell r="A7075" t="str">
            <v>ES-01281</v>
          </cell>
          <cell r="E7075" t="str">
            <v>ACABADOS ALQUIDALICOS</v>
          </cell>
        </row>
        <row r="7076">
          <cell r="A7076" t="str">
            <v>ES-01370</v>
          </cell>
          <cell r="E7076" t="str">
            <v>ESM SECADO RAPIDO BASE SOLVENT</v>
          </cell>
        </row>
        <row r="7077">
          <cell r="A7077" t="str">
            <v>ES-01410</v>
          </cell>
          <cell r="E7077" t="str">
            <v>ESMALTE DE HORNEO BASE SOLVENT</v>
          </cell>
        </row>
        <row r="7078">
          <cell r="A7078" t="str">
            <v>ES-01470</v>
          </cell>
          <cell r="E7078" t="str">
            <v>PINTURA PARA TRAFICO</v>
          </cell>
        </row>
        <row r="7079">
          <cell r="A7079" t="str">
            <v>ES-01471</v>
          </cell>
          <cell r="E7079" t="str">
            <v>PINTURA PARA TRAFICO</v>
          </cell>
        </row>
        <row r="7080">
          <cell r="A7080" t="str">
            <v>ES-01500</v>
          </cell>
          <cell r="E7080" t="str">
            <v>PINTURA PARA TRAFICO</v>
          </cell>
        </row>
        <row r="7081">
          <cell r="A7081" t="str">
            <v>ES-01501</v>
          </cell>
          <cell r="E7081" t="str">
            <v>PINTURA PARA TRAFICO</v>
          </cell>
        </row>
        <row r="7082">
          <cell r="A7082" t="str">
            <v>ES-01551</v>
          </cell>
          <cell r="E7082" t="str">
            <v>PRIMARIOS ESTRUCTURALES ALQUID</v>
          </cell>
        </row>
        <row r="7083">
          <cell r="A7083" t="str">
            <v>ES-01583</v>
          </cell>
          <cell r="E7083" t="str">
            <v>ESM SECADO RAPIDO BASE SOLVENT</v>
          </cell>
        </row>
        <row r="7084">
          <cell r="A7084" t="str">
            <v>ES-01740</v>
          </cell>
          <cell r="E7084" t="str">
            <v>ESMALTE DE HORNEO BASE SOLVENT</v>
          </cell>
        </row>
        <row r="7085">
          <cell r="A7085" t="str">
            <v>ES-01741</v>
          </cell>
          <cell r="E7085" t="str">
            <v>ESMALTE DE HORNEO BASE SOLVENT</v>
          </cell>
        </row>
        <row r="7086">
          <cell r="A7086" t="str">
            <v>ES-01930</v>
          </cell>
          <cell r="E7086" t="str">
            <v>PINTURA PARA TRAFICO</v>
          </cell>
        </row>
        <row r="7087">
          <cell r="A7087" t="str">
            <v>ES-01931</v>
          </cell>
          <cell r="E7087" t="str">
            <v>PINTURA PARA TRAFICO</v>
          </cell>
        </row>
        <row r="7088">
          <cell r="A7088" t="str">
            <v>ES-02010</v>
          </cell>
          <cell r="E7088" t="str">
            <v>PRIMARIOS ESTRUCTURALES ALQUID</v>
          </cell>
        </row>
        <row r="7089">
          <cell r="A7089" t="str">
            <v>ES-02011</v>
          </cell>
          <cell r="E7089" t="str">
            <v>PRIMARIOS ESTRUCTURALES ALQUID</v>
          </cell>
        </row>
        <row r="7090">
          <cell r="A7090" t="str">
            <v>ES-02013</v>
          </cell>
          <cell r="E7090" t="str">
            <v>PRIMARIOS ESTRUCTURALES ALQUID</v>
          </cell>
        </row>
        <row r="7091">
          <cell r="A7091" t="str">
            <v>ES-02040</v>
          </cell>
          <cell r="E7091" t="str">
            <v>PRIMARIOS ESTRUCTURALES ALQUID</v>
          </cell>
        </row>
        <row r="7092">
          <cell r="A7092" t="str">
            <v>ES-02041</v>
          </cell>
          <cell r="E7092" t="str">
            <v>PRIMARIOS ESTRUCTURALES ALQUID</v>
          </cell>
        </row>
        <row r="7093">
          <cell r="A7093" t="str">
            <v>ES-02060</v>
          </cell>
          <cell r="E7093" t="str">
            <v>ESMALTE DE HORNEO BASE SOLVENT</v>
          </cell>
        </row>
        <row r="7094">
          <cell r="A7094" t="str">
            <v>ES-02080</v>
          </cell>
          <cell r="E7094" t="str">
            <v>ESMALTE DE HORNEO BASE SOLVENT</v>
          </cell>
        </row>
        <row r="7095">
          <cell r="A7095" t="str">
            <v>ES-02110</v>
          </cell>
          <cell r="E7095" t="str">
            <v>ESMALTE DE HORNEO BASE SOLVENT</v>
          </cell>
        </row>
        <row r="7096">
          <cell r="A7096" t="str">
            <v>ES-02140</v>
          </cell>
          <cell r="E7096" t="str">
            <v>PRIMARIOS ESTRUCTURALES ALQUID</v>
          </cell>
        </row>
        <row r="7097">
          <cell r="A7097" t="str">
            <v>ES-02160</v>
          </cell>
          <cell r="E7097" t="str">
            <v>ESMALTE DE HORNEO BASE SOLVENT</v>
          </cell>
        </row>
        <row r="7098">
          <cell r="A7098" t="str">
            <v>ES-02250</v>
          </cell>
          <cell r="E7098" t="str">
            <v>ACABADOS ALQUIDALICOS AF</v>
          </cell>
        </row>
        <row r="7099">
          <cell r="A7099" t="str">
            <v>ES-02260</v>
          </cell>
          <cell r="E7099" t="str">
            <v>ESMALTE DE HORNEO BASE SOLVENT</v>
          </cell>
        </row>
        <row r="7100">
          <cell r="A7100" t="str">
            <v>ES-02303</v>
          </cell>
          <cell r="E7100" t="str">
            <v>OTROS ACABADOS INDUSTRIALES</v>
          </cell>
        </row>
        <row r="7101">
          <cell r="A7101" t="str">
            <v>ES-02331</v>
          </cell>
          <cell r="E7101" t="str">
            <v>ESM SECADO RAPIDO BASE SOLVENT</v>
          </cell>
        </row>
        <row r="7102">
          <cell r="A7102" t="str">
            <v>ES-02390</v>
          </cell>
          <cell r="E7102" t="str">
            <v>ESMALTE DE HORNEO BASE SOLVENT</v>
          </cell>
        </row>
        <row r="7103">
          <cell r="A7103" t="str">
            <v>ES-02430</v>
          </cell>
          <cell r="E7103" t="str">
            <v>ESMALTE DE HORNEO BASE SOLVENT</v>
          </cell>
        </row>
        <row r="7104">
          <cell r="A7104" t="str">
            <v>ES-02441</v>
          </cell>
          <cell r="E7104" t="str">
            <v>ESM SECADO RAPIDO BASE SOLVENT</v>
          </cell>
        </row>
        <row r="7105">
          <cell r="A7105" t="str">
            <v>ES-02450</v>
          </cell>
          <cell r="E7105" t="str">
            <v>ACABADO MARTILLADO  SR</v>
          </cell>
        </row>
        <row r="7106">
          <cell r="A7106" t="str">
            <v>ES-02481</v>
          </cell>
          <cell r="E7106" t="str">
            <v>ESMALTE DE HORNEO BASE SOLVENT</v>
          </cell>
        </row>
        <row r="7107">
          <cell r="A7107" t="str">
            <v>ES-02490</v>
          </cell>
          <cell r="E7107" t="str">
            <v>ESMALTE DE HORNEO BASE SOLVENT</v>
          </cell>
        </row>
        <row r="7108">
          <cell r="A7108" t="str">
            <v>ES-02531</v>
          </cell>
          <cell r="E7108" t="str">
            <v>PINTURA PARA TRAFICO</v>
          </cell>
        </row>
        <row r="7109">
          <cell r="A7109" t="str">
            <v>ES-02630</v>
          </cell>
          <cell r="E7109" t="str">
            <v>ESM SECADO RAPIDO BASE SOLVENT</v>
          </cell>
        </row>
        <row r="7110">
          <cell r="A7110" t="str">
            <v>ES-02701</v>
          </cell>
          <cell r="E7110" t="str">
            <v>ESMALTE DE HORNEO BASE SOLVENT</v>
          </cell>
        </row>
        <row r="7111">
          <cell r="A7111" t="str">
            <v>ES-02711</v>
          </cell>
          <cell r="E7111" t="str">
            <v>ESM SECADO RAPIDO BASE SOLVENT</v>
          </cell>
        </row>
        <row r="7112">
          <cell r="A7112" t="str">
            <v>ES-02850</v>
          </cell>
          <cell r="E7112" t="str">
            <v>ESMALTE DE HORNEO BASE SOLVENT</v>
          </cell>
        </row>
        <row r="7113">
          <cell r="A7113" t="str">
            <v>ES-02870</v>
          </cell>
          <cell r="E7113" t="str">
            <v>ESMALTE DE HORNEO BASE SOLVENT</v>
          </cell>
        </row>
        <row r="7114">
          <cell r="A7114" t="str">
            <v>ES-02881</v>
          </cell>
          <cell r="E7114" t="str">
            <v>PRIMARIOS ESTRUCTURALES ALQUID</v>
          </cell>
        </row>
        <row r="7115">
          <cell r="A7115" t="str">
            <v>ES-02940</v>
          </cell>
          <cell r="E7115" t="str">
            <v>ESMALTE DE HORNEO BASE AGUA</v>
          </cell>
        </row>
        <row r="7116">
          <cell r="A7116" t="str">
            <v>ES-02950</v>
          </cell>
          <cell r="E7116" t="str">
            <v>ESMALTE DE HORNEO BASE SOLVENT</v>
          </cell>
        </row>
        <row r="7117">
          <cell r="A7117" t="str">
            <v>ES-03001</v>
          </cell>
          <cell r="E7117" t="str">
            <v>ESM SECADO RAPIDO BASE SOLVENT</v>
          </cell>
        </row>
        <row r="7118">
          <cell r="A7118" t="str">
            <v>ES-03040</v>
          </cell>
          <cell r="E7118" t="str">
            <v>ESMALTE DE HORNEO BASE SOLVENT</v>
          </cell>
        </row>
        <row r="7119">
          <cell r="A7119" t="str">
            <v>ES-03081</v>
          </cell>
          <cell r="E7119" t="str">
            <v>PRIMARIOS ESTRUCTURALES ALQUID</v>
          </cell>
        </row>
        <row r="7120">
          <cell r="A7120" t="str">
            <v>ES-03090</v>
          </cell>
          <cell r="E7120" t="str">
            <v>PRIMARIOS ESTRUCTURALES ALQUID</v>
          </cell>
        </row>
        <row r="7121">
          <cell r="A7121" t="str">
            <v>ES-03091</v>
          </cell>
          <cell r="E7121" t="str">
            <v>PRIMARIOS ESTRUCTURALES ALQUID</v>
          </cell>
        </row>
        <row r="7122">
          <cell r="A7122" t="str">
            <v>ES-03161</v>
          </cell>
          <cell r="E7122" t="str">
            <v>ESM SECADO RAPIDO BASE SOLVENT</v>
          </cell>
        </row>
        <row r="7123">
          <cell r="A7123" t="str">
            <v>ES-03180</v>
          </cell>
          <cell r="E7123" t="str">
            <v>PRIMARIOS ESTRUCTURALES ALQUID</v>
          </cell>
        </row>
        <row r="7124">
          <cell r="A7124" t="str">
            <v>ES-03250</v>
          </cell>
          <cell r="E7124" t="str">
            <v>PRIMARIOS ESTRUCTURALES ALQUID</v>
          </cell>
        </row>
        <row r="7125">
          <cell r="A7125" t="str">
            <v>ES-03254</v>
          </cell>
          <cell r="E7125" t="str">
            <v>PRIMARIOS ESTRUCTURALES ALQUID</v>
          </cell>
        </row>
        <row r="7126">
          <cell r="A7126" t="str">
            <v>ES-03300</v>
          </cell>
          <cell r="E7126" t="str">
            <v>ESMALTE DE HORNEO BASE SOLVENT</v>
          </cell>
        </row>
        <row r="7127">
          <cell r="A7127" t="str">
            <v>ES-03330</v>
          </cell>
          <cell r="E7127" t="str">
            <v>ESM SECADO RAPIDO BASE SOLVENT</v>
          </cell>
        </row>
        <row r="7128">
          <cell r="A7128" t="str">
            <v>ES-03363</v>
          </cell>
          <cell r="E7128" t="str">
            <v>PINTURA PARA TRAFICO</v>
          </cell>
        </row>
        <row r="7129">
          <cell r="A7129" t="str">
            <v>ES-03401</v>
          </cell>
          <cell r="E7129" t="str">
            <v>PINTURA PARA TRAFICO</v>
          </cell>
        </row>
        <row r="7130">
          <cell r="A7130" t="str">
            <v>ES-03433</v>
          </cell>
          <cell r="E7130" t="str">
            <v>NEGRO CHASIS</v>
          </cell>
        </row>
        <row r="7131">
          <cell r="A7131" t="str">
            <v>ES-03450</v>
          </cell>
          <cell r="E7131" t="str">
            <v>ESMALTE DE HORNEO BASE SOLVENT</v>
          </cell>
        </row>
        <row r="7132">
          <cell r="A7132" t="str">
            <v>ES-03460</v>
          </cell>
          <cell r="E7132" t="str">
            <v>ESMALTE DE HORNEO BASE SOLVENT</v>
          </cell>
        </row>
        <row r="7133">
          <cell r="A7133" t="str">
            <v>ES-03490</v>
          </cell>
          <cell r="E7133" t="str">
            <v>ESMALTE DE HORNEO BASE SOLVENT</v>
          </cell>
        </row>
        <row r="7134">
          <cell r="A7134" t="str">
            <v>ES-03553</v>
          </cell>
          <cell r="E7134" t="str">
            <v>PINTURA PARA TRAFICO</v>
          </cell>
        </row>
        <row r="7135">
          <cell r="A7135" t="str">
            <v>ES-03561</v>
          </cell>
          <cell r="E7135" t="str">
            <v>PINTURA PARA TRAFICO</v>
          </cell>
        </row>
        <row r="7136">
          <cell r="A7136" t="str">
            <v>ES-03571</v>
          </cell>
          <cell r="E7136" t="str">
            <v>PINTURA PARA TRAFICO</v>
          </cell>
        </row>
        <row r="7137">
          <cell r="A7137" t="str">
            <v>ES-03733</v>
          </cell>
          <cell r="E7137" t="str">
            <v>OTROS ACABADOS INDUSTRIALES</v>
          </cell>
        </row>
        <row r="7138">
          <cell r="A7138" t="str">
            <v>ES-0373GL</v>
          </cell>
          <cell r="E7138" t="str">
            <v>OTROS ACABADOS INDUSTRIALES</v>
          </cell>
        </row>
        <row r="7139">
          <cell r="A7139" t="str">
            <v>ES-03753</v>
          </cell>
          <cell r="E7139" t="str">
            <v>LACA BASE AGUA</v>
          </cell>
        </row>
        <row r="7140">
          <cell r="A7140" t="str">
            <v>ES-03771</v>
          </cell>
          <cell r="E7140" t="str">
            <v>OTROS ACABADOS INDUSTRIALES</v>
          </cell>
        </row>
        <row r="7141">
          <cell r="A7141" t="str">
            <v>ES-03781</v>
          </cell>
          <cell r="E7141" t="str">
            <v>ACABADOS ALQUIDALICOS AF</v>
          </cell>
        </row>
        <row r="7142">
          <cell r="A7142" t="str">
            <v>ES-03800</v>
          </cell>
          <cell r="E7142" t="str">
            <v>ESMALTE DE HORNEO BASE SOLVENT</v>
          </cell>
        </row>
        <row r="7143">
          <cell r="A7143" t="str">
            <v>ES-03810</v>
          </cell>
          <cell r="E7143" t="str">
            <v>ESMALTE DE HORNEO BASE SOLVENT</v>
          </cell>
        </row>
        <row r="7144">
          <cell r="A7144" t="str">
            <v>ES-03843</v>
          </cell>
          <cell r="E7144" t="str">
            <v>OTROS ACABADOS INDUSTRIALES</v>
          </cell>
        </row>
        <row r="7145">
          <cell r="A7145" t="str">
            <v>ES-03850</v>
          </cell>
          <cell r="E7145" t="str">
            <v>ESMALTE DE HORNEO BASE SOLVENT</v>
          </cell>
        </row>
        <row r="7146">
          <cell r="A7146" t="str">
            <v>ES-03883</v>
          </cell>
          <cell r="E7146" t="str">
            <v>OTROS ACABADOS INDUSTRIALES</v>
          </cell>
        </row>
        <row r="7147">
          <cell r="A7147" t="str">
            <v>ES-0388GL</v>
          </cell>
          <cell r="E7147" t="str">
            <v>OTROS ACABADOS INDUSTRIALES</v>
          </cell>
        </row>
        <row r="7148">
          <cell r="A7148" t="str">
            <v>ES-03890</v>
          </cell>
          <cell r="E7148" t="str">
            <v>ESMALTE DE HORNEO BASE SOLVENT</v>
          </cell>
        </row>
        <row r="7149">
          <cell r="A7149" t="str">
            <v>ES-03900</v>
          </cell>
          <cell r="E7149" t="str">
            <v>ESMALTE DE HORNEO BASE SOLVENT</v>
          </cell>
        </row>
        <row r="7150">
          <cell r="A7150" t="str">
            <v>ES-03930</v>
          </cell>
          <cell r="E7150" t="str">
            <v>ESMALTE DE HORNEO BASE SOLVENT</v>
          </cell>
        </row>
        <row r="7151">
          <cell r="A7151" t="str">
            <v>ES-03940</v>
          </cell>
          <cell r="E7151" t="str">
            <v>ESMALTE DE HORNEO BASE SOLVENT</v>
          </cell>
        </row>
        <row r="7152">
          <cell r="A7152" t="str">
            <v>ES-03950</v>
          </cell>
          <cell r="E7152" t="str">
            <v>ESMALTE DE HORNEO BASE SOLVENT</v>
          </cell>
        </row>
        <row r="7153">
          <cell r="A7153" t="str">
            <v>ES-03963</v>
          </cell>
          <cell r="E7153" t="str">
            <v>OTROS ACABADOS INDUSTRIALES</v>
          </cell>
        </row>
        <row r="7154">
          <cell r="A7154" t="str">
            <v>ES-03973</v>
          </cell>
          <cell r="E7154" t="str">
            <v>OTROS ACABADOS INDUSTRIALES</v>
          </cell>
        </row>
        <row r="7155">
          <cell r="A7155" t="str">
            <v>ES-0397GL</v>
          </cell>
          <cell r="E7155" t="str">
            <v>OTROS ACABADOS INDUSTRIALES</v>
          </cell>
        </row>
        <row r="7156">
          <cell r="A7156" t="str">
            <v>ES-03990</v>
          </cell>
          <cell r="E7156" t="str">
            <v>ESMALTE DE HORNEO BASE SOLVENT</v>
          </cell>
        </row>
        <row r="7157">
          <cell r="A7157" t="str">
            <v>ES-04003</v>
          </cell>
          <cell r="E7157" t="str">
            <v>OTROS ACABADOS INDUSTRIALES</v>
          </cell>
        </row>
        <row r="7158">
          <cell r="A7158" t="str">
            <v>ES-04011</v>
          </cell>
          <cell r="E7158" t="str">
            <v>OTROS ACABADOS INDUSTRIALES</v>
          </cell>
        </row>
        <row r="7159">
          <cell r="A7159" t="str">
            <v>ES-04013</v>
          </cell>
          <cell r="E7159" t="str">
            <v>OTROS ACABADOS INDUSTRIALES</v>
          </cell>
        </row>
        <row r="7160">
          <cell r="A7160" t="str">
            <v>ES-04021</v>
          </cell>
          <cell r="E7160" t="str">
            <v>ESM SECADO RAPIDO BASE SOLVENT</v>
          </cell>
        </row>
        <row r="7161">
          <cell r="A7161" t="str">
            <v>ES-04103</v>
          </cell>
          <cell r="E7161" t="str">
            <v>OTROS ACABADOS INDUSTRIALES</v>
          </cell>
        </row>
        <row r="7162">
          <cell r="A7162" t="str">
            <v>ES-0410GL</v>
          </cell>
          <cell r="E7162" t="str">
            <v>OTROS ACABADOS INDUSTRIALES</v>
          </cell>
        </row>
        <row r="7163">
          <cell r="A7163" t="str">
            <v>ES-04113</v>
          </cell>
          <cell r="E7163" t="str">
            <v>OTROS ACABADOS INDUSTRIALES</v>
          </cell>
        </row>
        <row r="7164">
          <cell r="A7164" t="str">
            <v>ES-04123</v>
          </cell>
          <cell r="E7164" t="str">
            <v>OTROS ACABADOS INDUSTRIALES</v>
          </cell>
        </row>
        <row r="7165">
          <cell r="A7165" t="str">
            <v>ES-04133</v>
          </cell>
          <cell r="E7165" t="str">
            <v>OTROS ACABADOS INDUSTRIALES</v>
          </cell>
        </row>
        <row r="7166">
          <cell r="A7166" t="str">
            <v>ES-0413GL</v>
          </cell>
          <cell r="E7166" t="str">
            <v>OTROS ACABADOS INDUSTRIALES</v>
          </cell>
        </row>
        <row r="7167">
          <cell r="A7167" t="str">
            <v>ES-04153</v>
          </cell>
          <cell r="E7167" t="str">
            <v>OTROS ACABADOS INDUSTRIALES</v>
          </cell>
        </row>
        <row r="7168">
          <cell r="A7168" t="str">
            <v>ES-04163</v>
          </cell>
          <cell r="E7168" t="str">
            <v>OTROS ACABADOS INDUSTRIALES</v>
          </cell>
        </row>
        <row r="7169">
          <cell r="A7169" t="str">
            <v>ES-04173</v>
          </cell>
          <cell r="E7169" t="str">
            <v>OTROS ACABADOS INDUSTRIALES</v>
          </cell>
        </row>
        <row r="7170">
          <cell r="A7170" t="str">
            <v>ES-0417GL</v>
          </cell>
          <cell r="E7170" t="str">
            <v>OTROS ACABADOS INDUSTRIALES</v>
          </cell>
        </row>
        <row r="7171">
          <cell r="A7171" t="str">
            <v>ES-04183</v>
          </cell>
          <cell r="E7171" t="str">
            <v>OTROS ACABADOS INDUSTRIALES</v>
          </cell>
        </row>
        <row r="7172">
          <cell r="A7172" t="str">
            <v>ES-04193</v>
          </cell>
          <cell r="E7172" t="str">
            <v>OTROS ACABADOS INDUSTRIALES</v>
          </cell>
        </row>
        <row r="7173">
          <cell r="A7173" t="str">
            <v>ES-04203</v>
          </cell>
          <cell r="E7173" t="str">
            <v>OTROS ACABADOS INDUSTRIALES</v>
          </cell>
        </row>
        <row r="7174">
          <cell r="A7174" t="str">
            <v>ES-04220</v>
          </cell>
          <cell r="E7174" t="str">
            <v>PRIMARIOS ESTRUCTURALES ALQUID</v>
          </cell>
        </row>
        <row r="7175">
          <cell r="A7175" t="str">
            <v>ES-04243</v>
          </cell>
          <cell r="E7175" t="str">
            <v>OTROS ACABADOS INDUSTRIALES</v>
          </cell>
        </row>
        <row r="7176">
          <cell r="A7176" t="str">
            <v>ES-0424GL</v>
          </cell>
          <cell r="E7176" t="str">
            <v>OTROS ACABADOS INDUSTRIALES</v>
          </cell>
        </row>
        <row r="7177">
          <cell r="A7177" t="str">
            <v>ES-04260</v>
          </cell>
          <cell r="E7177" t="str">
            <v>ESM SECADO RAPIDO BASE SOLVENT</v>
          </cell>
        </row>
        <row r="7178">
          <cell r="A7178" t="str">
            <v>ES-04281</v>
          </cell>
          <cell r="E7178" t="str">
            <v>PRIMARIOS ESTRUCTURALES ALQUID</v>
          </cell>
        </row>
        <row r="7179">
          <cell r="A7179" t="str">
            <v>ES-04290</v>
          </cell>
          <cell r="E7179" t="str">
            <v>OTROS ACABADOS INDUSTRIALES</v>
          </cell>
        </row>
        <row r="7180">
          <cell r="A7180" t="str">
            <v>ES-04300</v>
          </cell>
          <cell r="E7180" t="str">
            <v>OTROS ACABADOS INDUSTRIALES</v>
          </cell>
        </row>
        <row r="7181">
          <cell r="A7181" t="str">
            <v>ES-04311</v>
          </cell>
          <cell r="E7181" t="str">
            <v>PRIMARIOS ESTRUCTURALES ALQUID</v>
          </cell>
        </row>
        <row r="7182">
          <cell r="A7182" t="str">
            <v>ES-04343</v>
          </cell>
          <cell r="E7182" t="str">
            <v>OTROS ACABADOS INDUSTRIALES</v>
          </cell>
        </row>
        <row r="7183">
          <cell r="A7183" t="str">
            <v>ES-04370</v>
          </cell>
          <cell r="E7183" t="str">
            <v>PRIMARIOS ESTRUCTURALES ALQUID</v>
          </cell>
        </row>
        <row r="7184">
          <cell r="A7184" t="str">
            <v>ES-04371</v>
          </cell>
          <cell r="E7184" t="str">
            <v>PRIMARIOS ESTRUCTURALES ALQUID</v>
          </cell>
        </row>
        <row r="7185">
          <cell r="A7185" t="str">
            <v>ES-04373</v>
          </cell>
          <cell r="E7185" t="str">
            <v>PRIMARIOS ESTRUCTURALES ALQUID</v>
          </cell>
        </row>
        <row r="7186">
          <cell r="A7186" t="str">
            <v>ES-04374</v>
          </cell>
          <cell r="E7186" t="str">
            <v>PRIMARIOS ESTRUCTURALES ALQUID</v>
          </cell>
        </row>
        <row r="7187">
          <cell r="A7187" t="str">
            <v>ES-0437TB</v>
          </cell>
          <cell r="E7187" t="str">
            <v>PRIMARIOS ESTRUCTURALES ALQUID</v>
          </cell>
        </row>
        <row r="7188">
          <cell r="A7188" t="str">
            <v>ES-04403</v>
          </cell>
          <cell r="E7188" t="str">
            <v>OTROS ACABADOS INDUSTRIALES</v>
          </cell>
        </row>
        <row r="7189">
          <cell r="A7189" t="str">
            <v>ES-0440GL</v>
          </cell>
          <cell r="E7189" t="str">
            <v>OTROS ACABADOS INDUSTRIALES</v>
          </cell>
        </row>
        <row r="7190">
          <cell r="A7190" t="str">
            <v>ES-04411</v>
          </cell>
          <cell r="E7190" t="str">
            <v>ESM SECADO RAPIDO BASE AGUA</v>
          </cell>
        </row>
        <row r="7191">
          <cell r="A7191" t="str">
            <v>ES-04440</v>
          </cell>
          <cell r="E7191" t="str">
            <v>ACABADOS ALQUIDALICOS</v>
          </cell>
        </row>
        <row r="7192">
          <cell r="A7192" t="str">
            <v>ES-04441</v>
          </cell>
          <cell r="E7192" t="str">
            <v>ACABADOS ALQUIDALICOS</v>
          </cell>
        </row>
        <row r="7193">
          <cell r="A7193" t="str">
            <v>ES-04461</v>
          </cell>
          <cell r="E7193" t="str">
            <v>OTROS ACABADOS INDUSTRIALES</v>
          </cell>
        </row>
        <row r="7194">
          <cell r="A7194" t="str">
            <v>ES-04501</v>
          </cell>
          <cell r="E7194" t="str">
            <v>ESM SECADO RAPIDO BASE SOLVENT</v>
          </cell>
        </row>
        <row r="7195">
          <cell r="A7195" t="str">
            <v>ES-04530</v>
          </cell>
          <cell r="E7195" t="str">
            <v>ESMALTE DE HORNEO BASE SOLVENT</v>
          </cell>
        </row>
        <row r="7196">
          <cell r="A7196" t="str">
            <v>ES-04543</v>
          </cell>
          <cell r="E7196" t="str">
            <v>OTROS ACABADOS INDUSTRIALES</v>
          </cell>
        </row>
        <row r="7197">
          <cell r="A7197" t="str">
            <v>ES-0454GL</v>
          </cell>
          <cell r="E7197" t="str">
            <v>OTROS ACABADOS INDUSTRIALES</v>
          </cell>
        </row>
        <row r="7198">
          <cell r="A7198" t="str">
            <v>ES-04573</v>
          </cell>
          <cell r="E7198" t="str">
            <v>OTROS ACABADOS INDUSTRIALES</v>
          </cell>
        </row>
        <row r="7199">
          <cell r="A7199" t="str">
            <v>ES-04601</v>
          </cell>
          <cell r="E7199" t="str">
            <v>ESM SECADO RAPIDO BASE AGUA</v>
          </cell>
        </row>
        <row r="7200">
          <cell r="A7200" t="str">
            <v>ES-04651</v>
          </cell>
          <cell r="E7200" t="str">
            <v>OTROS ACABADOS INDUSTRIALES</v>
          </cell>
        </row>
        <row r="7201">
          <cell r="A7201" t="str">
            <v>ES-04683</v>
          </cell>
          <cell r="E7201" t="str">
            <v>OTROS ACABADOS INDUSTRIALES</v>
          </cell>
        </row>
        <row r="7202">
          <cell r="A7202" t="str">
            <v>ES-04691</v>
          </cell>
          <cell r="E7202" t="str">
            <v>PRIMARIOS ESTRUCTURALES ALQUID</v>
          </cell>
        </row>
        <row r="7203">
          <cell r="A7203" t="str">
            <v>ES-04703</v>
          </cell>
          <cell r="E7203" t="str">
            <v>OTROS ACABADOS INDUSTRIALES</v>
          </cell>
        </row>
        <row r="7204">
          <cell r="A7204" t="str">
            <v>ES-04713</v>
          </cell>
          <cell r="E7204" t="str">
            <v>OTROS ACABADOS INDUSTRIALES</v>
          </cell>
        </row>
        <row r="7205">
          <cell r="A7205" t="str">
            <v>ES-04740</v>
          </cell>
          <cell r="E7205" t="str">
            <v>PRIMARIOS ESTRUCTURALES ALQUID</v>
          </cell>
        </row>
        <row r="7206">
          <cell r="A7206" t="str">
            <v>ES-04741</v>
          </cell>
          <cell r="E7206" t="str">
            <v>PRIMARIOS ESTRUCTURALES ALQUID</v>
          </cell>
        </row>
        <row r="7207">
          <cell r="A7207" t="str">
            <v>ES-04751</v>
          </cell>
          <cell r="E7207" t="str">
            <v>ESM SECADO RAPIDO BASE SOLVENT</v>
          </cell>
        </row>
        <row r="7208">
          <cell r="A7208" t="str">
            <v>ES-04803</v>
          </cell>
          <cell r="E7208" t="str">
            <v>OTROS ACABADOS INDUSTRIALES</v>
          </cell>
        </row>
        <row r="7209">
          <cell r="A7209" t="str">
            <v>ES-0480GL</v>
          </cell>
          <cell r="E7209" t="str">
            <v>OTROS ACABADOS INDUSTRIALES</v>
          </cell>
        </row>
        <row r="7210">
          <cell r="A7210" t="str">
            <v>ES-04823</v>
          </cell>
          <cell r="E7210" t="str">
            <v>OTROS ACABADOS INDUSTRIALES</v>
          </cell>
        </row>
        <row r="7211">
          <cell r="A7211" t="str">
            <v>ES-04830</v>
          </cell>
          <cell r="E7211" t="str">
            <v>ESM SECADO RAPIDO BASE SOLVENT</v>
          </cell>
        </row>
        <row r="7212">
          <cell r="A7212" t="str">
            <v>ES-04831</v>
          </cell>
          <cell r="E7212" t="str">
            <v>ESM SECADO RAPIDO BASE SOLVENT</v>
          </cell>
        </row>
        <row r="7213">
          <cell r="A7213" t="str">
            <v>ES-04853</v>
          </cell>
          <cell r="E7213" t="str">
            <v>ESM SECADO RAPIDO BASE SOLVENT</v>
          </cell>
        </row>
        <row r="7214">
          <cell r="A7214" t="str">
            <v>ES-04863</v>
          </cell>
          <cell r="E7214" t="str">
            <v>ESM SECADO RAPIDO BASE SOLVENT</v>
          </cell>
        </row>
        <row r="7215">
          <cell r="A7215" t="str">
            <v>ES-04873</v>
          </cell>
          <cell r="E7215" t="str">
            <v>ESM SECADO RAPIDO BASE SOLVENT</v>
          </cell>
        </row>
        <row r="7216">
          <cell r="A7216" t="str">
            <v>ES-04883</v>
          </cell>
          <cell r="E7216" t="str">
            <v>ESM SECADO RAPIDO BASE SOLVENT</v>
          </cell>
        </row>
        <row r="7217">
          <cell r="A7217" t="str">
            <v>ES-04893</v>
          </cell>
          <cell r="E7217" t="str">
            <v>ESM SECADO RAPIDO BASE SOLVENT</v>
          </cell>
        </row>
        <row r="7218">
          <cell r="A7218" t="str">
            <v>ES-04923</v>
          </cell>
          <cell r="E7218" t="str">
            <v>OTROS ACABADOS INDUSTRIALES</v>
          </cell>
        </row>
        <row r="7219">
          <cell r="A7219" t="str">
            <v>ES-0492GL</v>
          </cell>
          <cell r="E7219" t="str">
            <v>OTROS ACABADOS INDUSTRIALES</v>
          </cell>
        </row>
        <row r="7220">
          <cell r="A7220" t="str">
            <v>ES-04931</v>
          </cell>
          <cell r="E7220" t="str">
            <v>ESM SECADO RAPIDO BASE AGUA</v>
          </cell>
        </row>
        <row r="7221">
          <cell r="A7221" t="str">
            <v>ES-04941</v>
          </cell>
          <cell r="E7221" t="str">
            <v>ESM SECADO RAPIDO BASE AGUA</v>
          </cell>
        </row>
        <row r="7222">
          <cell r="A7222" t="str">
            <v>ES-04951</v>
          </cell>
          <cell r="E7222" t="str">
            <v>ESM SECADO RAPIDO BASE AGUA</v>
          </cell>
        </row>
        <row r="7223">
          <cell r="A7223" t="str">
            <v>ES-05030</v>
          </cell>
          <cell r="E7223" t="str">
            <v>OTROS ACABADOS INDUSTRIALES</v>
          </cell>
        </row>
        <row r="7224">
          <cell r="A7224" t="str">
            <v>ES-05063</v>
          </cell>
          <cell r="E7224" t="str">
            <v>OTROS ACABADOS INDUSTRIALES</v>
          </cell>
        </row>
        <row r="7225">
          <cell r="A7225" t="str">
            <v>ES-0506GL</v>
          </cell>
          <cell r="E7225" t="str">
            <v>OTROS ACABADOS INDUSTRIALES</v>
          </cell>
        </row>
        <row r="7226">
          <cell r="A7226" t="str">
            <v>ES-05083</v>
          </cell>
          <cell r="E7226" t="str">
            <v>OTROS ACABADOS INDUSTRIALES</v>
          </cell>
        </row>
        <row r="7227">
          <cell r="A7227" t="str">
            <v>ES-05090</v>
          </cell>
          <cell r="E7227" t="str">
            <v>ESMALTE DE HORNEO BASE SOLVENT</v>
          </cell>
        </row>
        <row r="7228">
          <cell r="A7228" t="str">
            <v>ES-05110</v>
          </cell>
          <cell r="E7228" t="str">
            <v>PINTURA PARA TRAFICO</v>
          </cell>
        </row>
        <row r="7229">
          <cell r="A7229" t="str">
            <v>ES-05111</v>
          </cell>
          <cell r="E7229" t="str">
            <v>PINTURA PARA TRAFICO</v>
          </cell>
        </row>
        <row r="7230">
          <cell r="A7230" t="str">
            <v>ES-05113</v>
          </cell>
          <cell r="E7230" t="str">
            <v>PINTURA PARA TRAFICO</v>
          </cell>
        </row>
        <row r="7231">
          <cell r="A7231" t="str">
            <v>ES-05114</v>
          </cell>
          <cell r="E7231" t="str">
            <v>PINTURA PARA TRAFICO</v>
          </cell>
        </row>
        <row r="7232">
          <cell r="A7232" t="str">
            <v>ES-05120</v>
          </cell>
          <cell r="E7232" t="str">
            <v>PINTURA PARA TRAFICO</v>
          </cell>
        </row>
        <row r="7233">
          <cell r="A7233" t="str">
            <v>ES-05121</v>
          </cell>
          <cell r="E7233" t="str">
            <v>PINTURA PARA TRAFICO</v>
          </cell>
        </row>
        <row r="7234">
          <cell r="A7234" t="str">
            <v>ES-05123</v>
          </cell>
          <cell r="E7234" t="str">
            <v>PINTURA PARA TRAFICO</v>
          </cell>
        </row>
        <row r="7235">
          <cell r="A7235" t="str">
            <v>ES-05124</v>
          </cell>
          <cell r="E7235" t="str">
            <v>PINTURA PARA TRAFICO</v>
          </cell>
        </row>
        <row r="7236">
          <cell r="A7236" t="str">
            <v>ES-05130</v>
          </cell>
          <cell r="E7236" t="str">
            <v>PRIMARIOS ESTRUCTURALES ALQUID</v>
          </cell>
        </row>
        <row r="7237">
          <cell r="A7237" t="str">
            <v>ES-05131</v>
          </cell>
          <cell r="E7237" t="str">
            <v>PRIMARIOS ESTRUCTURALES ALQUID</v>
          </cell>
        </row>
        <row r="7238">
          <cell r="A7238" t="str">
            <v>ES-05150</v>
          </cell>
          <cell r="E7238" t="str">
            <v>ESM SECADO RAPIDO BASE SOLVENT</v>
          </cell>
        </row>
        <row r="7239">
          <cell r="A7239" t="str">
            <v>ES-05151</v>
          </cell>
          <cell r="E7239" t="str">
            <v>ESM SECADO RAPIDO BASE SOLVENT</v>
          </cell>
        </row>
        <row r="7240">
          <cell r="A7240" t="str">
            <v>ES-05161</v>
          </cell>
          <cell r="E7240" t="str">
            <v>VINILICA - VINIBAR</v>
          </cell>
        </row>
        <row r="7241">
          <cell r="A7241" t="str">
            <v>ES-05171</v>
          </cell>
          <cell r="E7241" t="str">
            <v>VINILICA - VINIBAR</v>
          </cell>
        </row>
        <row r="7242">
          <cell r="A7242" t="str">
            <v>ES-05181</v>
          </cell>
          <cell r="E7242" t="str">
            <v>VINILICA - VINIBAR</v>
          </cell>
        </row>
        <row r="7243">
          <cell r="A7243" t="str">
            <v>ES-05193</v>
          </cell>
          <cell r="E7243" t="str">
            <v>OTROS ACABADOS INDUSTRIALES</v>
          </cell>
        </row>
        <row r="7244">
          <cell r="A7244" t="str">
            <v>ES-05230</v>
          </cell>
          <cell r="E7244" t="str">
            <v>PRIMARIOS ESTRUCTURALES ALQUID</v>
          </cell>
        </row>
        <row r="7245">
          <cell r="A7245" t="str">
            <v>ES-05254</v>
          </cell>
          <cell r="E7245" t="str">
            <v>ESM SECADO RAPIDO BASE SOLVENT</v>
          </cell>
        </row>
        <row r="7246">
          <cell r="A7246" t="str">
            <v>ES-05260</v>
          </cell>
          <cell r="E7246" t="str">
            <v>PRIMARIOS ESTRUCTURALES ALQUID</v>
          </cell>
        </row>
        <row r="7247">
          <cell r="A7247" t="str">
            <v>ES-05281</v>
          </cell>
          <cell r="E7247" t="str">
            <v>ESM SECADO RAPIDO BASE SOLVENT</v>
          </cell>
        </row>
        <row r="7248">
          <cell r="A7248" t="str">
            <v>ES-05283</v>
          </cell>
          <cell r="E7248" t="str">
            <v>ESM SECADO RAPIDO BASE SOLVENT</v>
          </cell>
        </row>
        <row r="7249">
          <cell r="A7249" t="str">
            <v>ES-05284</v>
          </cell>
          <cell r="E7249" t="str">
            <v>ESM SECADO RAPIDO BASE SOLVENT</v>
          </cell>
        </row>
        <row r="7250">
          <cell r="A7250" t="str">
            <v>ES-05290</v>
          </cell>
          <cell r="E7250" t="str">
            <v>PRIMARIOS ESTRUCTURALES ALQUID</v>
          </cell>
        </row>
        <row r="7251">
          <cell r="A7251" t="str">
            <v>ES-05330</v>
          </cell>
          <cell r="E7251" t="str">
            <v>ESMALTE DE HORNEO BASE SOLVENT</v>
          </cell>
        </row>
        <row r="7252">
          <cell r="A7252" t="str">
            <v>ES-05341</v>
          </cell>
          <cell r="E7252" t="str">
            <v>ESM SECADO RAPIDO BASE SOLVENT</v>
          </cell>
        </row>
        <row r="7253">
          <cell r="A7253" t="str">
            <v>ES-05350</v>
          </cell>
          <cell r="E7253" t="str">
            <v>ESMALTE DE HORNEO BASE SOLVENT</v>
          </cell>
        </row>
        <row r="7254">
          <cell r="A7254" t="str">
            <v>ES-05381</v>
          </cell>
          <cell r="E7254" t="str">
            <v>ESM SECADO RAPIDO BASE SOLVENT</v>
          </cell>
        </row>
        <row r="7255">
          <cell r="A7255" t="str">
            <v>ES-05383</v>
          </cell>
          <cell r="E7255" t="str">
            <v>ESM SECADO RAPIDO BASE SOLVENT</v>
          </cell>
        </row>
        <row r="7256">
          <cell r="A7256" t="str">
            <v>ES-05423</v>
          </cell>
          <cell r="E7256" t="str">
            <v>OTROS ACABADOS INDUSTRIALES</v>
          </cell>
        </row>
        <row r="7257">
          <cell r="A7257" t="str">
            <v>ES-05430</v>
          </cell>
          <cell r="E7257" t="str">
            <v>ESM SECADO RAPIDO BASE SOLVENT</v>
          </cell>
        </row>
        <row r="7258">
          <cell r="A7258" t="str">
            <v>ES-05441</v>
          </cell>
          <cell r="E7258" t="str">
            <v>OTROS ACABADOS INDUSTRIALES</v>
          </cell>
        </row>
        <row r="7259">
          <cell r="A7259" t="str">
            <v>ES-05461</v>
          </cell>
          <cell r="E7259" t="str">
            <v>OTROS ACABADOS INDUSTRIALES</v>
          </cell>
        </row>
        <row r="7260">
          <cell r="A7260" t="str">
            <v>ES-05511</v>
          </cell>
          <cell r="E7260" t="str">
            <v>ESM SECADO RAPIDO BASE SOLVENT</v>
          </cell>
        </row>
        <row r="7261">
          <cell r="A7261" t="str">
            <v>ES-05513</v>
          </cell>
          <cell r="E7261" t="str">
            <v>ESM SECADO RAPIDO BASE SOLVENT</v>
          </cell>
        </row>
        <row r="7262">
          <cell r="A7262" t="str">
            <v>ES-05530</v>
          </cell>
          <cell r="E7262" t="str">
            <v>ACABADOS ALQUIDALICOS AF</v>
          </cell>
        </row>
        <row r="7263">
          <cell r="A7263" t="str">
            <v>ES-05531</v>
          </cell>
          <cell r="E7263" t="str">
            <v>ACABADOS ALQUIDALICOS AF</v>
          </cell>
        </row>
        <row r="7264">
          <cell r="A7264" t="str">
            <v>ES-05543</v>
          </cell>
          <cell r="E7264" t="str">
            <v>ESM SECADO RAPIDO BASE SOLVENT</v>
          </cell>
        </row>
        <row r="7265">
          <cell r="A7265" t="str">
            <v>ES-05553</v>
          </cell>
          <cell r="E7265" t="str">
            <v>OTROS ACABADOS INDUSTRIALES</v>
          </cell>
        </row>
        <row r="7266">
          <cell r="A7266" t="str">
            <v>ES-05560</v>
          </cell>
          <cell r="E7266" t="str">
            <v>OTROS ACABADOS INDUSTRIALES</v>
          </cell>
        </row>
        <row r="7267">
          <cell r="A7267" t="str">
            <v>ES-05573</v>
          </cell>
          <cell r="E7267" t="str">
            <v>OTROS ACABADOS INDUSTRIALES</v>
          </cell>
        </row>
        <row r="7268">
          <cell r="A7268" t="str">
            <v>ES-05591</v>
          </cell>
          <cell r="E7268" t="str">
            <v>PRIMARIOS ESTRUCTURALES ALQUID</v>
          </cell>
        </row>
        <row r="7269">
          <cell r="A7269" t="str">
            <v>ES-05620</v>
          </cell>
          <cell r="E7269" t="str">
            <v>OTROS ACABADOS INDUSTRIALES</v>
          </cell>
        </row>
        <row r="7270">
          <cell r="A7270" t="str">
            <v>ES-05621</v>
          </cell>
          <cell r="E7270" t="str">
            <v>OTROS ACABADOS INDUSTRIALES</v>
          </cell>
        </row>
        <row r="7271">
          <cell r="A7271" t="str">
            <v>ES-05633</v>
          </cell>
          <cell r="E7271" t="str">
            <v>PRIMARIOS ESTRUCTURALES ALQUID</v>
          </cell>
        </row>
        <row r="7272">
          <cell r="A7272" t="str">
            <v>ES-05641</v>
          </cell>
          <cell r="E7272" t="str">
            <v>PRIMARIOS ESTRUCTURALES ALQUID</v>
          </cell>
        </row>
        <row r="7273">
          <cell r="A7273" t="str">
            <v>ES-05650</v>
          </cell>
          <cell r="E7273" t="str">
            <v>ESM SECADO RAPIDO BASE SOLVENT</v>
          </cell>
        </row>
        <row r="7274">
          <cell r="A7274" t="str">
            <v>ES-05681</v>
          </cell>
          <cell r="E7274" t="str">
            <v>ACABADOS ALQUIDALICOS AF</v>
          </cell>
        </row>
        <row r="7275">
          <cell r="A7275" t="str">
            <v>ES-05693</v>
          </cell>
          <cell r="E7275" t="str">
            <v>OTROS ACABADOS INDUSTRIALES</v>
          </cell>
        </row>
        <row r="7276">
          <cell r="A7276" t="str">
            <v>ES-0569GL</v>
          </cell>
          <cell r="E7276" t="str">
            <v>OTROS ACABADOS INDUSTRIALES</v>
          </cell>
        </row>
        <row r="7277">
          <cell r="A7277" t="str">
            <v>ES-05700</v>
          </cell>
          <cell r="E7277" t="str">
            <v>ACABADOS ALQUIDALICOS</v>
          </cell>
        </row>
        <row r="7278">
          <cell r="A7278" t="str">
            <v>ES-05701</v>
          </cell>
          <cell r="E7278" t="str">
            <v>ACABADOS ALQUIDALICOS</v>
          </cell>
        </row>
        <row r="7279">
          <cell r="A7279" t="str">
            <v>ES-05721</v>
          </cell>
          <cell r="E7279" t="str">
            <v>ESM SECADO RAPIDO BASE SOLVENT</v>
          </cell>
        </row>
        <row r="7280">
          <cell r="A7280" t="str">
            <v>ES-05733</v>
          </cell>
          <cell r="E7280" t="str">
            <v>OTROS ACABADOS INDUSTRIALES</v>
          </cell>
        </row>
        <row r="7281">
          <cell r="A7281" t="str">
            <v>ES-05740</v>
          </cell>
          <cell r="E7281" t="str">
            <v>ESMALTE DE HORNEO BASE SOLVENT</v>
          </cell>
        </row>
        <row r="7282">
          <cell r="A7282" t="str">
            <v>ES-05753</v>
          </cell>
          <cell r="E7282" t="str">
            <v>OTROS ACABADOS INDUSTRIALES</v>
          </cell>
        </row>
        <row r="7283">
          <cell r="A7283" t="str">
            <v>ES-05773</v>
          </cell>
          <cell r="E7283" t="str">
            <v>OTROS ACABADOS INDUSTRIALES</v>
          </cell>
        </row>
        <row r="7284">
          <cell r="A7284" t="str">
            <v>ES-05780</v>
          </cell>
          <cell r="E7284" t="str">
            <v>ESMALTE DE HORNEO BASE SOLVENT</v>
          </cell>
        </row>
        <row r="7285">
          <cell r="A7285" t="str">
            <v>ES-05781</v>
          </cell>
          <cell r="E7285" t="str">
            <v>ESMALTE DE HORNEO BASE SOLVENT</v>
          </cell>
        </row>
        <row r="7286">
          <cell r="A7286" t="str">
            <v>ES-05790</v>
          </cell>
          <cell r="E7286" t="str">
            <v>ESMALTE DE HORNEO BASE SOLVENT</v>
          </cell>
        </row>
        <row r="7287">
          <cell r="A7287" t="str">
            <v>ES-05791</v>
          </cell>
          <cell r="E7287" t="str">
            <v>ESMALTE DE HORNEO BASE SOLVENT</v>
          </cell>
        </row>
        <row r="7288">
          <cell r="A7288" t="str">
            <v>ES-05800</v>
          </cell>
          <cell r="E7288" t="str">
            <v>ESM SECADO RAPIDO BASE SOLVENT</v>
          </cell>
        </row>
        <row r="7289">
          <cell r="A7289" t="str">
            <v>ES-05810</v>
          </cell>
          <cell r="E7289" t="str">
            <v>ESMALTE DE HORNEO BASE SOLVENT</v>
          </cell>
        </row>
        <row r="7290">
          <cell r="A7290" t="str">
            <v>ES-05821</v>
          </cell>
          <cell r="E7290" t="str">
            <v>PRIMARIOS ESTRUCTURALES ALQUID</v>
          </cell>
        </row>
        <row r="7291">
          <cell r="A7291" t="str">
            <v>ES-05831</v>
          </cell>
          <cell r="E7291" t="str">
            <v>ACABADOS ALQUIDALICOS AF</v>
          </cell>
        </row>
        <row r="7292">
          <cell r="A7292" t="str">
            <v>ES-05841</v>
          </cell>
          <cell r="E7292" t="str">
            <v>ACABADOS ALQUIDALICOS AF</v>
          </cell>
        </row>
        <row r="7293">
          <cell r="A7293" t="str">
            <v>ES-05850</v>
          </cell>
          <cell r="E7293" t="str">
            <v>ESM SECADO RAPIDO BASE SOLVENT</v>
          </cell>
        </row>
        <row r="7294">
          <cell r="A7294" t="str">
            <v>ES-05851</v>
          </cell>
          <cell r="E7294" t="str">
            <v>ESM SECADO RAPIDO BASE SOLVENT</v>
          </cell>
        </row>
        <row r="7295">
          <cell r="A7295" t="str">
            <v>ES-05900</v>
          </cell>
          <cell r="E7295" t="str">
            <v>ESMALTE DE HORNEO BASE SOLVENT</v>
          </cell>
        </row>
        <row r="7296">
          <cell r="A7296" t="str">
            <v>ES-05913</v>
          </cell>
          <cell r="E7296" t="str">
            <v>OTROS ACABADOS INDUSTRIALES</v>
          </cell>
        </row>
        <row r="7297">
          <cell r="A7297" t="str">
            <v>ES-05921</v>
          </cell>
          <cell r="E7297" t="str">
            <v>ACABADOS ALQUIDALICOS AF</v>
          </cell>
        </row>
        <row r="7298">
          <cell r="A7298" t="str">
            <v>ES-05931</v>
          </cell>
          <cell r="E7298" t="str">
            <v>ACABADOS ALQUIDALICOS AF</v>
          </cell>
        </row>
        <row r="7299">
          <cell r="A7299" t="str">
            <v>ES-05951</v>
          </cell>
          <cell r="E7299" t="str">
            <v>PRIMARIOS ESTRUCTURALES ALQUID</v>
          </cell>
        </row>
        <row r="7300">
          <cell r="A7300" t="str">
            <v>ES-05961</v>
          </cell>
          <cell r="E7300" t="str">
            <v>ESM SECADO RAPIDO BASE SOLVENT</v>
          </cell>
        </row>
        <row r="7301">
          <cell r="A7301" t="str">
            <v>ES-06021</v>
          </cell>
          <cell r="E7301" t="str">
            <v>PRIMARIOS ESTRUCTURALES ALQUID</v>
          </cell>
        </row>
        <row r="7302">
          <cell r="A7302" t="str">
            <v>ES-06033</v>
          </cell>
          <cell r="E7302" t="str">
            <v>OTROS ACABADOS INDUSTRIALES</v>
          </cell>
        </row>
        <row r="7303">
          <cell r="A7303" t="str">
            <v>ES-0603GL</v>
          </cell>
          <cell r="E7303" t="str">
            <v>OTROS ACABADOS INDUSTRIALES</v>
          </cell>
        </row>
        <row r="7304">
          <cell r="A7304" t="str">
            <v>ES-06041</v>
          </cell>
          <cell r="E7304" t="str">
            <v>ESM SECADO RAPIDO BASE AGUA</v>
          </cell>
        </row>
        <row r="7305">
          <cell r="A7305" t="str">
            <v>ES-0604TB</v>
          </cell>
          <cell r="E7305" t="str">
            <v>ESM SECADO RAPIDO BASE AGUA</v>
          </cell>
        </row>
        <row r="7306">
          <cell r="A7306" t="str">
            <v>ES-06053</v>
          </cell>
          <cell r="E7306" t="str">
            <v>ESM SECADO RAPIDO BASE SOLVENT</v>
          </cell>
        </row>
        <row r="7307">
          <cell r="A7307" t="str">
            <v>ES-06063</v>
          </cell>
          <cell r="E7307" t="str">
            <v>ESM SECADO RAPIDO BASE SOLVENT</v>
          </cell>
        </row>
        <row r="7308">
          <cell r="A7308" t="str">
            <v>ES-06070</v>
          </cell>
          <cell r="E7308" t="str">
            <v>ESM SECADO RAPIDO BASE SOLVENT</v>
          </cell>
        </row>
        <row r="7309">
          <cell r="A7309" t="str">
            <v>ES-06081</v>
          </cell>
          <cell r="E7309" t="str">
            <v>ESMALTE DE HORNEO BASE SOLVENT</v>
          </cell>
        </row>
        <row r="7310">
          <cell r="A7310" t="str">
            <v>ES-06111</v>
          </cell>
          <cell r="E7310" t="str">
            <v>PRIMARIOS ESTRUCTURALES ALQUID</v>
          </cell>
        </row>
        <row r="7311">
          <cell r="A7311" t="str">
            <v>ES-06141</v>
          </cell>
          <cell r="E7311" t="str">
            <v>ESM SECADO RAPIDO BASE AGUA</v>
          </cell>
        </row>
        <row r="7312">
          <cell r="A7312" t="str">
            <v>ES-06151</v>
          </cell>
          <cell r="E7312" t="str">
            <v>ESMALTE DE HORNEO BASE SOLVENT</v>
          </cell>
        </row>
        <row r="7313">
          <cell r="A7313" t="str">
            <v>ES-06161</v>
          </cell>
          <cell r="E7313" t="str">
            <v>PINTURA PARA TRAFICO</v>
          </cell>
        </row>
        <row r="7314">
          <cell r="A7314" t="str">
            <v>ES-06163</v>
          </cell>
          <cell r="E7314" t="str">
            <v>PINTURA PARA TRAFICO</v>
          </cell>
        </row>
        <row r="7315">
          <cell r="A7315" t="str">
            <v>ES-06171</v>
          </cell>
          <cell r="E7315" t="str">
            <v>PINTURA PARA TRAFICO</v>
          </cell>
        </row>
        <row r="7316">
          <cell r="A7316" t="str">
            <v>ES-06173</v>
          </cell>
          <cell r="E7316" t="str">
            <v>PINTURA PARA TRAFICO</v>
          </cell>
        </row>
        <row r="7317">
          <cell r="A7317" t="str">
            <v>ES-06181</v>
          </cell>
          <cell r="E7317" t="str">
            <v>PINTURA PARA TRAFICO</v>
          </cell>
        </row>
        <row r="7318">
          <cell r="A7318" t="str">
            <v>ES-06183</v>
          </cell>
          <cell r="E7318" t="str">
            <v>PINTURA PARA TRAFICO</v>
          </cell>
        </row>
        <row r="7319">
          <cell r="A7319" t="str">
            <v>ES-06191</v>
          </cell>
          <cell r="E7319" t="str">
            <v>PINTURA PARA TRAFICO</v>
          </cell>
        </row>
        <row r="7320">
          <cell r="A7320" t="str">
            <v>ES-06213</v>
          </cell>
          <cell r="E7320" t="str">
            <v>OTROS ACABADOS INDUSTRIALES</v>
          </cell>
        </row>
        <row r="7321">
          <cell r="A7321" t="str">
            <v>ES-0621GL</v>
          </cell>
          <cell r="E7321" t="str">
            <v>OTROS ACABADOS INDUSTRIALES</v>
          </cell>
        </row>
        <row r="7322">
          <cell r="A7322" t="str">
            <v>ES-06221</v>
          </cell>
          <cell r="E7322" t="str">
            <v>ESM SECADO RAPIDO BASE SOLVENT</v>
          </cell>
        </row>
        <row r="7323">
          <cell r="A7323" t="str">
            <v>ES-06230</v>
          </cell>
          <cell r="E7323" t="str">
            <v>PRIMARIOS ESTRUCTURALES ALQUID</v>
          </cell>
        </row>
        <row r="7324">
          <cell r="A7324" t="str">
            <v>ES-06231</v>
          </cell>
          <cell r="E7324" t="str">
            <v>PRIMARIOS ESTRUCTURALES ALQUID</v>
          </cell>
        </row>
        <row r="7325">
          <cell r="A7325" t="str">
            <v>ES-06233</v>
          </cell>
          <cell r="E7325" t="str">
            <v>PRIMARIOS ESTRUCTURALES ALQUID</v>
          </cell>
        </row>
        <row r="7326">
          <cell r="A7326" t="str">
            <v>ES-06271</v>
          </cell>
          <cell r="E7326" t="str">
            <v>ESM SECADO RAPIDO BASE SOLVENT</v>
          </cell>
        </row>
        <row r="7327">
          <cell r="A7327" t="str">
            <v>ES-06281</v>
          </cell>
          <cell r="E7327" t="str">
            <v>PRIMARIOS ESTRUCTURALES ALQUID</v>
          </cell>
        </row>
        <row r="7328">
          <cell r="A7328" t="str">
            <v>ES-06290</v>
          </cell>
          <cell r="E7328" t="str">
            <v>ESMALTE DE HORNEO BASE SOLVENT</v>
          </cell>
        </row>
        <row r="7329">
          <cell r="A7329" t="str">
            <v>ES-0629TB</v>
          </cell>
          <cell r="E7329" t="str">
            <v>ESMALTE DE HORNEO BASE SOLVENT</v>
          </cell>
        </row>
        <row r="7330">
          <cell r="A7330" t="str">
            <v>ES-06303</v>
          </cell>
          <cell r="E7330" t="str">
            <v>OTROS ACABADOS INDUSTRIALES</v>
          </cell>
        </row>
        <row r="7331">
          <cell r="A7331" t="str">
            <v>ES-06321</v>
          </cell>
          <cell r="E7331" t="str">
            <v>TRAFICO BASE AGUA</v>
          </cell>
        </row>
        <row r="7332">
          <cell r="A7332" t="str">
            <v>ES-06341</v>
          </cell>
          <cell r="E7332" t="str">
            <v>TRAFICO BASE AGUA</v>
          </cell>
        </row>
        <row r="7333">
          <cell r="A7333" t="str">
            <v>ES-06360</v>
          </cell>
          <cell r="E7333" t="str">
            <v>PRIMARIOS ESTRUCTURALES ALQUID</v>
          </cell>
        </row>
        <row r="7334">
          <cell r="A7334" t="str">
            <v>ES-06370</v>
          </cell>
          <cell r="E7334" t="str">
            <v>ACABADO MARTILLADO  SR</v>
          </cell>
        </row>
        <row r="7335">
          <cell r="A7335" t="str">
            <v>ES-06393</v>
          </cell>
          <cell r="E7335" t="str">
            <v>OTROS ACABADOS INDUSTRIALES</v>
          </cell>
        </row>
        <row r="7336">
          <cell r="A7336" t="str">
            <v>ES-06401</v>
          </cell>
          <cell r="E7336" t="str">
            <v>ESM SECADO RAPIDO BASE SOLVENT</v>
          </cell>
        </row>
        <row r="7337">
          <cell r="A7337" t="str">
            <v>ES-06410</v>
          </cell>
          <cell r="E7337" t="str">
            <v>ESMALTE DE HORNEO BASE SOLVENT</v>
          </cell>
        </row>
        <row r="7338">
          <cell r="A7338" t="str">
            <v>ES-06443</v>
          </cell>
          <cell r="E7338" t="str">
            <v>OTROS ACABADOS INDUSTRIALES</v>
          </cell>
        </row>
        <row r="7339">
          <cell r="A7339" t="str">
            <v>ES-06450</v>
          </cell>
          <cell r="E7339" t="str">
            <v>PRIMARIOS ESTRUCTURALES ALQUID</v>
          </cell>
        </row>
        <row r="7340">
          <cell r="A7340" t="str">
            <v>ES-06451</v>
          </cell>
          <cell r="E7340" t="str">
            <v>PRIMARIOS ESTRUCTURALES ALQUID</v>
          </cell>
        </row>
        <row r="7341">
          <cell r="A7341" t="str">
            <v>ES-06460</v>
          </cell>
          <cell r="E7341" t="str">
            <v>PRIMARIOS ESTRUCTURALES ALQUID</v>
          </cell>
        </row>
        <row r="7342">
          <cell r="A7342" t="str">
            <v>ES-06490</v>
          </cell>
          <cell r="E7342" t="str">
            <v>PRIMARIOS ALQUIDALICOS</v>
          </cell>
        </row>
        <row r="7343">
          <cell r="A7343" t="str">
            <v>ES-06500</v>
          </cell>
          <cell r="E7343" t="str">
            <v>ESM SECADO RAPIDO BASE SOLVENT</v>
          </cell>
        </row>
        <row r="7344">
          <cell r="A7344" t="str">
            <v>ES-06513</v>
          </cell>
          <cell r="E7344" t="str">
            <v>OTROS ACABADOS INDUSTRIALES</v>
          </cell>
        </row>
        <row r="7345">
          <cell r="A7345" t="str">
            <v>ES-06523</v>
          </cell>
          <cell r="E7345" t="str">
            <v>OTROS ACABADOS INDUSTRIALES</v>
          </cell>
        </row>
        <row r="7346">
          <cell r="A7346" t="str">
            <v>ES-0652GL</v>
          </cell>
          <cell r="E7346" t="str">
            <v>OTROS ACABADOS INDUSTRIALES</v>
          </cell>
        </row>
        <row r="7347">
          <cell r="A7347" t="str">
            <v>ES-06540</v>
          </cell>
          <cell r="E7347" t="str">
            <v>ESMALTE DE HORNEO BASE SOLVENT</v>
          </cell>
        </row>
        <row r="7348">
          <cell r="A7348" t="str">
            <v>ES-06550</v>
          </cell>
          <cell r="E7348" t="str">
            <v>ESMALTE DE HORNEO BASE SOLVENT</v>
          </cell>
        </row>
        <row r="7349">
          <cell r="A7349" t="str">
            <v>ES-06560</v>
          </cell>
          <cell r="E7349" t="str">
            <v>ESMALTE DE HORNEO BASE SOLVENT</v>
          </cell>
        </row>
        <row r="7350">
          <cell r="A7350" t="str">
            <v>ES-06570</v>
          </cell>
          <cell r="E7350" t="str">
            <v>ESMALTE DE HORNEO BASE SOLVENT</v>
          </cell>
        </row>
        <row r="7351">
          <cell r="A7351" t="str">
            <v>ES-06571</v>
          </cell>
          <cell r="E7351" t="str">
            <v>ESMALTE DE HORNEO BASE SOLVENT</v>
          </cell>
        </row>
        <row r="7352">
          <cell r="A7352" t="str">
            <v>ES-06581</v>
          </cell>
          <cell r="E7352" t="str">
            <v>ESM SECADO RAPIDO BASE SOLVENT</v>
          </cell>
        </row>
        <row r="7353">
          <cell r="A7353" t="str">
            <v>ES-06590</v>
          </cell>
          <cell r="E7353" t="str">
            <v>ESMALTE DE HORNEO BASE SOLVENT</v>
          </cell>
        </row>
        <row r="7354">
          <cell r="A7354" t="str">
            <v>ES-06601</v>
          </cell>
          <cell r="E7354" t="str">
            <v>ESM SECADO RAPIDO BASE SOLVENT</v>
          </cell>
        </row>
        <row r="7355">
          <cell r="A7355" t="str">
            <v>ES-06611</v>
          </cell>
          <cell r="E7355" t="str">
            <v>ESM SECADO RAPIDO BASE SOLVENT</v>
          </cell>
        </row>
        <row r="7356">
          <cell r="A7356" t="str">
            <v>ES-06634</v>
          </cell>
          <cell r="E7356" t="str">
            <v>ESMALTE - COLOREX</v>
          </cell>
        </row>
        <row r="7357">
          <cell r="A7357" t="str">
            <v>ES-06644</v>
          </cell>
          <cell r="E7357" t="str">
            <v>ESMALTE - COLOREX</v>
          </cell>
        </row>
        <row r="7358">
          <cell r="A7358" t="str">
            <v>ES-06670</v>
          </cell>
          <cell r="E7358" t="str">
            <v>PRIMARIOS ESTRUCTURALES ALQUID</v>
          </cell>
        </row>
        <row r="7359">
          <cell r="A7359" t="str">
            <v>ES-06681</v>
          </cell>
          <cell r="E7359" t="str">
            <v>PRIMARIOS ESTRUCTURALES ALQUID</v>
          </cell>
        </row>
        <row r="7360">
          <cell r="A7360" t="str">
            <v>ES-06711</v>
          </cell>
          <cell r="E7360" t="str">
            <v>PRIMARIOS ESTRUCTURALES ALQUID</v>
          </cell>
        </row>
        <row r="7361">
          <cell r="A7361" t="str">
            <v>ES-06723</v>
          </cell>
          <cell r="E7361" t="str">
            <v>OTROS ACABADOS INDUSTRIALES</v>
          </cell>
        </row>
        <row r="7362">
          <cell r="A7362" t="str">
            <v>ES-06730</v>
          </cell>
          <cell r="E7362" t="str">
            <v>ESMALTE DE HORNEO BASE SOLVENT</v>
          </cell>
        </row>
        <row r="7363">
          <cell r="A7363" t="str">
            <v>ES-06731</v>
          </cell>
          <cell r="E7363" t="str">
            <v>ESMALTE DE HORNEO BASE SOLVENT</v>
          </cell>
        </row>
        <row r="7364">
          <cell r="A7364" t="str">
            <v>ES-06751</v>
          </cell>
          <cell r="E7364" t="str">
            <v>PRIMARIOS ESTRUCTURALES ALQUID</v>
          </cell>
        </row>
        <row r="7365">
          <cell r="A7365" t="str">
            <v>ES-06771</v>
          </cell>
          <cell r="E7365" t="str">
            <v>ESM SECADO RAPIDO BASE SOLVENT</v>
          </cell>
        </row>
        <row r="7366">
          <cell r="A7366" t="str">
            <v>ES-06790</v>
          </cell>
          <cell r="E7366" t="str">
            <v>OTROS ACABADOS INDUSTRIALES</v>
          </cell>
        </row>
        <row r="7367">
          <cell r="A7367" t="str">
            <v>ES-06791</v>
          </cell>
          <cell r="E7367" t="str">
            <v>OTROS ACABADOS INDUSTRIALES</v>
          </cell>
        </row>
        <row r="7368">
          <cell r="A7368" t="str">
            <v>ES-06800</v>
          </cell>
          <cell r="E7368" t="str">
            <v>PRIMARIOS ESTRUCTURALES ALQUID</v>
          </cell>
        </row>
        <row r="7369">
          <cell r="A7369" t="str">
            <v>ES-06810</v>
          </cell>
          <cell r="E7369" t="str">
            <v>ACABADO MARTILLADO  SR</v>
          </cell>
        </row>
        <row r="7370">
          <cell r="A7370" t="str">
            <v>ES-06821</v>
          </cell>
          <cell r="E7370" t="str">
            <v>ESM SECADO RAPIDO BASE SOLVENT</v>
          </cell>
        </row>
        <row r="7371">
          <cell r="A7371" t="str">
            <v>ES-06831</v>
          </cell>
          <cell r="E7371" t="str">
            <v>ESM SECADO RAPIDO BASE SOLVENT</v>
          </cell>
        </row>
        <row r="7372">
          <cell r="A7372" t="str">
            <v>ES-06841</v>
          </cell>
          <cell r="E7372" t="str">
            <v>ESM SECADO RAPIDO BASE SOLVENT</v>
          </cell>
        </row>
        <row r="7373">
          <cell r="A7373" t="str">
            <v>ES-06851</v>
          </cell>
          <cell r="E7373" t="str">
            <v>ESM SECADO RAPIDO BASE SOLVENT</v>
          </cell>
        </row>
        <row r="7374">
          <cell r="A7374" t="str">
            <v>ES-06861</v>
          </cell>
          <cell r="E7374" t="str">
            <v>ESM SECADO RAPIDO BASE SOLVENT</v>
          </cell>
        </row>
        <row r="7375">
          <cell r="A7375" t="str">
            <v>ES-06871</v>
          </cell>
          <cell r="E7375" t="str">
            <v>ESM SECADO RAPIDO BASE SOLVENT</v>
          </cell>
        </row>
        <row r="7376">
          <cell r="A7376" t="str">
            <v>ES-06880</v>
          </cell>
          <cell r="E7376" t="str">
            <v>PINTURA PARA TRAFICO</v>
          </cell>
        </row>
        <row r="7377">
          <cell r="A7377" t="str">
            <v>ES-06881</v>
          </cell>
          <cell r="E7377" t="str">
            <v>PINTURA PARA TRAFICO</v>
          </cell>
        </row>
        <row r="7378">
          <cell r="A7378" t="str">
            <v>ES-06890</v>
          </cell>
          <cell r="E7378" t="str">
            <v>PINTURA PARA TRAFICO</v>
          </cell>
        </row>
        <row r="7379">
          <cell r="A7379" t="str">
            <v>ES-06891</v>
          </cell>
          <cell r="E7379" t="str">
            <v>PINTURA PARA TRAFICO</v>
          </cell>
        </row>
        <row r="7380">
          <cell r="A7380" t="str">
            <v>ES-06903</v>
          </cell>
          <cell r="E7380" t="str">
            <v>OTROS ACABADOS INDUSTRIALES</v>
          </cell>
        </row>
        <row r="7381">
          <cell r="A7381" t="str">
            <v>ES-06910</v>
          </cell>
          <cell r="E7381" t="str">
            <v>ESMALTE DE HORNEO BASE SOLVENT</v>
          </cell>
        </row>
        <row r="7382">
          <cell r="A7382" t="str">
            <v>ES-06921</v>
          </cell>
          <cell r="E7382" t="str">
            <v>PINTURA PARA TRAFICO</v>
          </cell>
        </row>
        <row r="7383">
          <cell r="A7383" t="str">
            <v>ES-06940</v>
          </cell>
          <cell r="E7383" t="str">
            <v>ESM SECADO RAPIDO BASE SOLVENT</v>
          </cell>
        </row>
        <row r="7384">
          <cell r="A7384" t="str">
            <v>ES-06981</v>
          </cell>
          <cell r="E7384" t="str">
            <v>PINTURA PARA TRAFICO</v>
          </cell>
        </row>
        <row r="7385">
          <cell r="A7385" t="str">
            <v>ES-06991</v>
          </cell>
          <cell r="E7385" t="str">
            <v>PINTURA PARA TRAFICO</v>
          </cell>
        </row>
        <row r="7386">
          <cell r="A7386" t="str">
            <v>ES-07001</v>
          </cell>
          <cell r="E7386" t="str">
            <v>PINTURA PARA TRAFICO</v>
          </cell>
        </row>
        <row r="7387">
          <cell r="A7387" t="str">
            <v>ES-07021</v>
          </cell>
          <cell r="E7387" t="str">
            <v>ESM SECADO RAPIDO BASE SOLVENT</v>
          </cell>
        </row>
        <row r="7388">
          <cell r="A7388" t="str">
            <v>ES-07031</v>
          </cell>
          <cell r="E7388" t="str">
            <v>ESM SECADO RAPIDO BASE SOLVENT</v>
          </cell>
        </row>
        <row r="7389">
          <cell r="A7389" t="str">
            <v>ES-07041</v>
          </cell>
          <cell r="E7389" t="str">
            <v>ESM SECADO RAPIDO BASE SOLVENT</v>
          </cell>
        </row>
        <row r="7390">
          <cell r="A7390" t="str">
            <v>ES-07063</v>
          </cell>
          <cell r="E7390" t="str">
            <v>OTROS ACABADOS INDUSTRIALES</v>
          </cell>
        </row>
        <row r="7391">
          <cell r="A7391" t="str">
            <v>ES-07070</v>
          </cell>
          <cell r="E7391" t="str">
            <v>OTROS ACABADOS INDUSTRIALES</v>
          </cell>
        </row>
        <row r="7392">
          <cell r="A7392" t="str">
            <v>ES-07083</v>
          </cell>
          <cell r="E7392" t="str">
            <v>OTROS ACABADOS INDUSTRIALES</v>
          </cell>
        </row>
        <row r="7393">
          <cell r="A7393" t="str">
            <v>ES-07093</v>
          </cell>
          <cell r="E7393" t="str">
            <v>OTROS ACABADOS INDUSTRIALES</v>
          </cell>
        </row>
        <row r="7394">
          <cell r="A7394" t="str">
            <v>ES-07103</v>
          </cell>
          <cell r="E7394" t="str">
            <v>OTROS ACABADOS INDUSTRIALES</v>
          </cell>
        </row>
        <row r="7395">
          <cell r="A7395" t="str">
            <v>ES-07110</v>
          </cell>
          <cell r="E7395" t="str">
            <v>OTROS ACABADOS INDUSTRIALES</v>
          </cell>
        </row>
        <row r="7396">
          <cell r="A7396" t="str">
            <v>ES-07120</v>
          </cell>
          <cell r="E7396" t="str">
            <v>OTROS ACABADOS INDUSTRIALES</v>
          </cell>
        </row>
        <row r="7397">
          <cell r="A7397" t="str">
            <v>ES-07131</v>
          </cell>
          <cell r="E7397" t="str">
            <v>ACABADOS ALQUIDALICOS</v>
          </cell>
        </row>
        <row r="7398">
          <cell r="A7398" t="str">
            <v>ES-07143</v>
          </cell>
          <cell r="E7398" t="str">
            <v>OTROS ACABADOS INDUSTRIALES</v>
          </cell>
        </row>
        <row r="7399">
          <cell r="A7399" t="str">
            <v>ES-07171</v>
          </cell>
          <cell r="E7399" t="str">
            <v>ESM SECADO RAPIDO BASE SOLVENT</v>
          </cell>
        </row>
        <row r="7400">
          <cell r="A7400" t="str">
            <v>ES-07183</v>
          </cell>
          <cell r="E7400" t="str">
            <v>ESM SECADO RAPIDO BASE SOLVENT</v>
          </cell>
        </row>
        <row r="7401">
          <cell r="A7401" t="str">
            <v>ES-07193</v>
          </cell>
          <cell r="E7401" t="str">
            <v>ESM SECADO RAPIDO BASE SOLVENT</v>
          </cell>
        </row>
        <row r="7402">
          <cell r="A7402" t="str">
            <v>ES-07230</v>
          </cell>
          <cell r="E7402" t="str">
            <v>ESMALTE DE HORNEO BASE SOLVENT</v>
          </cell>
        </row>
        <row r="7403">
          <cell r="A7403" t="str">
            <v>ES-07240</v>
          </cell>
          <cell r="E7403" t="str">
            <v>ESMALTE DE HORNEO BASE SOLVENT</v>
          </cell>
        </row>
        <row r="7404">
          <cell r="A7404" t="str">
            <v>ES-07260</v>
          </cell>
          <cell r="E7404" t="str">
            <v>PINTURA PARA TRAFICO</v>
          </cell>
        </row>
        <row r="7405">
          <cell r="A7405" t="str">
            <v>ES-07270</v>
          </cell>
          <cell r="E7405" t="str">
            <v>PINTURA PARA TRAFICO</v>
          </cell>
        </row>
        <row r="7406">
          <cell r="A7406" t="str">
            <v>ES-07291</v>
          </cell>
          <cell r="E7406" t="str">
            <v>ACABADOS ALQUIDALICOS</v>
          </cell>
        </row>
        <row r="7407">
          <cell r="A7407" t="str">
            <v>ES-07304</v>
          </cell>
          <cell r="E7407" t="str">
            <v>ESM SECADO RAPIDO BASE SOLVENT</v>
          </cell>
        </row>
        <row r="7408">
          <cell r="A7408" t="str">
            <v>ES-07311</v>
          </cell>
          <cell r="E7408" t="str">
            <v>ESM SECADO RAPIDO BASE SOLVENT</v>
          </cell>
        </row>
        <row r="7409">
          <cell r="A7409" t="str">
            <v>ES-07321</v>
          </cell>
          <cell r="E7409" t="str">
            <v>ESM SECADO RAPIDO BASE SOLVENT</v>
          </cell>
        </row>
        <row r="7410">
          <cell r="A7410" t="str">
            <v>ES-07333</v>
          </cell>
          <cell r="E7410" t="str">
            <v>OTROS ACABADOS INDUSTRIALES</v>
          </cell>
        </row>
        <row r="7411">
          <cell r="A7411" t="str">
            <v>ES-0733GL</v>
          </cell>
          <cell r="E7411" t="str">
            <v>OTROS ACABADOS INDUSTRIALES</v>
          </cell>
        </row>
        <row r="7412">
          <cell r="A7412" t="str">
            <v>ES-07341</v>
          </cell>
          <cell r="E7412" t="str">
            <v>PRIMARIOS ESTRUCTURALES ALQUID</v>
          </cell>
        </row>
        <row r="7413">
          <cell r="A7413" t="str">
            <v>ES-07353</v>
          </cell>
          <cell r="E7413" t="str">
            <v>OTROS ACABADOS INDUSTRIALES</v>
          </cell>
        </row>
        <row r="7414">
          <cell r="A7414" t="str">
            <v>ES-0735GL</v>
          </cell>
          <cell r="E7414" t="str">
            <v>OTROS ACABADOS INDUSTRIALES</v>
          </cell>
        </row>
        <row r="7415">
          <cell r="A7415" t="str">
            <v>ES-07363</v>
          </cell>
          <cell r="E7415" t="str">
            <v>OTROS ACABADOS INDUSTRIALES</v>
          </cell>
        </row>
        <row r="7416">
          <cell r="A7416" t="str">
            <v>ES-0736GL</v>
          </cell>
          <cell r="E7416" t="str">
            <v>OTROS ACABADOS INDUSTRIALES</v>
          </cell>
        </row>
        <row r="7417">
          <cell r="A7417" t="str">
            <v>ES-07371</v>
          </cell>
          <cell r="E7417" t="str">
            <v>PRIMARIOS ESTRUCTURALES ALQUID</v>
          </cell>
        </row>
        <row r="7418">
          <cell r="A7418" t="str">
            <v>ES-07381</v>
          </cell>
          <cell r="E7418" t="str">
            <v>ESM SECADO RAPIDO BASE AGUA</v>
          </cell>
        </row>
        <row r="7419">
          <cell r="A7419" t="str">
            <v>ES-07391</v>
          </cell>
          <cell r="E7419" t="str">
            <v>ESM SECADO RAPIDO BASE AGUA</v>
          </cell>
        </row>
        <row r="7420">
          <cell r="A7420" t="str">
            <v>ES-07401</v>
          </cell>
          <cell r="E7420" t="str">
            <v>ESM SECADO RAPIDO BASE AGUA</v>
          </cell>
        </row>
        <row r="7421">
          <cell r="A7421" t="str">
            <v>ES-07411</v>
          </cell>
          <cell r="E7421" t="str">
            <v>ESM SECADO RAPIDO BASE AGUA</v>
          </cell>
        </row>
        <row r="7422">
          <cell r="A7422" t="str">
            <v>ES-07421</v>
          </cell>
          <cell r="E7422" t="str">
            <v>ESM SECADO RAPIDO BASE SOLVENT</v>
          </cell>
        </row>
        <row r="7423">
          <cell r="A7423" t="str">
            <v>ES-07430</v>
          </cell>
          <cell r="E7423" t="str">
            <v>ESM SECADO RAPIDO BASE SOLVENT</v>
          </cell>
        </row>
        <row r="7424">
          <cell r="A7424" t="str">
            <v>ES-07440</v>
          </cell>
          <cell r="E7424" t="str">
            <v>TRAFICO BASE AGUA</v>
          </cell>
        </row>
        <row r="7425">
          <cell r="A7425" t="str">
            <v>ES-07441</v>
          </cell>
          <cell r="E7425" t="str">
            <v>TRAFICO BASE AGUA</v>
          </cell>
        </row>
        <row r="7426">
          <cell r="A7426" t="str">
            <v>ES-07460</v>
          </cell>
          <cell r="E7426" t="str">
            <v>ESM SECADO RAPIDO BASE SOLVENT</v>
          </cell>
        </row>
        <row r="7427">
          <cell r="A7427" t="str">
            <v>ES-07470</v>
          </cell>
          <cell r="E7427" t="str">
            <v>ESM SECADO RAPIDO BASE SOLVENT</v>
          </cell>
        </row>
        <row r="7428">
          <cell r="A7428" t="str">
            <v>ES-07493</v>
          </cell>
          <cell r="E7428" t="str">
            <v>OTROS ACABADOS INDUSTRIALES</v>
          </cell>
        </row>
        <row r="7429">
          <cell r="A7429" t="str">
            <v>ES-07500</v>
          </cell>
          <cell r="E7429" t="str">
            <v>PRIMARIOS ESTRUCTURALES ALQUID</v>
          </cell>
        </row>
        <row r="7430">
          <cell r="A7430" t="str">
            <v>ES-07501</v>
          </cell>
          <cell r="E7430" t="str">
            <v>PRIMARIOS ESTRUCTURALES ALQUID</v>
          </cell>
        </row>
        <row r="7431">
          <cell r="A7431" t="str">
            <v>ES-07511</v>
          </cell>
          <cell r="E7431" t="str">
            <v>PRIMARIOS ESTRUCTURALES ALQUID</v>
          </cell>
        </row>
        <row r="7432">
          <cell r="A7432" t="str">
            <v>ES-07520</v>
          </cell>
          <cell r="E7432" t="str">
            <v>ESM SECADO RAPIDO BASE SOLVENT</v>
          </cell>
        </row>
        <row r="7433">
          <cell r="A7433" t="str">
            <v>ES-07531</v>
          </cell>
          <cell r="E7433" t="str">
            <v>ESM SECADO RAPIDO BASE SOLVENT</v>
          </cell>
        </row>
        <row r="7434">
          <cell r="A7434" t="str">
            <v>ES-07540</v>
          </cell>
          <cell r="E7434" t="str">
            <v>ACABADOS ALQUIDALICOS</v>
          </cell>
        </row>
        <row r="7435">
          <cell r="A7435" t="str">
            <v>ES-07563</v>
          </cell>
          <cell r="E7435" t="str">
            <v>OTROS ACABADOS INDUSTRIALES</v>
          </cell>
        </row>
        <row r="7436">
          <cell r="A7436" t="str">
            <v>ES-07570</v>
          </cell>
          <cell r="E7436" t="str">
            <v>ESM SECADO RAPIDO BASE SOLVENT</v>
          </cell>
        </row>
        <row r="7437">
          <cell r="A7437" t="str">
            <v>ES-07580</v>
          </cell>
          <cell r="E7437" t="str">
            <v>ESMALTE DE HORNEO BASE SOLVENT</v>
          </cell>
        </row>
        <row r="7438">
          <cell r="A7438" t="str">
            <v>ES-07590</v>
          </cell>
          <cell r="E7438" t="str">
            <v>ESM SECADO RAPIDO BASE SOLVENT</v>
          </cell>
        </row>
        <row r="7439">
          <cell r="A7439" t="str">
            <v>ES-07591</v>
          </cell>
          <cell r="E7439" t="str">
            <v>ESM SECADO RAPIDO BASE SOLVENT</v>
          </cell>
        </row>
        <row r="7440">
          <cell r="A7440" t="str">
            <v>ES-07601</v>
          </cell>
          <cell r="E7440" t="str">
            <v>PRIMARIOS ESTRUCTURALES ALQUID</v>
          </cell>
        </row>
        <row r="7441">
          <cell r="A7441" t="str">
            <v>ES-07613</v>
          </cell>
          <cell r="E7441" t="str">
            <v>OTROS ACABADOS INDUSTRIALES</v>
          </cell>
        </row>
        <row r="7442">
          <cell r="A7442" t="str">
            <v>ES-07630</v>
          </cell>
          <cell r="E7442" t="str">
            <v>PRIMARIOS ESTRUCTURALES ALQUID</v>
          </cell>
        </row>
        <row r="7443">
          <cell r="A7443" t="str">
            <v>ES-07631</v>
          </cell>
          <cell r="E7443" t="str">
            <v>PRIMARIOS ESTRUCTURALES ALQUID</v>
          </cell>
        </row>
        <row r="7444">
          <cell r="A7444" t="str">
            <v>ES-07643</v>
          </cell>
          <cell r="E7444" t="str">
            <v>OTROS ACABADOS INDUSTRIALES</v>
          </cell>
        </row>
        <row r="7445">
          <cell r="A7445" t="str">
            <v>ES-07651</v>
          </cell>
          <cell r="E7445" t="str">
            <v>ESM SECADO RAPIDO BASE SOLVENT</v>
          </cell>
        </row>
        <row r="7446">
          <cell r="A7446" t="str">
            <v>ES-07661</v>
          </cell>
          <cell r="E7446" t="str">
            <v>PRIMARIOS ESTRUCTURALES ALQUID</v>
          </cell>
        </row>
        <row r="7447">
          <cell r="A7447" t="str">
            <v>ES-07670</v>
          </cell>
          <cell r="E7447" t="str">
            <v>OTROS ACABADOS INDUSTRIALES</v>
          </cell>
        </row>
        <row r="7448">
          <cell r="A7448" t="str">
            <v>ES-07683</v>
          </cell>
          <cell r="E7448" t="str">
            <v>OTROS ACABADOS INDUSTRIALES</v>
          </cell>
        </row>
        <row r="7449">
          <cell r="A7449" t="str">
            <v>ES-07691</v>
          </cell>
          <cell r="E7449" t="str">
            <v>PRIMARIOS ESTRUCTURALES ALQUID</v>
          </cell>
        </row>
        <row r="7450">
          <cell r="A7450" t="str">
            <v>ES-07710</v>
          </cell>
          <cell r="E7450" t="str">
            <v>PRIMARIOS ESTRUCTURALES ALQUID</v>
          </cell>
        </row>
        <row r="7451">
          <cell r="A7451" t="str">
            <v>ES-07720</v>
          </cell>
          <cell r="E7451" t="str">
            <v>ESM SECADO RAPIDO BASE SOLVENT</v>
          </cell>
        </row>
        <row r="7452">
          <cell r="A7452" t="str">
            <v>ES-07721</v>
          </cell>
          <cell r="E7452" t="str">
            <v>ESM SECADO RAPIDO BASE SOLVENT</v>
          </cell>
        </row>
        <row r="7453">
          <cell r="A7453" t="str">
            <v>ES-07730</v>
          </cell>
          <cell r="E7453" t="str">
            <v>ESMALTE DE HORNEO BASE SOLVENT</v>
          </cell>
        </row>
        <row r="7454">
          <cell r="A7454" t="str">
            <v>ES-07750</v>
          </cell>
          <cell r="E7454" t="str">
            <v>ESM SECADO RAPIDO BASE SOLVENT</v>
          </cell>
        </row>
        <row r="7455">
          <cell r="A7455" t="str">
            <v>ES-07751</v>
          </cell>
          <cell r="E7455" t="str">
            <v>ESM SECADO RAPIDO BASE SOLVENT</v>
          </cell>
        </row>
        <row r="7456">
          <cell r="A7456" t="str">
            <v>ES-07771</v>
          </cell>
          <cell r="E7456" t="str">
            <v>ESM SECADO RAPIDO BASE AGUA</v>
          </cell>
        </row>
        <row r="7457">
          <cell r="A7457" t="str">
            <v>ES-07781</v>
          </cell>
          <cell r="E7457" t="str">
            <v>OTROS ACABADOS INDUSTRIALES</v>
          </cell>
        </row>
        <row r="7458">
          <cell r="A7458" t="str">
            <v>ES-07791</v>
          </cell>
          <cell r="E7458" t="str">
            <v>OTROS ACABADOS INDUSTRIALES</v>
          </cell>
        </row>
        <row r="7459">
          <cell r="A7459" t="str">
            <v>ES-07801</v>
          </cell>
          <cell r="E7459" t="str">
            <v>OTROS ACABADOS INDUSTRIALES</v>
          </cell>
        </row>
        <row r="7460">
          <cell r="A7460" t="str">
            <v>ES-07811</v>
          </cell>
          <cell r="E7460" t="str">
            <v>OTROS ACABADOS INDUSTRIALES</v>
          </cell>
        </row>
        <row r="7461">
          <cell r="A7461" t="str">
            <v>ES-07821</v>
          </cell>
          <cell r="E7461" t="str">
            <v>OTROS ACABADOS INDUSTRIALES</v>
          </cell>
        </row>
        <row r="7462">
          <cell r="A7462" t="str">
            <v>ES-07831</v>
          </cell>
          <cell r="E7462" t="str">
            <v>LACA ACRILICA</v>
          </cell>
        </row>
        <row r="7463">
          <cell r="A7463" t="str">
            <v>ES-07842</v>
          </cell>
          <cell r="E7463" t="str">
            <v>TRAFICO TERMOPLASTICO</v>
          </cell>
        </row>
        <row r="7464">
          <cell r="A7464" t="str">
            <v>ES-07852</v>
          </cell>
          <cell r="E7464" t="str">
            <v>TRAFICO TERMOPLASTICO</v>
          </cell>
        </row>
        <row r="7465">
          <cell r="A7465" t="str">
            <v>ES-07913</v>
          </cell>
          <cell r="E7465" t="str">
            <v>OTROS ACABADOS INDUSTRIALES</v>
          </cell>
        </row>
        <row r="7466">
          <cell r="A7466" t="str">
            <v>ES-07920</v>
          </cell>
          <cell r="E7466" t="str">
            <v>OTROS ACABADOS INDUSTRIALES</v>
          </cell>
        </row>
        <row r="7467">
          <cell r="A7467" t="str">
            <v>ES-07931</v>
          </cell>
          <cell r="E7467" t="str">
            <v>ESMALTE DE HORNEO BASE SOLVENT</v>
          </cell>
        </row>
        <row r="7468">
          <cell r="A7468" t="str">
            <v>ES-07941</v>
          </cell>
          <cell r="E7468" t="str">
            <v>ESM SECADO RAPIDO BASE SOLVENT</v>
          </cell>
        </row>
        <row r="7469">
          <cell r="A7469" t="str">
            <v>ES-07961</v>
          </cell>
          <cell r="E7469" t="str">
            <v>ESM SECADO RAPIDO BASE SOLVENT</v>
          </cell>
        </row>
        <row r="7470">
          <cell r="A7470" t="str">
            <v>ES-07973</v>
          </cell>
          <cell r="E7470" t="str">
            <v>OTROS ACABADOS INDUSTRIALES</v>
          </cell>
        </row>
        <row r="7471">
          <cell r="A7471" t="str">
            <v>ES-07981</v>
          </cell>
          <cell r="E7471" t="str">
            <v>ESM SECADO RAPIDO BASE SOLVENT</v>
          </cell>
        </row>
        <row r="7472">
          <cell r="A7472" t="str">
            <v>ES-07993</v>
          </cell>
          <cell r="E7472" t="str">
            <v>OTROS ACABADOS INDUSTRIALES</v>
          </cell>
        </row>
        <row r="7473">
          <cell r="A7473" t="str">
            <v>ES-0800TB</v>
          </cell>
          <cell r="E7473" t="str">
            <v>PRIMARIOS BASE AGUA</v>
          </cell>
        </row>
        <row r="7474">
          <cell r="A7474" t="str">
            <v>ES-08011</v>
          </cell>
          <cell r="E7474" t="str">
            <v>OTROS ACABADOS INDUSTRIALES</v>
          </cell>
        </row>
        <row r="7475">
          <cell r="A7475" t="str">
            <v>ES-08021</v>
          </cell>
          <cell r="E7475" t="str">
            <v>PRIMARIOS ESTRUCTURALES ALQUID</v>
          </cell>
        </row>
        <row r="7476">
          <cell r="A7476" t="str">
            <v>ES-08030</v>
          </cell>
          <cell r="E7476" t="str">
            <v>ESMALTE DE HORNEO BASE SOLVENT</v>
          </cell>
        </row>
        <row r="7477">
          <cell r="A7477" t="str">
            <v>ES-08043</v>
          </cell>
          <cell r="E7477" t="str">
            <v>OTROS ACABADOS INDUSTRIALES</v>
          </cell>
        </row>
        <row r="7478">
          <cell r="A7478" t="str">
            <v>ES-08051</v>
          </cell>
          <cell r="E7478" t="str">
            <v>BACTERIOFF</v>
          </cell>
        </row>
        <row r="7479">
          <cell r="A7479" t="str">
            <v>ES-08093</v>
          </cell>
          <cell r="E7479" t="str">
            <v>OTROS ACABADOS INDUSTRIALES</v>
          </cell>
        </row>
        <row r="7480">
          <cell r="A7480" t="str">
            <v>ES-08101</v>
          </cell>
          <cell r="E7480" t="str">
            <v>ESM SECADO RAPIDO BASE SOLVENT</v>
          </cell>
        </row>
        <row r="7481">
          <cell r="A7481" t="str">
            <v>ES-08103</v>
          </cell>
          <cell r="E7481" t="str">
            <v>ESM SECADO RAPIDO BASE SOLVENT</v>
          </cell>
        </row>
        <row r="7482">
          <cell r="A7482" t="str">
            <v>ES-08104</v>
          </cell>
          <cell r="E7482" t="str">
            <v>ESM SECADO RAPIDO BASE SOLVENT</v>
          </cell>
        </row>
        <row r="7483">
          <cell r="A7483" t="str">
            <v>ES-08111</v>
          </cell>
          <cell r="E7483" t="str">
            <v>ESM SECADO RAPIDO BASE SOLVENT</v>
          </cell>
        </row>
        <row r="7484">
          <cell r="A7484" t="str">
            <v>ES-08150</v>
          </cell>
          <cell r="E7484" t="str">
            <v>PRIMARIOS ESTRUCTURALES ALQUID</v>
          </cell>
        </row>
        <row r="7485">
          <cell r="A7485" t="str">
            <v>ES-08191</v>
          </cell>
          <cell r="E7485" t="str">
            <v>ESM SECADO RAPIDO BASE SOLVENT</v>
          </cell>
        </row>
        <row r="7486">
          <cell r="A7486" t="str">
            <v>ES-08211</v>
          </cell>
          <cell r="E7486" t="str">
            <v>ESM SECADO RAPIDO BASE SOLVENT</v>
          </cell>
        </row>
        <row r="7487">
          <cell r="A7487" t="str">
            <v>ES-08231</v>
          </cell>
          <cell r="E7487" t="str">
            <v>ESM SECADO RAPIDO BASE SOLVENT</v>
          </cell>
        </row>
        <row r="7488">
          <cell r="A7488" t="str">
            <v>ES-08250</v>
          </cell>
          <cell r="E7488" t="str">
            <v>ESM SECADO RAPIDO BASE SOLVENT</v>
          </cell>
        </row>
        <row r="7489">
          <cell r="A7489" t="str">
            <v>ES-08271</v>
          </cell>
          <cell r="E7489" t="str">
            <v>PRIMARIOS ESTRUCTURALES ALQUID</v>
          </cell>
        </row>
        <row r="7490">
          <cell r="A7490" t="str">
            <v>ES-08280</v>
          </cell>
          <cell r="E7490" t="str">
            <v>ESM SECADO RAPIDO BASE SOLVENT</v>
          </cell>
        </row>
        <row r="7491">
          <cell r="A7491" t="str">
            <v>ES-08291</v>
          </cell>
          <cell r="E7491" t="str">
            <v>PRIMARIOS ESTRUCTURALES ALQUID</v>
          </cell>
        </row>
        <row r="7492">
          <cell r="A7492" t="str">
            <v>ES-08311</v>
          </cell>
          <cell r="E7492" t="str">
            <v>PRIMARIO - ULTRA RAPID</v>
          </cell>
        </row>
        <row r="7493">
          <cell r="A7493" t="str">
            <v>ES-08320</v>
          </cell>
          <cell r="E7493" t="str">
            <v>ESM SECADO RAPIDO BASE SOLVENT</v>
          </cell>
        </row>
        <row r="7494">
          <cell r="A7494" t="str">
            <v>ES-08330</v>
          </cell>
          <cell r="E7494" t="str">
            <v>ESM SECADO RAPIDO BASE SOLVENT</v>
          </cell>
        </row>
        <row r="7495">
          <cell r="A7495" t="str">
            <v>ES-08340</v>
          </cell>
          <cell r="E7495" t="str">
            <v>PRIMARIO - ULTRA RAPID</v>
          </cell>
        </row>
        <row r="7496">
          <cell r="A7496" t="str">
            <v>ES-08341</v>
          </cell>
          <cell r="E7496" t="str">
            <v>PRIMARIO - ULTRA RAPID</v>
          </cell>
        </row>
        <row r="7497">
          <cell r="A7497" t="str">
            <v>ES-08370</v>
          </cell>
          <cell r="E7497" t="str">
            <v>PRIMARIO - ULTRA RAPID</v>
          </cell>
        </row>
        <row r="7498">
          <cell r="A7498" t="str">
            <v>ES-08371</v>
          </cell>
          <cell r="E7498" t="str">
            <v>PRIMARIO - ULTRA RAPID</v>
          </cell>
        </row>
        <row r="7499">
          <cell r="A7499" t="str">
            <v>ES-08381</v>
          </cell>
          <cell r="E7499" t="str">
            <v>ESM SECADO RAPIDO BASE SOLVENT</v>
          </cell>
        </row>
        <row r="7500">
          <cell r="A7500" t="str">
            <v>ES-08400</v>
          </cell>
          <cell r="E7500" t="str">
            <v>ESMALTE - ULTRA RAPID</v>
          </cell>
        </row>
        <row r="7501">
          <cell r="A7501" t="str">
            <v>ES-08401</v>
          </cell>
          <cell r="E7501" t="str">
            <v>ESMALTE - ULTRA RAPID</v>
          </cell>
        </row>
        <row r="7502">
          <cell r="A7502" t="str">
            <v>ES-08404</v>
          </cell>
          <cell r="E7502" t="str">
            <v>ESMALTE - ULTRA RAPID</v>
          </cell>
        </row>
        <row r="7503">
          <cell r="A7503" t="str">
            <v>ES-08420</v>
          </cell>
          <cell r="E7503" t="str">
            <v>ESMALTE - ULTRA RAPID</v>
          </cell>
        </row>
        <row r="7504">
          <cell r="A7504" t="str">
            <v>ES-08441</v>
          </cell>
          <cell r="E7504" t="str">
            <v>ESMALTE DE HORNEO BASE SOLVENT</v>
          </cell>
        </row>
        <row r="7505">
          <cell r="A7505" t="str">
            <v>ES-08471</v>
          </cell>
          <cell r="E7505" t="str">
            <v>ESMALTE - ULTRA RAPID</v>
          </cell>
        </row>
        <row r="7506">
          <cell r="A7506" t="str">
            <v>ES-08491</v>
          </cell>
          <cell r="E7506" t="str">
            <v>ESMALTE - ULTRA RAPID</v>
          </cell>
        </row>
        <row r="7507">
          <cell r="A7507" t="str">
            <v>ES-08494</v>
          </cell>
          <cell r="E7507" t="str">
            <v>ESMALTE - ULTRA RAPID</v>
          </cell>
        </row>
        <row r="7508">
          <cell r="A7508" t="str">
            <v>ES-08501</v>
          </cell>
          <cell r="E7508" t="str">
            <v>ESM SECADO RAPIDO BASE SOLVENT</v>
          </cell>
        </row>
        <row r="7509">
          <cell r="A7509" t="str">
            <v>ES-08511</v>
          </cell>
          <cell r="E7509" t="str">
            <v>ESM SECADO RAPIDO BASE SOLVENT</v>
          </cell>
        </row>
        <row r="7510">
          <cell r="A7510" t="str">
            <v>ES-08520</v>
          </cell>
          <cell r="E7510" t="str">
            <v>ESMALTE DE HORNEO BASE SOLVENT</v>
          </cell>
        </row>
        <row r="7511">
          <cell r="A7511" t="str">
            <v>ES-08531</v>
          </cell>
          <cell r="E7511" t="str">
            <v>ESM SECADO RAPIDO BASE SOLVENT</v>
          </cell>
        </row>
        <row r="7512">
          <cell r="A7512" t="str">
            <v>ES-08570</v>
          </cell>
          <cell r="E7512" t="str">
            <v>OTROS ACABADOS INDUSTRIALES</v>
          </cell>
        </row>
        <row r="7513">
          <cell r="A7513" t="str">
            <v>ES-0857TM</v>
          </cell>
          <cell r="E7513" t="str">
            <v>OTROS ACABADOS INDUSTRIALES</v>
          </cell>
        </row>
        <row r="7514">
          <cell r="A7514" t="str">
            <v>ES-08581</v>
          </cell>
          <cell r="E7514" t="str">
            <v>ESM SECADO RAPIDO BASE SOLVENT</v>
          </cell>
        </row>
        <row r="7515">
          <cell r="A7515" t="str">
            <v>ES-08591</v>
          </cell>
          <cell r="E7515" t="str">
            <v>ESM SECADO RAPIDO BASE SOLVENT</v>
          </cell>
        </row>
        <row r="7516">
          <cell r="A7516" t="str">
            <v>ES-08601</v>
          </cell>
          <cell r="E7516" t="str">
            <v>ESM SECADO RAPIDO BASE SOLVENT</v>
          </cell>
        </row>
        <row r="7517">
          <cell r="A7517" t="str">
            <v>ES-0863GL</v>
          </cell>
          <cell r="E7517" t="str">
            <v>ACABADOS DE PU</v>
          </cell>
        </row>
        <row r="7518">
          <cell r="A7518" t="str">
            <v>ES-08644</v>
          </cell>
          <cell r="E7518" t="str">
            <v>PRETRATAMIENTO METALICO INDUST</v>
          </cell>
        </row>
        <row r="7519">
          <cell r="A7519" t="str">
            <v>ES-08651</v>
          </cell>
          <cell r="E7519" t="str">
            <v>ESM SECADO RAPIDO BASE SOLVENT</v>
          </cell>
        </row>
        <row r="7520">
          <cell r="A7520" t="str">
            <v>ES-08661</v>
          </cell>
          <cell r="E7520" t="str">
            <v>ESMALTE DE HORNEO BASE SOLVENT</v>
          </cell>
        </row>
        <row r="7521">
          <cell r="A7521" t="str">
            <v>ES-08671</v>
          </cell>
          <cell r="E7521" t="str">
            <v>ESM SECADO RAPIDO BASE SOLVENT</v>
          </cell>
        </row>
        <row r="7522">
          <cell r="A7522" t="str">
            <v>ES-08681</v>
          </cell>
          <cell r="E7522" t="str">
            <v>OTROS ACABADOS INDUSTRIALES</v>
          </cell>
        </row>
        <row r="7523">
          <cell r="A7523" t="str">
            <v>ES-08683</v>
          </cell>
          <cell r="E7523" t="str">
            <v>OTROS ACABADOS INDUSTRIALES</v>
          </cell>
        </row>
        <row r="7524">
          <cell r="A7524" t="str">
            <v>ES-08684</v>
          </cell>
          <cell r="E7524" t="str">
            <v>OTROS ACABADOS INDUSTRIALES</v>
          </cell>
        </row>
        <row r="7525">
          <cell r="A7525" t="str">
            <v>ES-0871CB</v>
          </cell>
          <cell r="E7525" t="str">
            <v>OTROS ACABADOS INDUSTRIALES</v>
          </cell>
        </row>
        <row r="7526">
          <cell r="A7526" t="str">
            <v>ES-08741</v>
          </cell>
          <cell r="E7526" t="str">
            <v>PRIMARIOS ALQUIDALICOS</v>
          </cell>
        </row>
        <row r="7527">
          <cell r="A7527" t="str">
            <v>ES-08750</v>
          </cell>
          <cell r="E7527" t="str">
            <v>ESMALTE DE HORNEO BASE SOLVENT</v>
          </cell>
        </row>
        <row r="7528">
          <cell r="A7528" t="str">
            <v>ES-08760</v>
          </cell>
          <cell r="E7528" t="str">
            <v>PRIMARIOS BASE AGUA</v>
          </cell>
        </row>
        <row r="7529">
          <cell r="A7529" t="str">
            <v>ES-08770</v>
          </cell>
          <cell r="E7529" t="str">
            <v>ESMALTE DE HORNEO BASE SOLVENT</v>
          </cell>
        </row>
        <row r="7530">
          <cell r="A7530" t="str">
            <v>ES-08811</v>
          </cell>
          <cell r="E7530" t="str">
            <v>OTROS ACABADOS INDUSTRIALES</v>
          </cell>
        </row>
        <row r="7531">
          <cell r="A7531" t="str">
            <v>ES-08820</v>
          </cell>
          <cell r="E7531" t="str">
            <v>ESM SECADO RAPIDO BASE SOLVENT</v>
          </cell>
        </row>
        <row r="7532">
          <cell r="A7532" t="str">
            <v>ES-08830</v>
          </cell>
          <cell r="E7532" t="str">
            <v>ESMALTE DE HORNEO BASE SOLVENT</v>
          </cell>
        </row>
        <row r="7533">
          <cell r="A7533" t="str">
            <v>ES-08841</v>
          </cell>
          <cell r="E7533" t="str">
            <v>ESMALTE DE HORNEO BASE SOLVENT</v>
          </cell>
        </row>
        <row r="7534">
          <cell r="A7534" t="str">
            <v>ES-08891</v>
          </cell>
          <cell r="E7534" t="str">
            <v>OTROS ACABADOS INDUSTRIALES</v>
          </cell>
        </row>
        <row r="7535">
          <cell r="A7535" t="str">
            <v>ES-08921</v>
          </cell>
          <cell r="E7535" t="str">
            <v>OTROS ACABADOS INDUSTRIALES</v>
          </cell>
        </row>
        <row r="7536">
          <cell r="A7536" t="str">
            <v>ES-0893GL</v>
          </cell>
          <cell r="E7536" t="str">
            <v>OTROS ACABADOS INDUSTRIALES</v>
          </cell>
        </row>
        <row r="7537">
          <cell r="A7537" t="str">
            <v>ES-08950</v>
          </cell>
          <cell r="E7537" t="str">
            <v>OTROS ACABADOS INDUSTRIALES</v>
          </cell>
        </row>
        <row r="7538">
          <cell r="A7538" t="str">
            <v>ES-08961</v>
          </cell>
          <cell r="E7538" t="str">
            <v>ESMALTE DE HORNEO BASE SOLVENT</v>
          </cell>
        </row>
        <row r="7539">
          <cell r="A7539" t="str">
            <v>ES-0898GL</v>
          </cell>
          <cell r="E7539" t="str">
            <v>OTROS ACABADOS INDUSTRIALES</v>
          </cell>
        </row>
        <row r="7540">
          <cell r="A7540" t="str">
            <v>ES-09001</v>
          </cell>
          <cell r="E7540" t="str">
            <v>PRIMARIOS BASE AGUA</v>
          </cell>
        </row>
        <row r="7541">
          <cell r="A7541" t="str">
            <v>ES-09041</v>
          </cell>
          <cell r="E7541" t="str">
            <v>SOLVENTES INDUSTRIALES</v>
          </cell>
        </row>
        <row r="7542">
          <cell r="A7542" t="str">
            <v>ES-09050</v>
          </cell>
          <cell r="E7542" t="str">
            <v>PRIMARIOS BASE AGUA</v>
          </cell>
        </row>
        <row r="7543">
          <cell r="A7543" t="str">
            <v>ES-0906GL</v>
          </cell>
          <cell r="E7543" t="str">
            <v>ACABADOS DE PU</v>
          </cell>
        </row>
        <row r="7544">
          <cell r="A7544" t="str">
            <v>ES-09070</v>
          </cell>
          <cell r="E7544" t="str">
            <v>OTROS ACABADOS INDUSTRIALES</v>
          </cell>
        </row>
        <row r="7545">
          <cell r="A7545" t="str">
            <v>ES-09080</v>
          </cell>
          <cell r="E7545" t="str">
            <v>ESM SECADO RAPIDO BASE SOLVENT</v>
          </cell>
        </row>
        <row r="7546">
          <cell r="A7546" t="str">
            <v>ES-09081</v>
          </cell>
          <cell r="E7546" t="str">
            <v>ESM SECADO RAPIDO BASE SOLVENT</v>
          </cell>
        </row>
        <row r="7547">
          <cell r="A7547" t="str">
            <v>ES-09091</v>
          </cell>
          <cell r="E7547" t="str">
            <v>ACABADO MARTILLADO HORNEO</v>
          </cell>
        </row>
        <row r="7548">
          <cell r="A7548" t="str">
            <v>ES-09100</v>
          </cell>
          <cell r="E7548" t="str">
            <v>ESMALTE DE HORNEO BASE SOLVENT</v>
          </cell>
        </row>
        <row r="7549">
          <cell r="A7549" t="str">
            <v>ES-09110</v>
          </cell>
          <cell r="E7549" t="str">
            <v>ESMALTE DE HORNEO BASE SOLVENT</v>
          </cell>
        </row>
        <row r="7550">
          <cell r="A7550" t="str">
            <v>ES-09120</v>
          </cell>
          <cell r="E7550" t="str">
            <v>ESMALTE DE HORNEO BASE SOLVENT</v>
          </cell>
        </row>
        <row r="7551">
          <cell r="A7551" t="str">
            <v>ES-09151</v>
          </cell>
          <cell r="E7551" t="str">
            <v>ESMALTE - ULTRA RAPID</v>
          </cell>
        </row>
        <row r="7552">
          <cell r="A7552" t="str">
            <v>ES-09160</v>
          </cell>
          <cell r="E7552" t="str">
            <v>PRIMARIOS BASE AGUA</v>
          </cell>
        </row>
        <row r="7553">
          <cell r="A7553" t="str">
            <v>ES-09190</v>
          </cell>
          <cell r="E7553" t="str">
            <v>OTROS ACABADOS INDUSTRIALES</v>
          </cell>
        </row>
        <row r="7554">
          <cell r="A7554" t="str">
            <v>ES-09210</v>
          </cell>
          <cell r="E7554" t="str">
            <v>ESMALTE DE HORNEO BASE SOLVENT</v>
          </cell>
        </row>
        <row r="7555">
          <cell r="A7555" t="str">
            <v>ES-09271</v>
          </cell>
          <cell r="E7555" t="str">
            <v>PRIMARIOS ALQUIDALICOS</v>
          </cell>
        </row>
        <row r="7556">
          <cell r="A7556" t="str">
            <v>ES-09311</v>
          </cell>
          <cell r="E7556" t="str">
            <v>PRIMARIOS ALQUIDALICOS</v>
          </cell>
        </row>
        <row r="7557">
          <cell r="A7557" t="str">
            <v>ES-09711</v>
          </cell>
          <cell r="E7557" t="str">
            <v>ESMALTE - MILCO</v>
          </cell>
        </row>
        <row r="7558">
          <cell r="A7558" t="str">
            <v>ES-09713</v>
          </cell>
          <cell r="E7558" t="str">
            <v>ESMALTE - MILCO</v>
          </cell>
        </row>
        <row r="7559">
          <cell r="A7559" t="str">
            <v>ES-09714</v>
          </cell>
          <cell r="E7559" t="str">
            <v>ESMALTE - MILCO</v>
          </cell>
        </row>
        <row r="7560">
          <cell r="A7560" t="str">
            <v>ES-40020</v>
          </cell>
          <cell r="E7560" t="str">
            <v>LACA NITRO INDUSTRIAL</v>
          </cell>
        </row>
        <row r="7561">
          <cell r="A7561" t="str">
            <v>ES-40021</v>
          </cell>
          <cell r="E7561" t="str">
            <v>LACA NITRO INDUSTRIAL</v>
          </cell>
        </row>
        <row r="7562">
          <cell r="A7562" t="str">
            <v>ES-40051</v>
          </cell>
          <cell r="E7562" t="str">
            <v>FONDO DE POLIURETANO</v>
          </cell>
        </row>
        <row r="7563">
          <cell r="A7563" t="str">
            <v>ES-40080</v>
          </cell>
          <cell r="E7563" t="str">
            <v>LACA NITRO TRANSPARENTE SIGLO</v>
          </cell>
        </row>
        <row r="7564">
          <cell r="A7564" t="str">
            <v>ES-40104</v>
          </cell>
          <cell r="E7564" t="str">
            <v>TINTAS AL ACEITE P/MADERA</v>
          </cell>
        </row>
        <row r="7565">
          <cell r="A7565" t="str">
            <v>ES-40114</v>
          </cell>
          <cell r="E7565" t="str">
            <v>TINTAS AL ACEITE P/MADERA</v>
          </cell>
        </row>
        <row r="7566">
          <cell r="A7566" t="str">
            <v>ES-40124</v>
          </cell>
          <cell r="E7566" t="str">
            <v>TINTAS AL ACEITE P/MADERA</v>
          </cell>
        </row>
        <row r="7567">
          <cell r="A7567" t="str">
            <v>ES-40134</v>
          </cell>
          <cell r="E7567" t="str">
            <v>TINTAS AL ACEITE P/MADERA</v>
          </cell>
        </row>
        <row r="7568">
          <cell r="A7568" t="str">
            <v>ES-40144</v>
          </cell>
          <cell r="E7568" t="str">
            <v>TINTAS AL ACEITE P/MADERA</v>
          </cell>
        </row>
        <row r="7569">
          <cell r="A7569" t="str">
            <v>ES-40154</v>
          </cell>
          <cell r="E7569" t="str">
            <v>TINTAS AL ACEITE P/MADERA</v>
          </cell>
        </row>
        <row r="7570">
          <cell r="A7570" t="str">
            <v>ES-40181</v>
          </cell>
          <cell r="E7570" t="str">
            <v>FONDO DE POLIURETANO</v>
          </cell>
        </row>
        <row r="7571">
          <cell r="A7571" t="str">
            <v>ES-40183</v>
          </cell>
          <cell r="E7571" t="str">
            <v>FONDO DE POLIURETANO</v>
          </cell>
        </row>
        <row r="7572">
          <cell r="A7572" t="str">
            <v>ES-40231</v>
          </cell>
          <cell r="E7572" t="str">
            <v>FONDO DE NITROCELULOSA</v>
          </cell>
        </row>
        <row r="7573">
          <cell r="A7573" t="str">
            <v>ES-40251</v>
          </cell>
          <cell r="E7573" t="str">
            <v>TAPAPOROS Y RESANES PARA MADER</v>
          </cell>
        </row>
        <row r="7574">
          <cell r="A7574" t="str">
            <v>ES-40261</v>
          </cell>
          <cell r="E7574" t="str">
            <v>LACA NITRO INDUSTRIAL</v>
          </cell>
        </row>
        <row r="7575">
          <cell r="A7575" t="str">
            <v>ES-40301</v>
          </cell>
          <cell r="E7575" t="str">
            <v>BARNIZ DE POLIURETANO SIGLO</v>
          </cell>
        </row>
        <row r="7576">
          <cell r="A7576" t="str">
            <v>ES-40350</v>
          </cell>
          <cell r="E7576" t="str">
            <v>FONDO DE NITROCELULOSA</v>
          </cell>
        </row>
        <row r="7577">
          <cell r="A7577" t="str">
            <v>ES-40351</v>
          </cell>
          <cell r="E7577" t="str">
            <v>FONDO DE NITROCELULOSA</v>
          </cell>
        </row>
        <row r="7578">
          <cell r="A7578" t="str">
            <v>ES-40421</v>
          </cell>
          <cell r="E7578" t="str">
            <v>ESMALTE ACRILICO</v>
          </cell>
        </row>
        <row r="7579">
          <cell r="A7579" t="str">
            <v>ES-40440</v>
          </cell>
          <cell r="E7579" t="str">
            <v>LACA NITRO INDUSTRIAL</v>
          </cell>
        </row>
        <row r="7580">
          <cell r="A7580" t="str">
            <v>ES-40541</v>
          </cell>
          <cell r="E7580" t="str">
            <v>TINTAS AL ACEITE P/MADERA</v>
          </cell>
        </row>
        <row r="7581">
          <cell r="A7581" t="str">
            <v>ES-40544</v>
          </cell>
          <cell r="E7581" t="str">
            <v>TINTAS AL ACEITE P/MADERA</v>
          </cell>
        </row>
        <row r="7582">
          <cell r="A7582" t="str">
            <v>ES-40554</v>
          </cell>
          <cell r="E7582" t="str">
            <v>TINTAS AL ACEITE P/MADERA</v>
          </cell>
        </row>
        <row r="7583">
          <cell r="A7583" t="str">
            <v>ES-40563</v>
          </cell>
          <cell r="E7583" t="str">
            <v>MANCHAS PARA MADERA</v>
          </cell>
        </row>
        <row r="7584">
          <cell r="A7584" t="str">
            <v>ES-40564</v>
          </cell>
          <cell r="E7584" t="str">
            <v>TINTAS AL ACEITE P/MADERA</v>
          </cell>
        </row>
        <row r="7585">
          <cell r="A7585" t="str">
            <v>ES-40574</v>
          </cell>
          <cell r="E7585" t="str">
            <v>TINTAS AL ACEITE P/MADERA</v>
          </cell>
        </row>
        <row r="7586">
          <cell r="A7586" t="str">
            <v>ES-40581</v>
          </cell>
          <cell r="E7586" t="str">
            <v>TINTAS AL ACEITE P/MADERA</v>
          </cell>
        </row>
        <row r="7587">
          <cell r="A7587" t="str">
            <v>ES-40584</v>
          </cell>
          <cell r="E7587" t="str">
            <v>TINTAS AL ACEITE P/MADERA</v>
          </cell>
        </row>
        <row r="7588">
          <cell r="A7588" t="str">
            <v>ES-40620</v>
          </cell>
          <cell r="E7588" t="str">
            <v>FONDO DE POLIURETANO</v>
          </cell>
        </row>
        <row r="7589">
          <cell r="A7589" t="str">
            <v>ES-40621</v>
          </cell>
          <cell r="E7589" t="str">
            <v>FONDO DE POLIURETANO</v>
          </cell>
        </row>
        <row r="7590">
          <cell r="A7590" t="str">
            <v>ES-40691</v>
          </cell>
          <cell r="E7590" t="str">
            <v>FONDO DE POLIURETANO</v>
          </cell>
        </row>
        <row r="7591">
          <cell r="A7591" t="str">
            <v>ES-40701</v>
          </cell>
          <cell r="E7591" t="str">
            <v>FONDO DE POLIURETANO</v>
          </cell>
        </row>
        <row r="7592">
          <cell r="A7592" t="str">
            <v>ES-40781</v>
          </cell>
          <cell r="E7592" t="str">
            <v>LACA NITRO TRANSPARENTE SIGLO</v>
          </cell>
        </row>
        <row r="7593">
          <cell r="A7593" t="str">
            <v>ES-40821</v>
          </cell>
          <cell r="E7593" t="str">
            <v>BARNIZ DE POLIURETANO SIGLO</v>
          </cell>
        </row>
        <row r="7594">
          <cell r="A7594" t="str">
            <v>ES-40830</v>
          </cell>
          <cell r="E7594" t="str">
            <v>FONDO DE POLIURETANO</v>
          </cell>
        </row>
        <row r="7595">
          <cell r="A7595" t="str">
            <v>ES-40831</v>
          </cell>
          <cell r="E7595" t="str">
            <v>FONDO DE POLIURETANO</v>
          </cell>
        </row>
        <row r="7596">
          <cell r="A7596" t="str">
            <v>ES-40840</v>
          </cell>
          <cell r="E7596" t="str">
            <v>LACAS PARA SOMBREROS</v>
          </cell>
        </row>
        <row r="7597">
          <cell r="A7597" t="str">
            <v>ES-40891</v>
          </cell>
          <cell r="E7597" t="str">
            <v>BARNIZ ALQUIDALICO SIGLO</v>
          </cell>
        </row>
        <row r="7598">
          <cell r="A7598" t="str">
            <v>ES-41000</v>
          </cell>
          <cell r="E7598" t="str">
            <v>LACA NITRO TRANSPARENTE SIGLO</v>
          </cell>
        </row>
        <row r="7599">
          <cell r="A7599" t="str">
            <v>ES-41141</v>
          </cell>
          <cell r="E7599" t="str">
            <v>BARNIZ DE POLIURETANO SIGLO</v>
          </cell>
        </row>
        <row r="7600">
          <cell r="A7600" t="str">
            <v>ES-41181</v>
          </cell>
          <cell r="E7600" t="str">
            <v>BARNIZ DE POLIURETANO SIGLO</v>
          </cell>
        </row>
        <row r="7601">
          <cell r="A7601" t="str">
            <v>ES-41184</v>
          </cell>
          <cell r="E7601" t="str">
            <v>BARNIZ DE POLIURETANO SIGLO</v>
          </cell>
        </row>
        <row r="7602">
          <cell r="A7602" t="str">
            <v>ES-41200</v>
          </cell>
          <cell r="E7602" t="str">
            <v>PRIMARIOS ESTRUCTURALES ALQUID</v>
          </cell>
        </row>
        <row r="7603">
          <cell r="A7603" t="str">
            <v>ES-41221</v>
          </cell>
          <cell r="E7603" t="str">
            <v>SOLVENTES INDUSTRIALES</v>
          </cell>
        </row>
        <row r="7604">
          <cell r="A7604" t="str">
            <v>ES-41241</v>
          </cell>
          <cell r="E7604" t="str">
            <v>BARNIZ DE POLIURETANO SIGLO</v>
          </cell>
        </row>
        <row r="7605">
          <cell r="A7605" t="str">
            <v>ES-41251</v>
          </cell>
          <cell r="E7605" t="str">
            <v>BARNIZ DE POLIURETANO SIGLO</v>
          </cell>
        </row>
        <row r="7606">
          <cell r="A7606" t="str">
            <v>ES-41261</v>
          </cell>
          <cell r="E7606" t="str">
            <v>TAPAPOROS Y RESANES PARA MADER</v>
          </cell>
        </row>
        <row r="7607">
          <cell r="A7607" t="str">
            <v>ES-41271</v>
          </cell>
          <cell r="E7607" t="str">
            <v>SOLVENTES INDUSTRIALES</v>
          </cell>
        </row>
        <row r="7608">
          <cell r="A7608" t="str">
            <v>ES-41331</v>
          </cell>
          <cell r="E7608" t="str">
            <v>TINTAS BASE SOLVENTE P/MADERA</v>
          </cell>
        </row>
        <row r="7609">
          <cell r="A7609" t="str">
            <v>ES-41361</v>
          </cell>
          <cell r="E7609" t="str">
            <v>FONDO DE POLIURETANO</v>
          </cell>
        </row>
        <row r="7610">
          <cell r="A7610" t="str">
            <v>ES-41381</v>
          </cell>
          <cell r="E7610" t="str">
            <v>MANCHAS PARA MADERA</v>
          </cell>
        </row>
        <row r="7611">
          <cell r="A7611" t="str">
            <v>ES-41411</v>
          </cell>
          <cell r="E7611" t="str">
            <v>LACA ACRILICA</v>
          </cell>
        </row>
        <row r="7612">
          <cell r="A7612" t="str">
            <v>ES-41430</v>
          </cell>
          <cell r="E7612" t="str">
            <v>LACA NITRO TRANSPARENTE SIGLO</v>
          </cell>
        </row>
        <row r="7613">
          <cell r="A7613" t="str">
            <v>ES-41451</v>
          </cell>
          <cell r="E7613" t="str">
            <v>FONDO DE POLIURETANO</v>
          </cell>
        </row>
        <row r="7614">
          <cell r="A7614" t="str">
            <v>ES-41511</v>
          </cell>
          <cell r="E7614" t="str">
            <v>LACA NITRO INDUSTRIAL</v>
          </cell>
        </row>
        <row r="7615">
          <cell r="A7615" t="str">
            <v>ES-41520</v>
          </cell>
          <cell r="E7615" t="str">
            <v>LACA NITRO INDUSTRIAL</v>
          </cell>
        </row>
        <row r="7616">
          <cell r="A7616" t="str">
            <v>ES-41521</v>
          </cell>
          <cell r="E7616" t="str">
            <v>LACA NITRO INDUSTRIAL</v>
          </cell>
        </row>
        <row r="7617">
          <cell r="A7617" t="str">
            <v>ES-41523</v>
          </cell>
          <cell r="E7617" t="str">
            <v>LACA NITRO INDUSTRIAL</v>
          </cell>
        </row>
        <row r="7618">
          <cell r="A7618" t="str">
            <v>ES-41524</v>
          </cell>
          <cell r="E7618" t="str">
            <v>LACA NITRO INDUSTRIAL</v>
          </cell>
        </row>
        <row r="7619">
          <cell r="A7619" t="str">
            <v>ES-41531</v>
          </cell>
          <cell r="E7619" t="str">
            <v>SELLADORES DE NITROCELULOSA</v>
          </cell>
        </row>
        <row r="7620">
          <cell r="A7620" t="str">
            <v>ES-41550</v>
          </cell>
          <cell r="E7620" t="str">
            <v>LACA NITRO TRANSPARENTE SIGLO</v>
          </cell>
        </row>
        <row r="7621">
          <cell r="A7621" t="str">
            <v>ES-41561</v>
          </cell>
          <cell r="E7621" t="str">
            <v>ESMALTE ACRILICO</v>
          </cell>
        </row>
        <row r="7622">
          <cell r="A7622" t="str">
            <v>ES-41564</v>
          </cell>
          <cell r="E7622" t="str">
            <v>ESMALTE ACRILICO</v>
          </cell>
        </row>
        <row r="7623">
          <cell r="A7623" t="str">
            <v>ES-41571</v>
          </cell>
          <cell r="E7623" t="str">
            <v>ESMALTE ACRILICO</v>
          </cell>
        </row>
        <row r="7624">
          <cell r="A7624" t="str">
            <v>ES-41574</v>
          </cell>
          <cell r="E7624" t="str">
            <v>ESMALTE ACRILICO</v>
          </cell>
        </row>
        <row r="7625">
          <cell r="A7625" t="str">
            <v>ES-41591</v>
          </cell>
          <cell r="E7625" t="str">
            <v>LACA NITRO INDUSTRIAL</v>
          </cell>
        </row>
        <row r="7626">
          <cell r="A7626" t="str">
            <v>ES-41611</v>
          </cell>
          <cell r="E7626" t="str">
            <v>FONDO DE POLIURETANO</v>
          </cell>
        </row>
        <row r="7627">
          <cell r="A7627" t="str">
            <v>ES-41651</v>
          </cell>
          <cell r="E7627" t="str">
            <v>FONDO DE POLIURETANO</v>
          </cell>
        </row>
        <row r="7628">
          <cell r="A7628" t="str">
            <v>ES-41661</v>
          </cell>
          <cell r="E7628" t="str">
            <v>FONDO DE POLIURETANO</v>
          </cell>
        </row>
        <row r="7629">
          <cell r="A7629" t="str">
            <v>ES-41701</v>
          </cell>
          <cell r="E7629" t="str">
            <v>FONDO DE POLIURETANO</v>
          </cell>
        </row>
        <row r="7630">
          <cell r="A7630" t="str">
            <v>ES-41711</v>
          </cell>
          <cell r="E7630" t="str">
            <v>BARNIZ DE POLIURETANO SIGLO</v>
          </cell>
        </row>
        <row r="7631">
          <cell r="A7631" t="str">
            <v>ES-41771</v>
          </cell>
          <cell r="E7631" t="str">
            <v>BARNIZ DE POLIURETANO SIGLO</v>
          </cell>
        </row>
        <row r="7632">
          <cell r="A7632" t="str">
            <v>ES-41811</v>
          </cell>
          <cell r="E7632" t="str">
            <v>BARNIZ DE POLIURETANO SIGLO</v>
          </cell>
        </row>
        <row r="7633">
          <cell r="A7633" t="str">
            <v>ES-41860</v>
          </cell>
          <cell r="E7633" t="str">
            <v>LACA NITRO TRANSPARENTE SIGLO</v>
          </cell>
        </row>
        <row r="7634">
          <cell r="A7634" t="str">
            <v>ES-41971</v>
          </cell>
          <cell r="E7634" t="str">
            <v>OTROS ACABADOS PARA MADERA SIG</v>
          </cell>
        </row>
        <row r="7635">
          <cell r="A7635" t="str">
            <v>ES-4197TB</v>
          </cell>
          <cell r="E7635" t="str">
            <v>OTROS ACABADOS PARA MADERA SIG</v>
          </cell>
        </row>
        <row r="7636">
          <cell r="A7636" t="str">
            <v>ES-42001</v>
          </cell>
          <cell r="E7636" t="str">
            <v>FONDO DE POLIURETANO</v>
          </cell>
        </row>
        <row r="7637">
          <cell r="A7637" t="str">
            <v>ES-42021</v>
          </cell>
          <cell r="E7637" t="str">
            <v>LACA NITRO TRANSPARENTE SIGLO</v>
          </cell>
        </row>
        <row r="7638">
          <cell r="A7638" t="str">
            <v>ES-42061</v>
          </cell>
          <cell r="E7638" t="str">
            <v>LACA NITRO INDUSTRIAL</v>
          </cell>
        </row>
        <row r="7639">
          <cell r="A7639" t="str">
            <v>ES-42101</v>
          </cell>
          <cell r="E7639" t="str">
            <v>FONDO DE POLIURETANO</v>
          </cell>
        </row>
        <row r="7640">
          <cell r="A7640" t="str">
            <v>ES-42121</v>
          </cell>
          <cell r="E7640" t="str">
            <v>LACA NITRO TRANSPARENTE SIGLO</v>
          </cell>
        </row>
        <row r="7641">
          <cell r="A7641" t="str">
            <v>ES-42141</v>
          </cell>
          <cell r="E7641" t="str">
            <v>LACA NITRO TRANSPARENTE SIGLO</v>
          </cell>
        </row>
        <row r="7642">
          <cell r="A7642" t="str">
            <v>ES-42171</v>
          </cell>
          <cell r="E7642" t="str">
            <v>LACA NITRO INDUSTRIAL</v>
          </cell>
        </row>
        <row r="7643">
          <cell r="A7643" t="str">
            <v>ES-42181</v>
          </cell>
          <cell r="E7643" t="str">
            <v>LACA NITRO INDUSTRIAL</v>
          </cell>
        </row>
        <row r="7644">
          <cell r="A7644" t="str">
            <v>ES-42251</v>
          </cell>
          <cell r="E7644" t="str">
            <v>ESMALTE ACRILICO</v>
          </cell>
        </row>
        <row r="7645">
          <cell r="A7645" t="str">
            <v>ES-42260</v>
          </cell>
          <cell r="E7645" t="str">
            <v>LACA NITRO TRANSPARENTE SIGLO</v>
          </cell>
        </row>
        <row r="7646">
          <cell r="A7646" t="str">
            <v>ES-42261</v>
          </cell>
          <cell r="E7646" t="str">
            <v>LACA NITRO TRANSPARENTE SIGLO</v>
          </cell>
        </row>
        <row r="7647">
          <cell r="A7647" t="str">
            <v>ES-42311</v>
          </cell>
          <cell r="E7647" t="str">
            <v>FONDO DE POLIURETANO</v>
          </cell>
        </row>
        <row r="7648">
          <cell r="A7648" t="str">
            <v>ES-42351</v>
          </cell>
          <cell r="E7648" t="str">
            <v>LACA NITRO INDUSTRIAL</v>
          </cell>
        </row>
        <row r="7649">
          <cell r="A7649" t="str">
            <v>ES-42361</v>
          </cell>
          <cell r="E7649" t="str">
            <v>TINTAS BASE SOLVENTE P/MADERA</v>
          </cell>
        </row>
        <row r="7650">
          <cell r="A7650" t="str">
            <v>ES-42364</v>
          </cell>
          <cell r="E7650" t="str">
            <v>TINTAS BASE SOLVENTE P/MADERA</v>
          </cell>
        </row>
        <row r="7651">
          <cell r="A7651" t="str">
            <v>ES-42391</v>
          </cell>
          <cell r="E7651" t="str">
            <v>FONDO DE NITROCELULOSA</v>
          </cell>
        </row>
        <row r="7652">
          <cell r="A7652" t="str">
            <v>ES-42401</v>
          </cell>
          <cell r="E7652" t="str">
            <v>LACA NITRO INDUSTRIAL</v>
          </cell>
        </row>
        <row r="7653">
          <cell r="A7653" t="str">
            <v>ES-42431</v>
          </cell>
          <cell r="E7653" t="str">
            <v>LACA NITRO TRANSPARENTE SIGLO</v>
          </cell>
        </row>
        <row r="7654">
          <cell r="A7654" t="str">
            <v>ES-42464</v>
          </cell>
          <cell r="E7654" t="str">
            <v>BARNIZ DE POLIURETANO SIGLO</v>
          </cell>
        </row>
        <row r="7655">
          <cell r="A7655" t="str">
            <v>ES-42471</v>
          </cell>
          <cell r="E7655" t="str">
            <v>ESMALTE ACRILICO</v>
          </cell>
        </row>
        <row r="7656">
          <cell r="A7656" t="str">
            <v>ES-42541</v>
          </cell>
          <cell r="E7656" t="str">
            <v>LACAS PARA SOMBREROS</v>
          </cell>
        </row>
        <row r="7657">
          <cell r="A7657" t="str">
            <v>ES-42580</v>
          </cell>
          <cell r="E7657" t="str">
            <v>LACA NITRO INDUSTRIAL</v>
          </cell>
        </row>
        <row r="7658">
          <cell r="A7658" t="str">
            <v>ES-42650</v>
          </cell>
          <cell r="E7658" t="str">
            <v>LACAS PARA SOMBREROS</v>
          </cell>
        </row>
        <row r="7659">
          <cell r="A7659" t="str">
            <v>ES-42670</v>
          </cell>
          <cell r="E7659" t="str">
            <v>LACA NITRO TRANSPARENTE SIGLO</v>
          </cell>
        </row>
        <row r="7660">
          <cell r="A7660" t="str">
            <v>ES-42751</v>
          </cell>
          <cell r="E7660" t="str">
            <v>ACABADOS DE PU</v>
          </cell>
        </row>
        <row r="7661">
          <cell r="A7661" t="str">
            <v>ES-42831</v>
          </cell>
          <cell r="E7661" t="str">
            <v>LACA NITRO TRANSPARENTE SIGLO</v>
          </cell>
        </row>
        <row r="7662">
          <cell r="A7662" t="str">
            <v>ES-42870</v>
          </cell>
          <cell r="E7662" t="str">
            <v>LACAS PARA SOMBREROS</v>
          </cell>
        </row>
        <row r="7663">
          <cell r="A7663" t="str">
            <v>ES-42911</v>
          </cell>
          <cell r="E7663" t="str">
            <v>FONDO DE POLIURETANO</v>
          </cell>
        </row>
        <row r="7664">
          <cell r="A7664" t="str">
            <v>ES-42921</v>
          </cell>
          <cell r="E7664" t="str">
            <v>BARNIZ DE POLIURETANO SIGLO</v>
          </cell>
        </row>
        <row r="7665">
          <cell r="A7665" t="str">
            <v>ES-42941</v>
          </cell>
          <cell r="E7665" t="str">
            <v>LACA NITRO INDUSTRIAL</v>
          </cell>
        </row>
        <row r="7666">
          <cell r="A7666" t="str">
            <v>ES-43010</v>
          </cell>
          <cell r="E7666" t="str">
            <v>LACAS PARA SOMBREROS</v>
          </cell>
        </row>
        <row r="7667">
          <cell r="A7667" t="str">
            <v>ES-43061</v>
          </cell>
          <cell r="E7667" t="str">
            <v>BARNIZ DE POLIURETANO SIGLO</v>
          </cell>
        </row>
        <row r="7668">
          <cell r="A7668" t="str">
            <v>ES-43071</v>
          </cell>
          <cell r="E7668" t="str">
            <v>BARNIZ DE POLIURETANO SIGLO</v>
          </cell>
        </row>
        <row r="7669">
          <cell r="A7669" t="str">
            <v>ES-43101</v>
          </cell>
          <cell r="E7669" t="str">
            <v>FONDO DE POLIURETANO</v>
          </cell>
        </row>
        <row r="7670">
          <cell r="A7670" t="str">
            <v>ES-43151</v>
          </cell>
          <cell r="E7670" t="str">
            <v>OTROS ACABADOS PARA MADERA SIG</v>
          </cell>
        </row>
        <row r="7671">
          <cell r="A7671" t="str">
            <v>ES-43160</v>
          </cell>
          <cell r="E7671" t="str">
            <v>FONDO DE POLIURETANO</v>
          </cell>
        </row>
        <row r="7672">
          <cell r="A7672" t="str">
            <v>ES-43171</v>
          </cell>
          <cell r="E7672" t="str">
            <v>ESMALTE ACRILICO</v>
          </cell>
        </row>
        <row r="7673">
          <cell r="A7673" t="str">
            <v>ES-43173</v>
          </cell>
          <cell r="E7673" t="str">
            <v>ESMALTE ACRILICO</v>
          </cell>
        </row>
        <row r="7674">
          <cell r="A7674" t="str">
            <v>ES-43174</v>
          </cell>
          <cell r="E7674" t="str">
            <v>ESMALTE ACRILICO</v>
          </cell>
        </row>
        <row r="7675">
          <cell r="A7675" t="str">
            <v>ES-43191</v>
          </cell>
          <cell r="E7675" t="str">
            <v>LACA NITRO INDUSTRIAL</v>
          </cell>
        </row>
        <row r="7676">
          <cell r="A7676" t="str">
            <v>ES-43201</v>
          </cell>
          <cell r="E7676" t="str">
            <v>LACA NITRO INDUSTRIAL</v>
          </cell>
        </row>
        <row r="7677">
          <cell r="A7677" t="str">
            <v>ES-43210</v>
          </cell>
          <cell r="E7677" t="str">
            <v>LACA NITRO INDUSTRIAL</v>
          </cell>
        </row>
        <row r="7678">
          <cell r="A7678" t="str">
            <v>ES-43230</v>
          </cell>
          <cell r="E7678" t="str">
            <v>LACA NITRO INDUSTRIAL</v>
          </cell>
        </row>
        <row r="7679">
          <cell r="A7679" t="str">
            <v>ES-43231</v>
          </cell>
          <cell r="E7679" t="str">
            <v>LACA NITRO INDUSTRIAL</v>
          </cell>
        </row>
        <row r="7680">
          <cell r="A7680" t="str">
            <v>ES-43251</v>
          </cell>
          <cell r="E7680" t="str">
            <v>BARNIZ DE POLIURETANO SIGLO</v>
          </cell>
        </row>
        <row r="7681">
          <cell r="A7681" t="str">
            <v>ES-43261</v>
          </cell>
          <cell r="E7681" t="str">
            <v>FONDO DE POLIURETANO</v>
          </cell>
        </row>
        <row r="7682">
          <cell r="A7682" t="str">
            <v>ES-43280</v>
          </cell>
          <cell r="E7682" t="str">
            <v>SELLADORES PARA SOMBREROS</v>
          </cell>
        </row>
        <row r="7683">
          <cell r="A7683" t="str">
            <v>ES-43291</v>
          </cell>
          <cell r="E7683" t="str">
            <v>BARNIZ DE POLIURETANO SIGLO</v>
          </cell>
        </row>
        <row r="7684">
          <cell r="A7684" t="str">
            <v>ES-43293</v>
          </cell>
          <cell r="E7684" t="str">
            <v>BARNIZ DE POLIURETANO SIGLO</v>
          </cell>
        </row>
        <row r="7685">
          <cell r="A7685" t="str">
            <v>ES-43294</v>
          </cell>
          <cell r="E7685" t="str">
            <v>BARNIZ DE POLIURETANO SIGLO</v>
          </cell>
        </row>
        <row r="7686">
          <cell r="A7686" t="str">
            <v>ES-43311</v>
          </cell>
          <cell r="E7686" t="str">
            <v>MANCHAS PARA MADERA</v>
          </cell>
        </row>
        <row r="7687">
          <cell r="A7687" t="str">
            <v>ES-43313</v>
          </cell>
          <cell r="E7687" t="str">
            <v>MANCHAS PARA MADERA</v>
          </cell>
        </row>
        <row r="7688">
          <cell r="A7688" t="str">
            <v>ES-43321</v>
          </cell>
          <cell r="E7688" t="str">
            <v>MANCHAS PARA MADERA</v>
          </cell>
        </row>
        <row r="7689">
          <cell r="A7689" t="str">
            <v>ES-43331</v>
          </cell>
          <cell r="E7689" t="str">
            <v>MANCHAS PARA MADERA</v>
          </cell>
        </row>
        <row r="7690">
          <cell r="A7690" t="str">
            <v>ES-43333</v>
          </cell>
          <cell r="E7690" t="str">
            <v>MANCHAS PARA MADERA</v>
          </cell>
        </row>
        <row r="7691">
          <cell r="A7691" t="str">
            <v>ES-43341</v>
          </cell>
          <cell r="E7691" t="str">
            <v>MANCHAS PARA MADERA</v>
          </cell>
        </row>
        <row r="7692">
          <cell r="A7692" t="str">
            <v>ES-43343</v>
          </cell>
          <cell r="E7692" t="str">
            <v>MANCHAS PARA MADERA</v>
          </cell>
        </row>
        <row r="7693">
          <cell r="A7693" t="str">
            <v>ES-43350</v>
          </cell>
          <cell r="E7693" t="str">
            <v>SELLADORES DE NITROCELULOSA</v>
          </cell>
        </row>
        <row r="7694">
          <cell r="A7694" t="str">
            <v>ES-43361</v>
          </cell>
          <cell r="E7694" t="str">
            <v>LACA NITRO TRANSPARENTE SIGLO</v>
          </cell>
        </row>
        <row r="7695">
          <cell r="A7695" t="str">
            <v>ES-43371</v>
          </cell>
          <cell r="E7695" t="str">
            <v>LACA NITRO TRANSPARENTE SIGLO</v>
          </cell>
        </row>
        <row r="7696">
          <cell r="A7696" t="str">
            <v>ES-43391</v>
          </cell>
          <cell r="E7696" t="str">
            <v>LACA NITRO TRANSPARENTE SIGLO</v>
          </cell>
        </row>
        <row r="7697">
          <cell r="A7697" t="str">
            <v>ES-43401</v>
          </cell>
          <cell r="E7697" t="str">
            <v>LACA NITRO TRANSPARENTE SIGLO</v>
          </cell>
        </row>
        <row r="7698">
          <cell r="A7698" t="str">
            <v>ES-43411</v>
          </cell>
          <cell r="E7698" t="str">
            <v>FONDO DE POLIURETANO</v>
          </cell>
        </row>
        <row r="7699">
          <cell r="A7699" t="str">
            <v>ES-43421</v>
          </cell>
          <cell r="E7699" t="str">
            <v>BARNIZ DE POLIURETANO SIGLO</v>
          </cell>
        </row>
        <row r="7700">
          <cell r="A7700" t="str">
            <v>ES-43430</v>
          </cell>
          <cell r="E7700" t="str">
            <v>LACA NITRO TRANSPARENTE SIGLO</v>
          </cell>
        </row>
        <row r="7701">
          <cell r="A7701" t="str">
            <v>ES-43444</v>
          </cell>
          <cell r="E7701" t="str">
            <v>MANCHAS PARA MADERA</v>
          </cell>
        </row>
        <row r="7702">
          <cell r="A7702" t="str">
            <v>ES-43451</v>
          </cell>
          <cell r="E7702" t="str">
            <v>FONDO DE POLIURETANO</v>
          </cell>
        </row>
        <row r="7703">
          <cell r="A7703" t="str">
            <v>ES-43461</v>
          </cell>
          <cell r="E7703" t="str">
            <v>LACA NITRO INDUSTRIAL</v>
          </cell>
        </row>
        <row r="7704">
          <cell r="A7704" t="str">
            <v>ES-43501</v>
          </cell>
          <cell r="E7704" t="str">
            <v>FONDO DE POLIURETANO</v>
          </cell>
        </row>
        <row r="7705">
          <cell r="A7705" t="str">
            <v>ES-43511</v>
          </cell>
          <cell r="E7705" t="str">
            <v>FONDO DE POLIURETANO</v>
          </cell>
        </row>
        <row r="7706">
          <cell r="A7706" t="str">
            <v>ES-43521</v>
          </cell>
          <cell r="E7706" t="str">
            <v>FONDO DE POLIURETANO</v>
          </cell>
        </row>
        <row r="7707">
          <cell r="A7707" t="str">
            <v>ES-43531</v>
          </cell>
          <cell r="E7707" t="str">
            <v>FONDO DE POLIURETANO</v>
          </cell>
        </row>
        <row r="7708">
          <cell r="A7708" t="str">
            <v>ES-43541</v>
          </cell>
          <cell r="E7708" t="str">
            <v>FONDO DE POLIURETANO</v>
          </cell>
        </row>
        <row r="7709">
          <cell r="A7709" t="str">
            <v>ES-43543</v>
          </cell>
          <cell r="E7709" t="str">
            <v>FONDO DE POLIURETANO</v>
          </cell>
        </row>
        <row r="7710">
          <cell r="A7710" t="str">
            <v>ES-43544</v>
          </cell>
          <cell r="E7710" t="str">
            <v>FONDO DE POLIURETANO</v>
          </cell>
        </row>
        <row r="7711">
          <cell r="A7711" t="str">
            <v>ES-43551</v>
          </cell>
          <cell r="E7711" t="str">
            <v>FONDO DE POLIURETANO</v>
          </cell>
        </row>
        <row r="7712">
          <cell r="A7712" t="str">
            <v>ES-43561</v>
          </cell>
          <cell r="E7712" t="str">
            <v>FONDO DE POLIURETANO</v>
          </cell>
        </row>
        <row r="7713">
          <cell r="A7713" t="str">
            <v>ES-43571</v>
          </cell>
          <cell r="E7713" t="str">
            <v>FONDO DE POLIURETANO</v>
          </cell>
        </row>
        <row r="7714">
          <cell r="A7714" t="str">
            <v>ES-43581</v>
          </cell>
          <cell r="E7714" t="str">
            <v>TINTAS BASE SOLVENTE P/MADERA</v>
          </cell>
        </row>
        <row r="7715">
          <cell r="A7715" t="str">
            <v>ES-43591</v>
          </cell>
          <cell r="E7715" t="str">
            <v>OTROS ACABADOS PARA MADERA SIG</v>
          </cell>
        </row>
        <row r="7716">
          <cell r="A7716" t="str">
            <v>ES-43601</v>
          </cell>
          <cell r="E7716" t="str">
            <v>OTROS ACABADOS PARA MADERA SIG</v>
          </cell>
        </row>
        <row r="7717">
          <cell r="A7717" t="str">
            <v>ES-43611</v>
          </cell>
          <cell r="E7717" t="str">
            <v>OTROS ACABADOS PARA MADERA SIG</v>
          </cell>
        </row>
        <row r="7718">
          <cell r="A7718" t="str">
            <v>ES-43650</v>
          </cell>
          <cell r="E7718" t="str">
            <v>LACAS PARA SOMBREROS</v>
          </cell>
        </row>
        <row r="7719">
          <cell r="A7719" t="str">
            <v>ES-43651</v>
          </cell>
          <cell r="E7719" t="str">
            <v>LACAS PARA SOMBREROS</v>
          </cell>
        </row>
        <row r="7720">
          <cell r="A7720" t="str">
            <v>ES-43661</v>
          </cell>
          <cell r="E7720" t="str">
            <v>BARNIZ DE POLIURETANO SIGLO</v>
          </cell>
        </row>
        <row r="7721">
          <cell r="A7721" t="str">
            <v>ES-43671</v>
          </cell>
          <cell r="E7721" t="str">
            <v>LACA NITRO INDUSTRIAL</v>
          </cell>
        </row>
        <row r="7722">
          <cell r="A7722" t="str">
            <v>ES-43711</v>
          </cell>
          <cell r="E7722" t="str">
            <v>BARNIZ DE POLIURETANO SIGLO</v>
          </cell>
        </row>
        <row r="7723">
          <cell r="A7723" t="str">
            <v>ES-43741</v>
          </cell>
          <cell r="E7723" t="str">
            <v>OTROS ACABADOS PARA MADERA SIG</v>
          </cell>
        </row>
        <row r="7724">
          <cell r="A7724" t="str">
            <v>ES-43751</v>
          </cell>
          <cell r="E7724" t="str">
            <v>OTROS ACABADOS PARA MADERA SIG</v>
          </cell>
        </row>
        <row r="7725">
          <cell r="A7725" t="str">
            <v>ES-43761</v>
          </cell>
          <cell r="E7725" t="str">
            <v>OTROS ACABADOS PARA MADERA SIG</v>
          </cell>
        </row>
        <row r="7726">
          <cell r="A7726" t="str">
            <v>ES-43771</v>
          </cell>
          <cell r="E7726" t="str">
            <v>LACA NITRO INDUSTRIAL</v>
          </cell>
        </row>
        <row r="7727">
          <cell r="A7727" t="str">
            <v>ES-43791</v>
          </cell>
          <cell r="E7727" t="str">
            <v>BARNIZ DE POLIURETANO SIGLO</v>
          </cell>
        </row>
        <row r="7728">
          <cell r="A7728" t="str">
            <v>ES-43801</v>
          </cell>
          <cell r="E7728" t="str">
            <v>BARNIZ DE POLIURETANO SIGLO</v>
          </cell>
        </row>
        <row r="7729">
          <cell r="A7729" t="str">
            <v>ES-43811</v>
          </cell>
          <cell r="E7729" t="str">
            <v>SELLADORES DE POLIURETANO</v>
          </cell>
        </row>
        <row r="7730">
          <cell r="A7730" t="str">
            <v>ES-43821</v>
          </cell>
          <cell r="E7730" t="str">
            <v>BARNIZ DE POLIURETANO SIGLO</v>
          </cell>
        </row>
        <row r="7731">
          <cell r="A7731" t="str">
            <v>ES-43831</v>
          </cell>
          <cell r="E7731" t="str">
            <v>BARNIZ DE POLIURETANO SIGLO</v>
          </cell>
        </row>
        <row r="7732">
          <cell r="A7732" t="str">
            <v>ES-43841</v>
          </cell>
          <cell r="E7732" t="str">
            <v>LACA NITRO INDUSTRIAL</v>
          </cell>
        </row>
        <row r="7733">
          <cell r="A7733" t="str">
            <v>ES-43851</v>
          </cell>
          <cell r="E7733" t="str">
            <v>BARNIZ DE POLIURETANO SIGLO</v>
          </cell>
        </row>
        <row r="7734">
          <cell r="A7734" t="str">
            <v>ES-43861</v>
          </cell>
          <cell r="E7734" t="str">
            <v>OTROS ACABADOS PARA MADERA SIG</v>
          </cell>
        </row>
        <row r="7735">
          <cell r="A7735" t="str">
            <v>ES-43871</v>
          </cell>
          <cell r="E7735" t="str">
            <v>BARNIZ DE POLIURETANO SIGLO</v>
          </cell>
        </row>
        <row r="7736">
          <cell r="A7736" t="str">
            <v>ES-43881</v>
          </cell>
          <cell r="E7736" t="str">
            <v>OTROS ACABADOS PARA MADERA SIG</v>
          </cell>
        </row>
        <row r="7737">
          <cell r="A7737" t="str">
            <v>ES-43891</v>
          </cell>
          <cell r="E7737" t="str">
            <v>OTROS ACABADOS PARA MADERA SIG</v>
          </cell>
        </row>
        <row r="7738">
          <cell r="A7738" t="str">
            <v>ES-43901</v>
          </cell>
          <cell r="E7738" t="str">
            <v>OTROS ACABADOS PARA MADERA SIG</v>
          </cell>
        </row>
        <row r="7739">
          <cell r="A7739" t="str">
            <v>ES-43921</v>
          </cell>
          <cell r="E7739" t="str">
            <v>TAPAPOROS Y RESANES PARA MADER</v>
          </cell>
        </row>
        <row r="7740">
          <cell r="A7740" t="str">
            <v>ES-43941</v>
          </cell>
          <cell r="E7740" t="str">
            <v>LACA NITRO INDUSTRIAL</v>
          </cell>
        </row>
        <row r="7741">
          <cell r="A7741" t="str">
            <v>ES-43951</v>
          </cell>
          <cell r="E7741" t="str">
            <v>LACA ACRILICA</v>
          </cell>
        </row>
        <row r="7742">
          <cell r="A7742" t="str">
            <v>ES-43960</v>
          </cell>
          <cell r="E7742" t="str">
            <v>LACA NITRO INDUSTRIAL</v>
          </cell>
        </row>
        <row r="7743">
          <cell r="A7743" t="str">
            <v>ES-43961</v>
          </cell>
          <cell r="E7743" t="str">
            <v>LACA NITRO INDUSTRIAL</v>
          </cell>
        </row>
        <row r="7744">
          <cell r="A7744" t="str">
            <v>ES-43971</v>
          </cell>
          <cell r="E7744" t="str">
            <v>ESMALTE PU AUTOMOTIVO</v>
          </cell>
        </row>
        <row r="7745">
          <cell r="A7745" t="str">
            <v>ES-43991</v>
          </cell>
          <cell r="E7745" t="str">
            <v>LACA ACRILICA</v>
          </cell>
        </row>
        <row r="7746">
          <cell r="A7746" t="str">
            <v>ES-44001</v>
          </cell>
          <cell r="E7746" t="str">
            <v>BARNIZ DE POLIURETANO SIGLO</v>
          </cell>
        </row>
        <row r="7747">
          <cell r="A7747" t="str">
            <v>ES-44011</v>
          </cell>
          <cell r="E7747" t="str">
            <v>BARNIZ DE POLIURETANO SIGLO</v>
          </cell>
        </row>
        <row r="7748">
          <cell r="A7748" t="str">
            <v>ES-44020</v>
          </cell>
          <cell r="E7748" t="str">
            <v>LACAS PARA SOMBREROS</v>
          </cell>
        </row>
        <row r="7749">
          <cell r="A7749" t="str">
            <v>ES-44030</v>
          </cell>
          <cell r="E7749" t="str">
            <v>LACA NITRO INDUSTRIAL</v>
          </cell>
        </row>
        <row r="7750">
          <cell r="A7750" t="str">
            <v>ES-44041</v>
          </cell>
          <cell r="E7750" t="str">
            <v>LACA ACRILICA</v>
          </cell>
        </row>
        <row r="7751">
          <cell r="A7751" t="str">
            <v>ES-44051</v>
          </cell>
          <cell r="E7751" t="str">
            <v>OTROS ACABADOS PARA MADERA SIG</v>
          </cell>
        </row>
        <row r="7752">
          <cell r="A7752" t="str">
            <v>ES-44081</v>
          </cell>
          <cell r="E7752" t="str">
            <v>MANCHAS PARA MADERA</v>
          </cell>
        </row>
        <row r="7753">
          <cell r="A7753" t="str">
            <v>ES-44091</v>
          </cell>
          <cell r="E7753" t="str">
            <v>FONDO DE POLIURETANO</v>
          </cell>
        </row>
        <row r="7754">
          <cell r="A7754" t="str">
            <v>ES-44101</v>
          </cell>
          <cell r="E7754" t="str">
            <v>TAPAPOROS Y RESANES PARA MADER</v>
          </cell>
        </row>
        <row r="7755">
          <cell r="A7755" t="str">
            <v>ES-44111</v>
          </cell>
          <cell r="E7755" t="str">
            <v>ESMALTE PU AUTOMOTIVO</v>
          </cell>
        </row>
        <row r="7756">
          <cell r="A7756" t="str">
            <v>ES-44123</v>
          </cell>
          <cell r="E7756" t="str">
            <v>BARNIZ DE POLIURETANO SIGLO</v>
          </cell>
        </row>
        <row r="7757">
          <cell r="A7757" t="str">
            <v>ES-44151</v>
          </cell>
          <cell r="E7757" t="str">
            <v>LACA NITRO TRANSPARENTE SIGLO</v>
          </cell>
        </row>
        <row r="7758">
          <cell r="A7758" t="str">
            <v>ES-44181</v>
          </cell>
          <cell r="E7758" t="str">
            <v>BARNIZ DE POLIURETANO SIGLO</v>
          </cell>
        </row>
        <row r="7759">
          <cell r="A7759" t="str">
            <v>ES-44191</v>
          </cell>
          <cell r="E7759" t="str">
            <v>BARNIZ DE POLIURETANO SIGLO</v>
          </cell>
        </row>
        <row r="7760">
          <cell r="A7760" t="str">
            <v>ES-44201</v>
          </cell>
          <cell r="E7760" t="str">
            <v>BARNIZ DE POLIURETANO SIGLO</v>
          </cell>
        </row>
        <row r="7761">
          <cell r="A7761" t="str">
            <v>ES-44211</v>
          </cell>
          <cell r="E7761" t="str">
            <v>FONDO DE POLIURETANO</v>
          </cell>
        </row>
        <row r="7762">
          <cell r="A7762" t="str">
            <v>ES-44221</v>
          </cell>
          <cell r="E7762" t="str">
            <v>FONDO DE POLIURETANO</v>
          </cell>
        </row>
        <row r="7763">
          <cell r="A7763" t="str">
            <v>ES-44231</v>
          </cell>
          <cell r="E7763" t="str">
            <v>BARNIZ DE POLIURETANO SIGLO</v>
          </cell>
        </row>
        <row r="7764">
          <cell r="A7764" t="str">
            <v>ES-44241</v>
          </cell>
          <cell r="E7764" t="str">
            <v>MANCHAS PARA MADERA</v>
          </cell>
        </row>
        <row r="7765">
          <cell r="A7765" t="str">
            <v>ES-44251</v>
          </cell>
          <cell r="E7765" t="str">
            <v>MANCHAS PARA MADERA</v>
          </cell>
        </row>
        <row r="7766">
          <cell r="A7766" t="str">
            <v>ES-44291</v>
          </cell>
          <cell r="E7766" t="str">
            <v>BARNIZ DE POLIURETANO SIGLO</v>
          </cell>
        </row>
        <row r="7767">
          <cell r="A7767" t="str">
            <v>ES-44301</v>
          </cell>
          <cell r="E7767" t="str">
            <v>LACA NITRO INDUSTRIAL</v>
          </cell>
        </row>
        <row r="7768">
          <cell r="A7768" t="str">
            <v>ES-44310</v>
          </cell>
          <cell r="E7768" t="str">
            <v>LACAS PARA SOMBREROS</v>
          </cell>
        </row>
        <row r="7769">
          <cell r="A7769" t="str">
            <v>ES-44321</v>
          </cell>
          <cell r="E7769" t="str">
            <v>FONDO DE NITROCELULOSA</v>
          </cell>
        </row>
        <row r="7770">
          <cell r="A7770" t="str">
            <v>ES-44331</v>
          </cell>
          <cell r="E7770" t="str">
            <v>FONDO DE POLIURETANO</v>
          </cell>
        </row>
        <row r="7771">
          <cell r="A7771" t="str">
            <v>ES-44341</v>
          </cell>
          <cell r="E7771" t="str">
            <v>FONDO DE POLIURETANO</v>
          </cell>
        </row>
        <row r="7772">
          <cell r="A7772" t="str">
            <v>ES-44351</v>
          </cell>
          <cell r="E7772" t="str">
            <v>FONDO DE POLIURETANO</v>
          </cell>
        </row>
        <row r="7773">
          <cell r="A7773" t="str">
            <v>ES-44361</v>
          </cell>
          <cell r="E7773" t="str">
            <v>BARNIZ DE POLIURETANO SIGLO</v>
          </cell>
        </row>
        <row r="7774">
          <cell r="A7774" t="str">
            <v>ES-44401</v>
          </cell>
          <cell r="E7774" t="str">
            <v>OTROS ACABADOS PARA MADERA SIG</v>
          </cell>
        </row>
        <row r="7775">
          <cell r="A7775" t="str">
            <v>ES-44431</v>
          </cell>
          <cell r="E7775" t="str">
            <v>BARNIZ DE POLIURETANO SIGLO</v>
          </cell>
        </row>
        <row r="7776">
          <cell r="A7776" t="str">
            <v>ES-44451</v>
          </cell>
          <cell r="E7776" t="str">
            <v>MANCHAS PARA MADERA</v>
          </cell>
        </row>
        <row r="7777">
          <cell r="A7777" t="str">
            <v>ES-44461</v>
          </cell>
          <cell r="E7777" t="str">
            <v>LACAS PARA SOMBREROS</v>
          </cell>
        </row>
        <row r="7778">
          <cell r="A7778" t="str">
            <v>ES-44471</v>
          </cell>
          <cell r="E7778" t="str">
            <v>BARNIZ DE POLIURETANO SIGLO</v>
          </cell>
        </row>
        <row r="7779">
          <cell r="A7779" t="str">
            <v>ES-44481</v>
          </cell>
          <cell r="E7779" t="str">
            <v>LACA NITRO INDUSTRIAL</v>
          </cell>
        </row>
        <row r="7780">
          <cell r="A7780" t="str">
            <v>ES-44491</v>
          </cell>
          <cell r="E7780" t="str">
            <v>LACA NITRO INDUSTRIAL</v>
          </cell>
        </row>
        <row r="7781">
          <cell r="A7781" t="str">
            <v>ES-44501</v>
          </cell>
          <cell r="E7781" t="str">
            <v>LACA NITRO INDUSTRIAL</v>
          </cell>
        </row>
        <row r="7782">
          <cell r="A7782" t="str">
            <v>ES-44510</v>
          </cell>
          <cell r="E7782" t="str">
            <v>LACA NITRO INDUSTRIAL</v>
          </cell>
        </row>
        <row r="7783">
          <cell r="A7783" t="str">
            <v>ES-44521</v>
          </cell>
          <cell r="E7783" t="str">
            <v>BARNIZ DE POLIURETANO SIGLO</v>
          </cell>
        </row>
        <row r="7784">
          <cell r="A7784" t="str">
            <v>ES-44531</v>
          </cell>
          <cell r="E7784" t="str">
            <v>BARNIZ DE POLIURETANO SIGLO</v>
          </cell>
        </row>
        <row r="7785">
          <cell r="A7785" t="str">
            <v>ES-44540</v>
          </cell>
          <cell r="E7785" t="str">
            <v>SELLADORES DE NITROCELULOSA</v>
          </cell>
        </row>
        <row r="7786">
          <cell r="A7786" t="str">
            <v>ES-44551</v>
          </cell>
          <cell r="E7786" t="str">
            <v>FONDO DE POLIURETANO</v>
          </cell>
        </row>
        <row r="7787">
          <cell r="A7787" t="str">
            <v>ES-44561</v>
          </cell>
          <cell r="E7787" t="str">
            <v>LACA NITRO INDUSTRIAL</v>
          </cell>
        </row>
        <row r="7788">
          <cell r="A7788" t="str">
            <v>ES-44594</v>
          </cell>
          <cell r="E7788" t="str">
            <v>BARNIZ DE POLIURETANO SIGLO</v>
          </cell>
        </row>
        <row r="7789">
          <cell r="A7789" t="str">
            <v>ES-44601</v>
          </cell>
          <cell r="E7789" t="str">
            <v>ESMALTE ACRILICO</v>
          </cell>
        </row>
        <row r="7790">
          <cell r="A7790" t="str">
            <v>ES-44613</v>
          </cell>
          <cell r="E7790" t="str">
            <v>ESMALTE PU AUTOMOTIVO</v>
          </cell>
        </row>
        <row r="7791">
          <cell r="A7791" t="str">
            <v>ES-44621</v>
          </cell>
          <cell r="E7791" t="str">
            <v>TAPAPOROS Y RESANES PARA MADER</v>
          </cell>
        </row>
        <row r="7792">
          <cell r="A7792" t="str">
            <v>ES-44634</v>
          </cell>
          <cell r="E7792" t="str">
            <v>MANCHAS PARA MADERA</v>
          </cell>
        </row>
        <row r="7793">
          <cell r="A7793" t="str">
            <v>ES-44650</v>
          </cell>
          <cell r="E7793" t="str">
            <v>LACA NITRO TRANSPARENTE SIGLO</v>
          </cell>
        </row>
        <row r="7794">
          <cell r="A7794" t="str">
            <v>ES-44661</v>
          </cell>
          <cell r="E7794" t="str">
            <v>BARNIZ DE POLIURETANO SIGLO</v>
          </cell>
        </row>
        <row r="7795">
          <cell r="A7795" t="str">
            <v>ES-44671</v>
          </cell>
          <cell r="E7795" t="str">
            <v>TAPAPOROS Y RESANES PARA MADER</v>
          </cell>
        </row>
        <row r="7796">
          <cell r="A7796" t="str">
            <v>ES-44681</v>
          </cell>
          <cell r="E7796" t="str">
            <v>MANCHAS PARA MADERA</v>
          </cell>
        </row>
        <row r="7797">
          <cell r="A7797" t="str">
            <v>ES-44691</v>
          </cell>
          <cell r="E7797" t="str">
            <v>LACA NITRO INDUSTRIAL</v>
          </cell>
        </row>
        <row r="7798">
          <cell r="A7798" t="str">
            <v>ES-44701</v>
          </cell>
          <cell r="E7798" t="str">
            <v>LACA NITRO INDUSTRIAL</v>
          </cell>
        </row>
        <row r="7799">
          <cell r="A7799" t="str">
            <v>ES-44711</v>
          </cell>
          <cell r="E7799" t="str">
            <v>LACA NITRO INDUSTRIAL</v>
          </cell>
        </row>
        <row r="7800">
          <cell r="A7800" t="str">
            <v>ES-44734</v>
          </cell>
          <cell r="E7800" t="str">
            <v>OTROS ACABADOS PARA MADERA SIG</v>
          </cell>
        </row>
        <row r="7801">
          <cell r="A7801" t="str">
            <v>ES-44741</v>
          </cell>
          <cell r="E7801" t="str">
            <v>BARNIZ DE POLIURETANO SIGLO</v>
          </cell>
        </row>
        <row r="7802">
          <cell r="A7802" t="str">
            <v>ES-44761</v>
          </cell>
          <cell r="E7802" t="str">
            <v>ESMALTE PU AUTOMOTIVO</v>
          </cell>
        </row>
        <row r="7803">
          <cell r="A7803" t="str">
            <v>ES-44771</v>
          </cell>
          <cell r="E7803" t="str">
            <v>ESMALTE PU AUTOMOTIVO</v>
          </cell>
        </row>
        <row r="7804">
          <cell r="A7804" t="str">
            <v>ES-44781</v>
          </cell>
          <cell r="E7804" t="str">
            <v>ESMALTE PU AUTOMOTIVO</v>
          </cell>
        </row>
        <row r="7805">
          <cell r="A7805" t="str">
            <v>ES-44791</v>
          </cell>
          <cell r="E7805" t="str">
            <v>ESMALTE ACRILICO</v>
          </cell>
        </row>
        <row r="7806">
          <cell r="A7806" t="str">
            <v>ES-44801</v>
          </cell>
          <cell r="E7806" t="str">
            <v>ESMALTE ACRILICO</v>
          </cell>
        </row>
        <row r="7807">
          <cell r="A7807" t="str">
            <v>ES-44821</v>
          </cell>
          <cell r="E7807" t="str">
            <v>ESMALTE ACRILICO</v>
          </cell>
        </row>
        <row r="7808">
          <cell r="A7808" t="str">
            <v>ES-44831</v>
          </cell>
          <cell r="E7808" t="str">
            <v>ESMALTE ACRILICO</v>
          </cell>
        </row>
        <row r="7809">
          <cell r="A7809" t="str">
            <v>ES-44841</v>
          </cell>
          <cell r="E7809" t="str">
            <v>ESMALTE ACRILICO</v>
          </cell>
        </row>
        <row r="7810">
          <cell r="A7810" t="str">
            <v>ES-44851</v>
          </cell>
          <cell r="E7810" t="str">
            <v>OTROS ACABADOS PARA MADERA SIG</v>
          </cell>
        </row>
        <row r="7811">
          <cell r="A7811" t="str">
            <v>ES-44961</v>
          </cell>
          <cell r="E7811" t="str">
            <v>BARNIZ DE POLIURETANO SIGLO</v>
          </cell>
        </row>
        <row r="7812">
          <cell r="A7812" t="str">
            <v>ES-44970</v>
          </cell>
          <cell r="E7812" t="str">
            <v>LACA NITRO TRANSPARENTE SIGLO</v>
          </cell>
        </row>
        <row r="7813">
          <cell r="A7813" t="str">
            <v>ES-44971</v>
          </cell>
          <cell r="E7813" t="str">
            <v>LACA NITRO TRANSPARENTE SIGLO</v>
          </cell>
        </row>
        <row r="7814">
          <cell r="A7814" t="str">
            <v>ES-44981</v>
          </cell>
          <cell r="E7814" t="str">
            <v>LACA NITRO INDUSTRIAL</v>
          </cell>
        </row>
        <row r="7815">
          <cell r="A7815" t="str">
            <v>ES-44991</v>
          </cell>
          <cell r="E7815" t="str">
            <v>LACA NITRO INDUSTRIAL</v>
          </cell>
        </row>
        <row r="7816">
          <cell r="A7816" t="str">
            <v>ES-45001</v>
          </cell>
          <cell r="E7816" t="str">
            <v>LACA NITRO INDUSTRIAL</v>
          </cell>
        </row>
        <row r="7817">
          <cell r="A7817" t="str">
            <v>ES-45020</v>
          </cell>
          <cell r="E7817" t="str">
            <v>LACA NITRO TRANSPARENTE SIGLO</v>
          </cell>
        </row>
        <row r="7818">
          <cell r="A7818" t="str">
            <v>ES-45053</v>
          </cell>
          <cell r="E7818" t="str">
            <v>ESMALTE PU AUTOMOTIVO</v>
          </cell>
        </row>
        <row r="7819">
          <cell r="A7819" t="str">
            <v>ES-45071</v>
          </cell>
          <cell r="E7819" t="str">
            <v>FONDO DE NITROCELULOSA</v>
          </cell>
        </row>
        <row r="7820">
          <cell r="A7820" t="str">
            <v>ES-45091</v>
          </cell>
          <cell r="E7820" t="str">
            <v>MANCHAS PARA MADERA</v>
          </cell>
        </row>
        <row r="7821">
          <cell r="A7821" t="str">
            <v>ES-45121</v>
          </cell>
          <cell r="E7821" t="str">
            <v>SELLADORES DE NITROCELULOSA</v>
          </cell>
        </row>
        <row r="7822">
          <cell r="A7822" t="str">
            <v>ES-45140</v>
          </cell>
          <cell r="E7822" t="str">
            <v>LACA NITRO INDUSTRIAL</v>
          </cell>
        </row>
        <row r="7823">
          <cell r="A7823" t="str">
            <v>ES-45171</v>
          </cell>
          <cell r="E7823" t="str">
            <v>OTROS ACABADOS PARA MADERA SIG</v>
          </cell>
        </row>
        <row r="7824">
          <cell r="A7824" t="str">
            <v>ES-45181</v>
          </cell>
          <cell r="E7824" t="str">
            <v>OTROS ACABADOS PARA MADERA SIG</v>
          </cell>
        </row>
        <row r="7825">
          <cell r="A7825" t="str">
            <v>ES-45191</v>
          </cell>
          <cell r="E7825" t="str">
            <v>TINTAS BASE SOLVENTE P/MADERA</v>
          </cell>
        </row>
        <row r="7826">
          <cell r="A7826" t="str">
            <v>ES-45201</v>
          </cell>
          <cell r="E7826" t="str">
            <v>SELLADORES DE POLIURETANO</v>
          </cell>
        </row>
        <row r="7827">
          <cell r="A7827" t="str">
            <v>ES-45203</v>
          </cell>
          <cell r="E7827" t="str">
            <v>SELLADORES DE POLIURETANO</v>
          </cell>
        </row>
        <row r="7828">
          <cell r="A7828" t="str">
            <v>ES-45204</v>
          </cell>
          <cell r="E7828" t="str">
            <v>SELLADORES DE POLIURETANO</v>
          </cell>
        </row>
        <row r="7829">
          <cell r="A7829" t="str">
            <v>ES-45221</v>
          </cell>
          <cell r="E7829" t="str">
            <v>BARNIZ DE POLIURETANO SIGLO</v>
          </cell>
        </row>
        <row r="7830">
          <cell r="A7830" t="str">
            <v>ES-45223</v>
          </cell>
          <cell r="E7830" t="str">
            <v>BARNIZ DE POLIURETANO SIGLO</v>
          </cell>
        </row>
        <row r="7831">
          <cell r="A7831" t="str">
            <v>ES-45224</v>
          </cell>
          <cell r="E7831" t="str">
            <v>BARNIZ DE POLIURETANO SIGLO</v>
          </cell>
        </row>
        <row r="7832">
          <cell r="A7832" t="str">
            <v>ES-45231</v>
          </cell>
          <cell r="E7832" t="str">
            <v>BARNIZ DE POLIURETANO SIGLO</v>
          </cell>
        </row>
        <row r="7833">
          <cell r="A7833" t="str">
            <v>ES-45233</v>
          </cell>
          <cell r="E7833" t="str">
            <v>BARNIZ DE POLIURETANO SIGLO</v>
          </cell>
        </row>
        <row r="7834">
          <cell r="A7834" t="str">
            <v>ES-45234</v>
          </cell>
          <cell r="E7834" t="str">
            <v>BARNIZ DE POLIURETANO SIGLO</v>
          </cell>
        </row>
        <row r="7835">
          <cell r="A7835" t="str">
            <v>ES-45235</v>
          </cell>
          <cell r="E7835" t="str">
            <v>BARNIZ DE POLIURETANO SIGLO</v>
          </cell>
        </row>
        <row r="7836">
          <cell r="A7836" t="str">
            <v>ES-45241</v>
          </cell>
          <cell r="E7836" t="str">
            <v>FONDO DE POLIURETANO</v>
          </cell>
        </row>
        <row r="7837">
          <cell r="A7837" t="str">
            <v>ES-45251</v>
          </cell>
          <cell r="E7837" t="str">
            <v>OTROS ACABADOS PARA MADERA SIG</v>
          </cell>
        </row>
        <row r="7838">
          <cell r="A7838" t="str">
            <v>ES-45261</v>
          </cell>
          <cell r="E7838" t="str">
            <v>OTROS ACABADOS PARA MADERA SIG</v>
          </cell>
        </row>
        <row r="7839">
          <cell r="A7839" t="str">
            <v>ES-45270</v>
          </cell>
          <cell r="E7839" t="str">
            <v>LACAS PARA SOMBREROS</v>
          </cell>
        </row>
        <row r="7840">
          <cell r="A7840" t="str">
            <v>ES-45280</v>
          </cell>
          <cell r="E7840" t="str">
            <v>LACAS PARA SOMBREROS</v>
          </cell>
        </row>
        <row r="7841">
          <cell r="A7841" t="str">
            <v>ES-45301</v>
          </cell>
          <cell r="E7841" t="str">
            <v>LACAS PARA SOMBREROS</v>
          </cell>
        </row>
        <row r="7842">
          <cell r="A7842" t="str">
            <v>ES-45310</v>
          </cell>
          <cell r="E7842" t="str">
            <v>SELLADORES DE NITROCELULOSA</v>
          </cell>
        </row>
        <row r="7843">
          <cell r="A7843" t="str">
            <v>ES-45311</v>
          </cell>
          <cell r="E7843" t="str">
            <v>SELLADORES DE NITROCELULOSA</v>
          </cell>
        </row>
        <row r="7844">
          <cell r="A7844" t="str">
            <v>ES-45321</v>
          </cell>
          <cell r="E7844" t="str">
            <v>ESMALTE ACRILICO</v>
          </cell>
        </row>
        <row r="7845">
          <cell r="A7845" t="str">
            <v>ES-45331</v>
          </cell>
          <cell r="E7845" t="str">
            <v>BARNIZ DE POLIURETANO SIGLO</v>
          </cell>
        </row>
        <row r="7846">
          <cell r="A7846" t="str">
            <v>ES-45340</v>
          </cell>
          <cell r="E7846" t="str">
            <v>LACAS PARA SOMBREROS</v>
          </cell>
        </row>
        <row r="7847">
          <cell r="A7847" t="str">
            <v>ES-45351</v>
          </cell>
          <cell r="E7847" t="str">
            <v>TINTAS BASE SOLVENTE P/MADERA</v>
          </cell>
        </row>
        <row r="7848">
          <cell r="A7848" t="str">
            <v>ES-45370</v>
          </cell>
          <cell r="E7848" t="str">
            <v>LACAS PARA SOMBREROS</v>
          </cell>
        </row>
        <row r="7849">
          <cell r="A7849" t="str">
            <v>ES-45381</v>
          </cell>
          <cell r="E7849" t="str">
            <v>ESMALTE ACRILICO</v>
          </cell>
        </row>
        <row r="7850">
          <cell r="A7850" t="str">
            <v>ES-45391</v>
          </cell>
          <cell r="E7850" t="str">
            <v>OTROS ACABADOS PARA MADERA SIG</v>
          </cell>
        </row>
        <row r="7851">
          <cell r="A7851" t="str">
            <v>ES-45401</v>
          </cell>
          <cell r="E7851" t="str">
            <v>FONDO DE NITROCELULOSA</v>
          </cell>
        </row>
        <row r="7852">
          <cell r="A7852" t="str">
            <v>ES-45410</v>
          </cell>
          <cell r="E7852" t="str">
            <v>LACAS PARA SOMBREROS</v>
          </cell>
        </row>
        <row r="7853">
          <cell r="A7853" t="str">
            <v>ES-45420</v>
          </cell>
          <cell r="E7853" t="str">
            <v>LACA NITRO TRANSPARENTE SIGLO</v>
          </cell>
        </row>
        <row r="7854">
          <cell r="A7854" t="str">
            <v>ES-45430</v>
          </cell>
          <cell r="E7854" t="str">
            <v>LACA NITRO TRANSPARENTE SIGLO</v>
          </cell>
        </row>
        <row r="7855">
          <cell r="A7855" t="str">
            <v>ES-45441</v>
          </cell>
          <cell r="E7855" t="str">
            <v>LACA NITRO TRANSPARENTE SIGLO</v>
          </cell>
        </row>
        <row r="7856">
          <cell r="A7856" t="str">
            <v>ES-45451</v>
          </cell>
          <cell r="E7856" t="str">
            <v>ESMALTE ACRILICO</v>
          </cell>
        </row>
        <row r="7857">
          <cell r="A7857" t="str">
            <v>ES-45461</v>
          </cell>
          <cell r="E7857" t="str">
            <v>BARNIZ DE POLIURETANO SIGLO</v>
          </cell>
        </row>
        <row r="7858">
          <cell r="A7858" t="str">
            <v>ES-45471</v>
          </cell>
          <cell r="E7858" t="str">
            <v>OTROS ACABADOS PARA MADERA SIG</v>
          </cell>
        </row>
        <row r="7859">
          <cell r="A7859" t="str">
            <v>ES-45481</v>
          </cell>
          <cell r="E7859" t="str">
            <v>OTROS ACABADOS PARA MADERA SIG</v>
          </cell>
        </row>
        <row r="7860">
          <cell r="A7860" t="str">
            <v>ES-45491</v>
          </cell>
          <cell r="E7860" t="str">
            <v>OTROS ACABADOS PARA MADERA SIG</v>
          </cell>
        </row>
        <row r="7861">
          <cell r="A7861" t="str">
            <v>ES-45511</v>
          </cell>
          <cell r="E7861" t="str">
            <v>FONDO DE NITROCELULOSA</v>
          </cell>
        </row>
        <row r="7862">
          <cell r="A7862" t="str">
            <v>ES-45521</v>
          </cell>
          <cell r="E7862" t="str">
            <v>BASE COLOR</v>
          </cell>
        </row>
        <row r="7863">
          <cell r="A7863" t="str">
            <v>ES-45531</v>
          </cell>
          <cell r="E7863" t="str">
            <v>TINTAS AL ACEITE P/MADERA</v>
          </cell>
        </row>
        <row r="7864">
          <cell r="A7864" t="str">
            <v>ES-45540</v>
          </cell>
          <cell r="E7864" t="str">
            <v>LACA NITRO TRANSPARENTE SIGLO</v>
          </cell>
        </row>
        <row r="7865">
          <cell r="A7865" t="str">
            <v>ES-45553</v>
          </cell>
          <cell r="E7865" t="str">
            <v>ESMALTE PU AUTOMOTIVO</v>
          </cell>
        </row>
        <row r="7866">
          <cell r="A7866" t="str">
            <v>ES-45563</v>
          </cell>
          <cell r="E7866" t="str">
            <v>ESMALTE PU AUTOMOTIVO</v>
          </cell>
        </row>
        <row r="7867">
          <cell r="A7867" t="str">
            <v>ES-45573</v>
          </cell>
          <cell r="E7867" t="str">
            <v>ESMALTE PU AUTOMOTIVO</v>
          </cell>
        </row>
        <row r="7868">
          <cell r="A7868" t="str">
            <v>ES-45583</v>
          </cell>
          <cell r="E7868" t="str">
            <v>ESMALTE PU AUTOMOTIVO</v>
          </cell>
        </row>
        <row r="7869">
          <cell r="A7869" t="str">
            <v>ES-45593</v>
          </cell>
          <cell r="E7869" t="str">
            <v>ESMALTE PU AUTOMOTIVO</v>
          </cell>
        </row>
        <row r="7870">
          <cell r="A7870" t="str">
            <v>ES-45603</v>
          </cell>
          <cell r="E7870" t="str">
            <v>ESMALTE PU AUTOMOTIVO</v>
          </cell>
        </row>
        <row r="7871">
          <cell r="A7871" t="str">
            <v>ES-45610</v>
          </cell>
          <cell r="E7871" t="str">
            <v>LACAS PARA SOMBREROS</v>
          </cell>
        </row>
        <row r="7872">
          <cell r="A7872" t="str">
            <v>ES-45620</v>
          </cell>
          <cell r="E7872" t="str">
            <v>LACAS PARA SOMBREROS</v>
          </cell>
        </row>
        <row r="7873">
          <cell r="A7873" t="str">
            <v>ES-45631</v>
          </cell>
          <cell r="E7873" t="str">
            <v>LACA NITRO INDUSTRIAL</v>
          </cell>
        </row>
        <row r="7874">
          <cell r="A7874" t="str">
            <v>ES-45641</v>
          </cell>
          <cell r="E7874" t="str">
            <v>FONDO DE POLIURETANO</v>
          </cell>
        </row>
        <row r="7875">
          <cell r="A7875" t="str">
            <v>ES-45691</v>
          </cell>
          <cell r="E7875" t="str">
            <v>OTROS ACABADOS PARA MADERA SIG</v>
          </cell>
        </row>
        <row r="7876">
          <cell r="A7876" t="str">
            <v>ES-45711</v>
          </cell>
          <cell r="E7876" t="str">
            <v>OTROS ACABADOS PARA MADERA SIG</v>
          </cell>
        </row>
        <row r="7877">
          <cell r="A7877" t="str">
            <v>ES-45721</v>
          </cell>
          <cell r="E7877" t="str">
            <v>OTROS ACABADOS PARA MADERA SIG</v>
          </cell>
        </row>
        <row r="7878">
          <cell r="A7878" t="str">
            <v>ES-45731</v>
          </cell>
          <cell r="E7878" t="str">
            <v>OTROS ACABADOS PARA MADERA SIG</v>
          </cell>
        </row>
        <row r="7879">
          <cell r="A7879" t="str">
            <v>ES-45741</v>
          </cell>
          <cell r="E7879" t="str">
            <v>LACA BASE AGUA</v>
          </cell>
        </row>
        <row r="7880">
          <cell r="A7880" t="str">
            <v>ES-45751</v>
          </cell>
          <cell r="E7880" t="str">
            <v>FONDO DE POLIURETANO</v>
          </cell>
        </row>
        <row r="7881">
          <cell r="A7881" t="str">
            <v>ES-45761</v>
          </cell>
          <cell r="E7881" t="str">
            <v>LACAS PARA SOMBREROS</v>
          </cell>
        </row>
        <row r="7882">
          <cell r="A7882" t="str">
            <v>ES-45771</v>
          </cell>
          <cell r="E7882" t="str">
            <v>LACA BASE AGUA</v>
          </cell>
        </row>
        <row r="7883">
          <cell r="A7883" t="str">
            <v>ES-45781</v>
          </cell>
          <cell r="E7883" t="str">
            <v>FONDO DE NITROCELULOSA</v>
          </cell>
        </row>
        <row r="7884">
          <cell r="A7884" t="str">
            <v>ES-45801</v>
          </cell>
          <cell r="E7884" t="str">
            <v>LACAS PARA SOMBREROS</v>
          </cell>
        </row>
        <row r="7885">
          <cell r="A7885" t="str">
            <v>ES-45810</v>
          </cell>
          <cell r="E7885" t="str">
            <v>LACAS PARA SOMBREROS</v>
          </cell>
        </row>
        <row r="7886">
          <cell r="A7886" t="str">
            <v>ES-45841</v>
          </cell>
          <cell r="E7886" t="str">
            <v>LACA BASE AGUA</v>
          </cell>
        </row>
        <row r="7887">
          <cell r="A7887" t="str">
            <v>ES-45861</v>
          </cell>
          <cell r="E7887" t="str">
            <v>FONDO DE NITROCELULOSA</v>
          </cell>
        </row>
        <row r="7888">
          <cell r="A7888" t="str">
            <v>ES-45871</v>
          </cell>
          <cell r="E7888" t="str">
            <v>SOLVENTES INDUSTRIALES</v>
          </cell>
        </row>
        <row r="7889">
          <cell r="A7889" t="str">
            <v>ES-45881</v>
          </cell>
          <cell r="E7889" t="str">
            <v>LACAS PARA SOMBREROS</v>
          </cell>
        </row>
        <row r="7890">
          <cell r="A7890" t="str">
            <v>ES-45901</v>
          </cell>
          <cell r="E7890" t="str">
            <v>BARNIZ DE POLIURETANO SIGLO</v>
          </cell>
        </row>
        <row r="7891">
          <cell r="A7891" t="str">
            <v>ES-45910</v>
          </cell>
          <cell r="E7891" t="str">
            <v>LACAS PARA SOMBREROS</v>
          </cell>
        </row>
        <row r="7892">
          <cell r="A7892" t="str">
            <v>ES-45931</v>
          </cell>
          <cell r="E7892" t="str">
            <v>MANCHAS PARA MADERA</v>
          </cell>
        </row>
        <row r="7893">
          <cell r="A7893" t="str">
            <v>ES-45940</v>
          </cell>
          <cell r="E7893" t="str">
            <v>LACAS PARA SOMBREROS</v>
          </cell>
        </row>
        <row r="7894">
          <cell r="A7894" t="str">
            <v>ES-45941</v>
          </cell>
          <cell r="E7894" t="str">
            <v>LACAS PARA SOMBREROS</v>
          </cell>
        </row>
        <row r="7895">
          <cell r="A7895" t="str">
            <v>ES-45950</v>
          </cell>
          <cell r="E7895" t="str">
            <v>LACAS PARA SOMBREROS</v>
          </cell>
        </row>
        <row r="7896">
          <cell r="A7896" t="str">
            <v>ES-45951</v>
          </cell>
          <cell r="E7896" t="str">
            <v>LACAS PARA SOMBREROS</v>
          </cell>
        </row>
        <row r="7897">
          <cell r="A7897" t="str">
            <v>ES-45963</v>
          </cell>
          <cell r="E7897" t="str">
            <v>TAPAPOROS Y RESANES PARA MADER</v>
          </cell>
        </row>
        <row r="7898">
          <cell r="A7898" t="str">
            <v>ES-45980</v>
          </cell>
          <cell r="E7898" t="str">
            <v>LACAS PARA SOMBREROS</v>
          </cell>
        </row>
        <row r="7899">
          <cell r="A7899" t="str">
            <v>ES-45990</v>
          </cell>
          <cell r="E7899" t="str">
            <v>LACA NITRO TRANSPARENTE SIGLO</v>
          </cell>
        </row>
        <row r="7900">
          <cell r="A7900" t="str">
            <v>ES-46001</v>
          </cell>
          <cell r="E7900" t="str">
            <v>BARNIZ DE POLIURETANO SIGLO</v>
          </cell>
        </row>
        <row r="7901">
          <cell r="A7901" t="str">
            <v>ES-46010</v>
          </cell>
          <cell r="E7901" t="str">
            <v>LACAS PARA SOMBREROS</v>
          </cell>
        </row>
        <row r="7902">
          <cell r="A7902" t="str">
            <v>ES-46020</v>
          </cell>
          <cell r="E7902" t="str">
            <v>LACA NITRO TRANSPARENTE SIGLO</v>
          </cell>
        </row>
        <row r="7903">
          <cell r="A7903" t="str">
            <v>ES-46030</v>
          </cell>
          <cell r="E7903" t="str">
            <v>LACAS PARA SOMBREROS</v>
          </cell>
        </row>
        <row r="7904">
          <cell r="A7904" t="str">
            <v>ES-46073</v>
          </cell>
          <cell r="E7904" t="str">
            <v>FONDO DE POLIURETANO</v>
          </cell>
        </row>
        <row r="7905">
          <cell r="A7905" t="str">
            <v>ES-46083</v>
          </cell>
          <cell r="E7905" t="str">
            <v>FONDO DE POLIURETANO</v>
          </cell>
        </row>
        <row r="7906">
          <cell r="A7906" t="str">
            <v>ES-46091</v>
          </cell>
          <cell r="E7906" t="str">
            <v>LACA NITRO INDUSTRIAL</v>
          </cell>
        </row>
        <row r="7907">
          <cell r="A7907" t="str">
            <v>ES-46111</v>
          </cell>
          <cell r="E7907" t="str">
            <v>OTROS ACABADOS PARA MADERA SIG</v>
          </cell>
        </row>
        <row r="7908">
          <cell r="A7908" t="str">
            <v>ES-46121</v>
          </cell>
          <cell r="E7908" t="str">
            <v>ESMALTE ACRILICO</v>
          </cell>
        </row>
        <row r="7909">
          <cell r="A7909" t="str">
            <v>ES-46130</v>
          </cell>
          <cell r="E7909" t="str">
            <v>LACA NITRO TRANSPARENTE SIGLO</v>
          </cell>
        </row>
        <row r="7910">
          <cell r="A7910" t="str">
            <v>ES-46141</v>
          </cell>
          <cell r="E7910" t="str">
            <v>FONDO POLIACRILICO Y POLIESTER</v>
          </cell>
        </row>
        <row r="7911">
          <cell r="A7911" t="str">
            <v>ES-46151</v>
          </cell>
          <cell r="E7911" t="str">
            <v>BARNIZ DE POLIURETANO SIGLO</v>
          </cell>
        </row>
        <row r="7912">
          <cell r="A7912" t="str">
            <v>ES-46191</v>
          </cell>
          <cell r="E7912" t="str">
            <v>LACA NITRO INDUSTRIAL</v>
          </cell>
        </row>
        <row r="7913">
          <cell r="A7913" t="str">
            <v>ES-46200</v>
          </cell>
          <cell r="E7913" t="str">
            <v>LACAS PARA SOMBREROS</v>
          </cell>
        </row>
        <row r="7914">
          <cell r="A7914" t="str">
            <v>ES-46211</v>
          </cell>
          <cell r="E7914" t="str">
            <v>LACA NITRO INDUSTRIAL</v>
          </cell>
        </row>
        <row r="7915">
          <cell r="A7915" t="str">
            <v>ES-46231</v>
          </cell>
          <cell r="E7915" t="str">
            <v>BARNIZ DE POLIURETANO SIGLO</v>
          </cell>
        </row>
        <row r="7916">
          <cell r="A7916" t="str">
            <v>ES-46240</v>
          </cell>
          <cell r="E7916" t="str">
            <v>VINILICA - PRISASPORT</v>
          </cell>
        </row>
        <row r="7917">
          <cell r="A7917" t="str">
            <v>ES-46271</v>
          </cell>
          <cell r="E7917" t="str">
            <v>BARNIZ DE POLIURETANO SIGLO</v>
          </cell>
        </row>
        <row r="7918">
          <cell r="A7918" t="str">
            <v>ES-46311</v>
          </cell>
          <cell r="E7918" t="str">
            <v>OTROS ACABADOS PARA MADERA SIG</v>
          </cell>
        </row>
        <row r="7919">
          <cell r="A7919" t="str">
            <v>ES-46331</v>
          </cell>
          <cell r="E7919" t="str">
            <v>PULIMENTO</v>
          </cell>
        </row>
        <row r="7920">
          <cell r="A7920" t="str">
            <v>ES-46341</v>
          </cell>
          <cell r="E7920" t="str">
            <v>LACA NITRO INDUSTRIAL</v>
          </cell>
        </row>
        <row r="7921">
          <cell r="A7921" t="str">
            <v>ES-46351</v>
          </cell>
          <cell r="E7921" t="str">
            <v>LACA NITRO INDUSTRIAL</v>
          </cell>
        </row>
        <row r="7922">
          <cell r="A7922" t="str">
            <v>ES-46361</v>
          </cell>
          <cell r="E7922" t="str">
            <v>LACA NITRO INDUSTRIAL</v>
          </cell>
        </row>
        <row r="7923">
          <cell r="A7923" t="str">
            <v>ES-46390</v>
          </cell>
          <cell r="E7923" t="str">
            <v>LACA NITRO TRANSPARENTE SIGLO</v>
          </cell>
        </row>
        <row r="7924">
          <cell r="A7924" t="str">
            <v>ES-46403</v>
          </cell>
          <cell r="E7924" t="str">
            <v>BARNIZ DE POLIURETANO SIGLO</v>
          </cell>
        </row>
        <row r="7925">
          <cell r="A7925" t="str">
            <v>ES-46413</v>
          </cell>
          <cell r="E7925" t="str">
            <v>BARNIZ DE POLIURETANO SIGLO</v>
          </cell>
        </row>
        <row r="7926">
          <cell r="A7926" t="str">
            <v>ES-46423</v>
          </cell>
          <cell r="E7926" t="str">
            <v>BARNIZ DE POLIURETANO SIGLO</v>
          </cell>
        </row>
        <row r="7927">
          <cell r="A7927" t="str">
            <v>ES-46433</v>
          </cell>
          <cell r="E7927" t="str">
            <v>BARNIZ DE POLIURETANO SIGLO</v>
          </cell>
        </row>
        <row r="7928">
          <cell r="A7928" t="str">
            <v>ES-46443</v>
          </cell>
          <cell r="E7928" t="str">
            <v>BARNIZ DE POLIURETANO SIGLO</v>
          </cell>
        </row>
        <row r="7929">
          <cell r="A7929" t="str">
            <v>ES-46471</v>
          </cell>
          <cell r="E7929" t="str">
            <v>BARNIZ DE POLIURETANO SIGLO</v>
          </cell>
        </row>
        <row r="7930">
          <cell r="A7930" t="str">
            <v>ES-46483</v>
          </cell>
          <cell r="E7930" t="str">
            <v>BARNIZ DE POLIURETANO SIGLO</v>
          </cell>
        </row>
        <row r="7931">
          <cell r="A7931" t="str">
            <v>ES-46530</v>
          </cell>
          <cell r="E7931" t="str">
            <v>LACA NITRO INDUSTRIAL</v>
          </cell>
        </row>
        <row r="7932">
          <cell r="A7932" t="str">
            <v>ES-46551</v>
          </cell>
          <cell r="E7932" t="str">
            <v>LACA ACRILICA</v>
          </cell>
        </row>
        <row r="7933">
          <cell r="A7933" t="str">
            <v>ES-46561</v>
          </cell>
          <cell r="E7933" t="str">
            <v>LACA NITRO TRANSPARENTE SIGLO</v>
          </cell>
        </row>
        <row r="7934">
          <cell r="A7934" t="str">
            <v>ES-46581</v>
          </cell>
          <cell r="E7934" t="str">
            <v>FONDO DE NITROCELULOSA</v>
          </cell>
        </row>
        <row r="7935">
          <cell r="A7935" t="str">
            <v>ES-46591</v>
          </cell>
          <cell r="E7935" t="str">
            <v>LACA NITRO INDUSTRIAL</v>
          </cell>
        </row>
        <row r="7936">
          <cell r="A7936" t="str">
            <v>ES-46611</v>
          </cell>
          <cell r="E7936" t="str">
            <v>OTROS ACABADOS PARA MADERA SIG</v>
          </cell>
        </row>
        <row r="7937">
          <cell r="A7937" t="str">
            <v>ES-46621</v>
          </cell>
          <cell r="E7937" t="str">
            <v>BARNIZ DE POLIURETANO SIGLO</v>
          </cell>
        </row>
        <row r="7938">
          <cell r="A7938" t="str">
            <v>ES-46631</v>
          </cell>
          <cell r="E7938" t="str">
            <v>FONDO DE POLIURETANO</v>
          </cell>
        </row>
        <row r="7939">
          <cell r="A7939" t="str">
            <v>ES-46641</v>
          </cell>
          <cell r="E7939" t="str">
            <v>BARNIZ DE POLIURETANO SIGLO</v>
          </cell>
        </row>
        <row r="7940">
          <cell r="A7940" t="str">
            <v>ES-46651</v>
          </cell>
          <cell r="E7940" t="str">
            <v>TINTAS BASE SOLVENTE P/MADERA</v>
          </cell>
        </row>
        <row r="7941">
          <cell r="A7941" t="str">
            <v>ES-46661</v>
          </cell>
          <cell r="E7941" t="str">
            <v>FONDO DE POLIURETANO</v>
          </cell>
        </row>
        <row r="7942">
          <cell r="A7942" t="str">
            <v>ES-46671</v>
          </cell>
          <cell r="E7942" t="str">
            <v>BARNIZ DE POLIURETANO SIGLO</v>
          </cell>
        </row>
        <row r="7943">
          <cell r="A7943" t="str">
            <v>ES-46680</v>
          </cell>
          <cell r="E7943" t="str">
            <v>LACA NITRO TRANSPARENTE SIGLO</v>
          </cell>
        </row>
        <row r="7944">
          <cell r="A7944" t="str">
            <v>ES-46780</v>
          </cell>
          <cell r="E7944" t="str">
            <v>SELLADORES DE NITROCELULOSA</v>
          </cell>
        </row>
        <row r="7945">
          <cell r="A7945" t="str">
            <v>ES-46781</v>
          </cell>
          <cell r="E7945" t="str">
            <v>SELLADORES DE NITROCELULOSA</v>
          </cell>
        </row>
        <row r="7946">
          <cell r="A7946" t="str">
            <v>ES-46811</v>
          </cell>
          <cell r="E7946" t="str">
            <v>ESMALTE PU AUTOMOTIVO</v>
          </cell>
        </row>
        <row r="7947">
          <cell r="A7947" t="str">
            <v>ES-46874</v>
          </cell>
          <cell r="E7947" t="str">
            <v>TAPAPOROS Y RESANES PARA MADER</v>
          </cell>
        </row>
        <row r="7948">
          <cell r="A7948" t="str">
            <v>ES-46875</v>
          </cell>
          <cell r="E7948" t="str">
            <v>TAPAPOROS Y RESANES PARA MADER</v>
          </cell>
        </row>
        <row r="7949">
          <cell r="A7949" t="str">
            <v>ES-46876</v>
          </cell>
          <cell r="E7949" t="str">
            <v>TAPAPOROS Y RESANES PARA MADER</v>
          </cell>
        </row>
        <row r="7950">
          <cell r="A7950" t="str">
            <v>ES-46934</v>
          </cell>
          <cell r="E7950" t="str">
            <v>BARNIZ DE POLIURETANO SIGLO</v>
          </cell>
        </row>
        <row r="7951">
          <cell r="A7951" t="str">
            <v>ES-46944</v>
          </cell>
          <cell r="E7951" t="str">
            <v>BARNIZ DE POLIURETANO SIGLO</v>
          </cell>
        </row>
        <row r="7952">
          <cell r="A7952" t="str">
            <v>ES-47021</v>
          </cell>
          <cell r="E7952" t="str">
            <v>TAPAPOROS Y RESANES PARA MADER</v>
          </cell>
        </row>
        <row r="7953">
          <cell r="A7953" t="str">
            <v>ES-47024</v>
          </cell>
          <cell r="E7953" t="str">
            <v>TAPAPOROS Y RESANES PARA MADER</v>
          </cell>
        </row>
        <row r="7954">
          <cell r="A7954" t="str">
            <v>ES-47025</v>
          </cell>
          <cell r="E7954" t="str">
            <v>TAPAPOROS Y RESANES PARA MADERA</v>
          </cell>
        </row>
        <row r="7955">
          <cell r="A7955" t="str">
            <v>ES-47026</v>
          </cell>
          <cell r="E7955" t="str">
            <v>TAPAPOROS Y RESANES PARA MADER</v>
          </cell>
        </row>
        <row r="7956">
          <cell r="A7956" t="str">
            <v>ES-47054</v>
          </cell>
          <cell r="E7956" t="str">
            <v>BARNIZ DE POLIURETANO SIGLO</v>
          </cell>
        </row>
        <row r="7957">
          <cell r="A7957" t="str">
            <v>ES-47081</v>
          </cell>
          <cell r="E7957" t="str">
            <v>FONDO DE NITROCELULOSA</v>
          </cell>
        </row>
        <row r="7958">
          <cell r="A7958" t="str">
            <v>ES-60063</v>
          </cell>
          <cell r="E7958" t="str">
            <v>ACABADOS EPOXICOS</v>
          </cell>
        </row>
        <row r="7959">
          <cell r="A7959" t="str">
            <v>ES-60123</v>
          </cell>
          <cell r="E7959" t="str">
            <v>ACABADOS DE PU</v>
          </cell>
        </row>
        <row r="7960">
          <cell r="A7960" t="str">
            <v>ES-60133</v>
          </cell>
          <cell r="E7960" t="str">
            <v>ACABADOS DE PU</v>
          </cell>
        </row>
        <row r="7961">
          <cell r="A7961" t="str">
            <v>ES-60141</v>
          </cell>
          <cell r="E7961" t="str">
            <v>ACABADOS DE PU</v>
          </cell>
        </row>
        <row r="7962">
          <cell r="A7962" t="str">
            <v>ES-60143</v>
          </cell>
          <cell r="E7962" t="str">
            <v>ACABADOS DE PU</v>
          </cell>
        </row>
        <row r="7963">
          <cell r="A7963" t="str">
            <v>ES-60181</v>
          </cell>
          <cell r="E7963" t="str">
            <v>ACABADOS DE PU</v>
          </cell>
        </row>
        <row r="7964">
          <cell r="A7964" t="str">
            <v>ES-60261</v>
          </cell>
          <cell r="E7964" t="str">
            <v>ACABADOS DE PU</v>
          </cell>
        </row>
        <row r="7965">
          <cell r="A7965" t="str">
            <v>ES-60263</v>
          </cell>
          <cell r="E7965" t="str">
            <v>ACABADOS DE PU</v>
          </cell>
        </row>
        <row r="7966">
          <cell r="A7966" t="str">
            <v>ES-60281</v>
          </cell>
          <cell r="E7966" t="str">
            <v>ACABADOS DE PU</v>
          </cell>
        </row>
        <row r="7967">
          <cell r="A7967" t="str">
            <v>ES-60303</v>
          </cell>
          <cell r="E7967" t="str">
            <v>ACABADOS DE PU</v>
          </cell>
        </row>
        <row r="7968">
          <cell r="A7968" t="str">
            <v>ES-60333</v>
          </cell>
          <cell r="E7968" t="str">
            <v>ACABADOS DE PU</v>
          </cell>
        </row>
        <row r="7969">
          <cell r="A7969" t="str">
            <v>ES-60363</v>
          </cell>
          <cell r="E7969" t="str">
            <v>ACABADOS EPOXICOS</v>
          </cell>
        </row>
        <row r="7970">
          <cell r="A7970" t="str">
            <v>ES-60473</v>
          </cell>
          <cell r="E7970" t="str">
            <v>ACABADOS DE PU</v>
          </cell>
        </row>
        <row r="7971">
          <cell r="A7971" t="str">
            <v>ES-60503</v>
          </cell>
          <cell r="E7971" t="str">
            <v>ACABADOS DE PU</v>
          </cell>
        </row>
        <row r="7972">
          <cell r="A7972" t="str">
            <v>ES-60601</v>
          </cell>
          <cell r="E7972" t="str">
            <v>ACABADOS DE PU</v>
          </cell>
        </row>
        <row r="7973">
          <cell r="A7973" t="str">
            <v>ES-60643</v>
          </cell>
          <cell r="E7973" t="str">
            <v>ACABADOS DE PU</v>
          </cell>
        </row>
        <row r="7974">
          <cell r="A7974" t="str">
            <v>ES-60701</v>
          </cell>
          <cell r="E7974" t="str">
            <v>ACABADOS ALQUIDALICOS</v>
          </cell>
        </row>
        <row r="7975">
          <cell r="A7975" t="str">
            <v>ES-60791</v>
          </cell>
          <cell r="E7975" t="str">
            <v>ACABADOS EPOXICOS</v>
          </cell>
        </row>
        <row r="7976">
          <cell r="A7976" t="str">
            <v>ES-60793</v>
          </cell>
          <cell r="E7976" t="str">
            <v>ACABADOS EPOXICOS</v>
          </cell>
        </row>
        <row r="7977">
          <cell r="A7977" t="str">
            <v>ES-60803</v>
          </cell>
          <cell r="E7977" t="str">
            <v>ACABADOS DE PU</v>
          </cell>
        </row>
        <row r="7978">
          <cell r="A7978" t="str">
            <v>ES-60834</v>
          </cell>
          <cell r="E7978" t="str">
            <v>ACABADOS DE PU</v>
          </cell>
        </row>
        <row r="7979">
          <cell r="A7979" t="str">
            <v>ES-60891</v>
          </cell>
          <cell r="E7979" t="str">
            <v>PRIMARIOS EPOXICOS</v>
          </cell>
        </row>
        <row r="7980">
          <cell r="A7980" t="str">
            <v>ES-60931</v>
          </cell>
          <cell r="E7980" t="str">
            <v>ACABADOS DE ALTA TEMPERATURA</v>
          </cell>
        </row>
        <row r="7981">
          <cell r="A7981" t="str">
            <v>ES-61071</v>
          </cell>
          <cell r="E7981" t="str">
            <v>ACABADOS EPOXICOS</v>
          </cell>
        </row>
        <row r="7982">
          <cell r="A7982" t="str">
            <v>ES-61083</v>
          </cell>
          <cell r="E7982" t="str">
            <v>ACABADOS DE ALTA TEMPERATURA</v>
          </cell>
        </row>
        <row r="7983">
          <cell r="A7983" t="str">
            <v>ES-61103</v>
          </cell>
          <cell r="E7983" t="str">
            <v>PRETRATAMIENTO METALICO INDUST</v>
          </cell>
        </row>
        <row r="7984">
          <cell r="A7984" t="str">
            <v>ES-61161</v>
          </cell>
          <cell r="E7984" t="str">
            <v>ACABADOS EPOXICOS</v>
          </cell>
        </row>
        <row r="7985">
          <cell r="A7985" t="str">
            <v>ES-61171</v>
          </cell>
          <cell r="E7985" t="str">
            <v>ACABADOS EPOXICOS</v>
          </cell>
        </row>
        <row r="7986">
          <cell r="A7986" t="str">
            <v>ES-61331</v>
          </cell>
          <cell r="E7986" t="str">
            <v>ACABADOS ALQUIDALICOS AL-20</v>
          </cell>
        </row>
        <row r="7987">
          <cell r="A7987" t="str">
            <v>ES-61341</v>
          </cell>
          <cell r="E7987" t="str">
            <v>ACABADOS ALQUIDALICOS AL-20</v>
          </cell>
        </row>
        <row r="7988">
          <cell r="A7988" t="str">
            <v>ES-61361</v>
          </cell>
          <cell r="E7988" t="str">
            <v>ACABADOS ALQUIDALICOS AL-20</v>
          </cell>
        </row>
        <row r="7989">
          <cell r="A7989" t="str">
            <v>ES-61537</v>
          </cell>
          <cell r="E7989" t="str">
            <v>PRETRATAMIENTO METALICO INDUST</v>
          </cell>
        </row>
        <row r="7990">
          <cell r="A7990" t="str">
            <v>ES-61541</v>
          </cell>
          <cell r="E7990" t="str">
            <v>ACABADOS DE PU</v>
          </cell>
        </row>
        <row r="7991">
          <cell r="A7991" t="str">
            <v>ES-61626</v>
          </cell>
          <cell r="E7991" t="str">
            <v>PRETRATAMIENTO METALICO INDUST</v>
          </cell>
        </row>
        <row r="7992">
          <cell r="A7992" t="str">
            <v>ES-61661</v>
          </cell>
          <cell r="E7992" t="str">
            <v>ACABADOS DE PU</v>
          </cell>
        </row>
        <row r="7993">
          <cell r="A7993" t="str">
            <v>ES-61683</v>
          </cell>
          <cell r="E7993" t="str">
            <v>ACABADOS DE PU</v>
          </cell>
        </row>
        <row r="7994">
          <cell r="A7994" t="str">
            <v>ES-6168GL</v>
          </cell>
          <cell r="E7994" t="str">
            <v>ACABADOS DE PU</v>
          </cell>
        </row>
        <row r="7995">
          <cell r="A7995" t="str">
            <v>ES-61691</v>
          </cell>
          <cell r="E7995" t="str">
            <v>ACABADOS DE PU</v>
          </cell>
        </row>
        <row r="7996">
          <cell r="A7996" t="str">
            <v>ES-61710</v>
          </cell>
          <cell r="E7996" t="str">
            <v>PRIMARIOS ALQUIDALICOS</v>
          </cell>
        </row>
        <row r="7997">
          <cell r="A7997" t="str">
            <v>ES-61711</v>
          </cell>
          <cell r="E7997" t="str">
            <v>PRIMARIOS ALQUIDALICOS</v>
          </cell>
        </row>
        <row r="7998">
          <cell r="A7998" t="str">
            <v>ES-6171CB</v>
          </cell>
          <cell r="E7998" t="str">
            <v>PRIMARIOS ALQUIDALICOS</v>
          </cell>
        </row>
        <row r="7999">
          <cell r="A7999" t="str">
            <v>ES-61723</v>
          </cell>
          <cell r="E7999" t="str">
            <v>ACABADOS DE PU</v>
          </cell>
        </row>
        <row r="8000">
          <cell r="A8000" t="str">
            <v>ES-61731</v>
          </cell>
          <cell r="E8000" t="str">
            <v>ACABADOS EPOXICOS</v>
          </cell>
        </row>
        <row r="8001">
          <cell r="A8001" t="str">
            <v>ES-61741</v>
          </cell>
          <cell r="E8001" t="str">
            <v>OTROS ACABADOS INDUSTRIALES</v>
          </cell>
        </row>
        <row r="8002">
          <cell r="A8002" t="str">
            <v>ES-61744</v>
          </cell>
          <cell r="E8002" t="str">
            <v>OTROS ACABADOS INDUSTRIALES</v>
          </cell>
        </row>
        <row r="8003">
          <cell r="A8003" t="str">
            <v>ES-6174CB</v>
          </cell>
          <cell r="E8003" t="str">
            <v>OTROS ACABADOS INDUSTRIALES</v>
          </cell>
        </row>
        <row r="8004">
          <cell r="A8004" t="str">
            <v>ES-61753</v>
          </cell>
          <cell r="E8004" t="str">
            <v>ACABADOS EPOXICOS</v>
          </cell>
        </row>
        <row r="8005">
          <cell r="A8005" t="str">
            <v>ES-61781</v>
          </cell>
          <cell r="E8005" t="str">
            <v>ACABADOS DE PU</v>
          </cell>
        </row>
        <row r="8006">
          <cell r="A8006" t="str">
            <v>ES-61801</v>
          </cell>
          <cell r="E8006" t="str">
            <v>ACABADOS DE PU</v>
          </cell>
        </row>
        <row r="8007">
          <cell r="A8007" t="str">
            <v>ES-61811</v>
          </cell>
          <cell r="E8007" t="str">
            <v>ACABADOS DE PU</v>
          </cell>
        </row>
        <row r="8008">
          <cell r="A8008" t="str">
            <v>ES-61941</v>
          </cell>
          <cell r="E8008" t="str">
            <v>ACABADOS EPOXICOS</v>
          </cell>
        </row>
        <row r="8009">
          <cell r="A8009" t="str">
            <v>ES-61951</v>
          </cell>
          <cell r="E8009" t="str">
            <v>ACABADOS EPOXICOS</v>
          </cell>
        </row>
        <row r="8010">
          <cell r="A8010" t="str">
            <v>ES-61971</v>
          </cell>
          <cell r="E8010" t="str">
            <v>ACABADOS EPOXICOS</v>
          </cell>
        </row>
        <row r="8011">
          <cell r="A8011" t="str">
            <v>ES-61973</v>
          </cell>
          <cell r="E8011" t="str">
            <v>ACABADOS EPOXICOS</v>
          </cell>
        </row>
        <row r="8012">
          <cell r="A8012" t="str">
            <v>ES-61983</v>
          </cell>
          <cell r="E8012" t="str">
            <v>ACABADOS DE PU</v>
          </cell>
        </row>
        <row r="8013">
          <cell r="A8013" t="str">
            <v>ES-62001</v>
          </cell>
          <cell r="E8013" t="str">
            <v>ACABADOS DE PU</v>
          </cell>
        </row>
        <row r="8014">
          <cell r="A8014" t="str">
            <v>ES-62064</v>
          </cell>
          <cell r="E8014" t="str">
            <v>ACABADOS EPOXICOS</v>
          </cell>
        </row>
        <row r="8015">
          <cell r="A8015" t="str">
            <v>ES-62074</v>
          </cell>
          <cell r="E8015" t="str">
            <v>ACABADOS EPOXICOS</v>
          </cell>
        </row>
        <row r="8016">
          <cell r="A8016" t="str">
            <v>ES-62091</v>
          </cell>
          <cell r="E8016" t="str">
            <v>ACABADOS DE PU</v>
          </cell>
        </row>
        <row r="8017">
          <cell r="A8017" t="str">
            <v>ES-62111</v>
          </cell>
          <cell r="E8017" t="str">
            <v>ACABADOS EPOXICOS</v>
          </cell>
        </row>
        <row r="8018">
          <cell r="A8018" t="str">
            <v>ES-62171</v>
          </cell>
          <cell r="E8018" t="str">
            <v>ACABADOS DE PU</v>
          </cell>
        </row>
        <row r="8019">
          <cell r="A8019" t="str">
            <v>ES-62181</v>
          </cell>
          <cell r="E8019" t="str">
            <v>ACABADOS DE PU</v>
          </cell>
        </row>
        <row r="8020">
          <cell r="A8020" t="str">
            <v>ES-62193</v>
          </cell>
          <cell r="E8020" t="str">
            <v>ACABADOS DE PU</v>
          </cell>
        </row>
        <row r="8021">
          <cell r="A8021" t="str">
            <v>ES-62211</v>
          </cell>
          <cell r="E8021" t="str">
            <v>ACABADOS EPOXICOS</v>
          </cell>
        </row>
        <row r="8022">
          <cell r="A8022" t="str">
            <v>ES-62331</v>
          </cell>
          <cell r="E8022" t="str">
            <v>ACABADOS DE PU</v>
          </cell>
        </row>
        <row r="8023">
          <cell r="A8023" t="str">
            <v>ES-62361</v>
          </cell>
          <cell r="E8023" t="str">
            <v>ACABADOS EPOXICOS</v>
          </cell>
        </row>
        <row r="8024">
          <cell r="A8024" t="str">
            <v>ES-62373</v>
          </cell>
          <cell r="E8024" t="str">
            <v>ACABADOS EPOXICOS</v>
          </cell>
        </row>
        <row r="8025">
          <cell r="A8025" t="str">
            <v>ES-62381</v>
          </cell>
          <cell r="E8025" t="str">
            <v>ACABADOS DE PU</v>
          </cell>
        </row>
        <row r="8026">
          <cell r="A8026" t="str">
            <v>ES-62441</v>
          </cell>
          <cell r="E8026" t="str">
            <v>ACABADOS EPOXICOS</v>
          </cell>
        </row>
        <row r="8027">
          <cell r="A8027" t="str">
            <v>ES-62453</v>
          </cell>
          <cell r="E8027" t="str">
            <v>ACABADOS EPOXICOS</v>
          </cell>
        </row>
        <row r="8028">
          <cell r="A8028" t="str">
            <v>ES-62461</v>
          </cell>
          <cell r="E8028" t="str">
            <v>ACABADOS DE PU</v>
          </cell>
        </row>
        <row r="8029">
          <cell r="A8029" t="str">
            <v>ES-62481</v>
          </cell>
          <cell r="E8029" t="str">
            <v>ACABADOS ALQUIDALICOS</v>
          </cell>
        </row>
        <row r="8030">
          <cell r="A8030" t="str">
            <v>ES-62493</v>
          </cell>
          <cell r="E8030" t="str">
            <v>ACABADOS DE PU</v>
          </cell>
        </row>
        <row r="8031">
          <cell r="A8031" t="str">
            <v>ES-62503</v>
          </cell>
          <cell r="E8031" t="str">
            <v>ACABADOS EPOXICOS</v>
          </cell>
        </row>
        <row r="8032">
          <cell r="A8032" t="str">
            <v>ES-62511</v>
          </cell>
          <cell r="E8032" t="str">
            <v>ACABADOS EPOXICOS</v>
          </cell>
        </row>
        <row r="8033">
          <cell r="A8033" t="str">
            <v>ES-62513</v>
          </cell>
          <cell r="E8033" t="str">
            <v>ACABADOS EPOXICOS</v>
          </cell>
        </row>
        <row r="8034">
          <cell r="A8034" t="str">
            <v>ES-62521</v>
          </cell>
          <cell r="E8034" t="str">
            <v>ACABADOS DE PU</v>
          </cell>
        </row>
        <row r="8035">
          <cell r="A8035" t="str">
            <v>ES-62523</v>
          </cell>
          <cell r="E8035" t="str">
            <v>ACABADOS DE PU</v>
          </cell>
        </row>
        <row r="8036">
          <cell r="A8036" t="str">
            <v>ES-62533</v>
          </cell>
          <cell r="E8036" t="str">
            <v>ACABADOS DE PU</v>
          </cell>
        </row>
        <row r="8037">
          <cell r="A8037" t="str">
            <v>ES-62543</v>
          </cell>
          <cell r="E8037" t="str">
            <v>ACABADOS EPOXICOS</v>
          </cell>
        </row>
        <row r="8038">
          <cell r="A8038" t="str">
            <v>ES-62553</v>
          </cell>
          <cell r="E8038" t="str">
            <v>ACABADOS EPOXICOS</v>
          </cell>
        </row>
        <row r="8039">
          <cell r="A8039" t="str">
            <v>ES-62563</v>
          </cell>
          <cell r="E8039" t="str">
            <v>ACABADOS DE PU</v>
          </cell>
        </row>
        <row r="8040">
          <cell r="A8040" t="str">
            <v>ES-62573</v>
          </cell>
          <cell r="E8040" t="str">
            <v>ACABADOS EPOXICOS</v>
          </cell>
        </row>
        <row r="8041">
          <cell r="A8041" t="str">
            <v>ES-62583</v>
          </cell>
          <cell r="E8041" t="str">
            <v>ACABADOS DE PU</v>
          </cell>
        </row>
        <row r="8042">
          <cell r="A8042" t="str">
            <v>ES-62593</v>
          </cell>
          <cell r="E8042" t="str">
            <v>ACABADOS EPOXICOS</v>
          </cell>
        </row>
        <row r="8043">
          <cell r="A8043" t="str">
            <v>ES-62603</v>
          </cell>
          <cell r="E8043" t="str">
            <v>ACABADOS DE PU</v>
          </cell>
        </row>
        <row r="8044">
          <cell r="A8044" t="str">
            <v>ES-62613</v>
          </cell>
          <cell r="E8044" t="str">
            <v>ACABADOS DE PU</v>
          </cell>
        </row>
        <row r="8045">
          <cell r="A8045" t="str">
            <v>ES-62623</v>
          </cell>
          <cell r="E8045" t="str">
            <v>ACABADOS EPOXICOS</v>
          </cell>
        </row>
        <row r="8046">
          <cell r="A8046" t="str">
            <v>ES-62643</v>
          </cell>
          <cell r="E8046" t="str">
            <v>ACABADOS EPOXICOS</v>
          </cell>
        </row>
        <row r="8047">
          <cell r="A8047" t="str">
            <v>ES-62653</v>
          </cell>
          <cell r="E8047" t="str">
            <v>ACABADOS DE PU</v>
          </cell>
        </row>
        <row r="8048">
          <cell r="A8048" t="str">
            <v>ES-62663</v>
          </cell>
          <cell r="E8048" t="str">
            <v>ACABADOS DE PU</v>
          </cell>
        </row>
        <row r="8049">
          <cell r="A8049" t="str">
            <v>ES-62673</v>
          </cell>
          <cell r="E8049" t="str">
            <v>ACABADOS EPOXICOS</v>
          </cell>
        </row>
        <row r="8050">
          <cell r="A8050" t="str">
            <v>ES-62713</v>
          </cell>
          <cell r="E8050" t="str">
            <v>ACABADOS DE PU</v>
          </cell>
        </row>
        <row r="8051">
          <cell r="A8051" t="str">
            <v>ES-62741</v>
          </cell>
          <cell r="E8051" t="str">
            <v>ACABADOS EPOXICOS</v>
          </cell>
        </row>
        <row r="8052">
          <cell r="A8052" t="str">
            <v>ES-62751</v>
          </cell>
          <cell r="E8052" t="str">
            <v>ACABADOS DE PU</v>
          </cell>
        </row>
        <row r="8053">
          <cell r="A8053" t="str">
            <v>ES-62761</v>
          </cell>
          <cell r="E8053" t="str">
            <v>ACABADOS EPOXICOS</v>
          </cell>
        </row>
        <row r="8054">
          <cell r="A8054" t="str">
            <v>ES-62773</v>
          </cell>
          <cell r="E8054" t="str">
            <v>ACABADOS EPOXICOS</v>
          </cell>
        </row>
        <row r="8055">
          <cell r="A8055" t="str">
            <v>ES-62793</v>
          </cell>
          <cell r="E8055" t="str">
            <v>ACABADOS DE PU</v>
          </cell>
        </row>
        <row r="8056">
          <cell r="A8056" t="str">
            <v>ES-62800</v>
          </cell>
          <cell r="E8056" t="str">
            <v>OTROS ACABADOS INDUSTRIALES</v>
          </cell>
        </row>
        <row r="8057">
          <cell r="A8057" t="str">
            <v>ES-62813</v>
          </cell>
          <cell r="E8057" t="str">
            <v>ACABADOS DE PU</v>
          </cell>
        </row>
        <row r="8058">
          <cell r="A8058" t="str">
            <v>ES-62823</v>
          </cell>
          <cell r="E8058" t="str">
            <v>ACABADOS EPOXICOS</v>
          </cell>
        </row>
        <row r="8059">
          <cell r="A8059" t="str">
            <v>ES-62833</v>
          </cell>
          <cell r="E8059" t="str">
            <v>ACABADOS DE PU</v>
          </cell>
        </row>
        <row r="8060">
          <cell r="A8060" t="str">
            <v>ES-62843</v>
          </cell>
          <cell r="E8060" t="str">
            <v>ACABADOS DE PU</v>
          </cell>
        </row>
        <row r="8061">
          <cell r="A8061" t="str">
            <v>ES-62851</v>
          </cell>
          <cell r="E8061" t="str">
            <v>ACABADOS EPOXICOS</v>
          </cell>
        </row>
        <row r="8062">
          <cell r="A8062" t="str">
            <v>ES-62861</v>
          </cell>
          <cell r="E8062" t="str">
            <v>ACABADOS DE PU</v>
          </cell>
        </row>
        <row r="8063">
          <cell r="A8063" t="str">
            <v>ES-62901</v>
          </cell>
          <cell r="E8063" t="str">
            <v>ACABADOS ALQUIDALICOS</v>
          </cell>
        </row>
        <row r="8064">
          <cell r="A8064" t="str">
            <v>ES-62911</v>
          </cell>
          <cell r="E8064" t="str">
            <v>ACABADOS ALQUIDALICOS</v>
          </cell>
        </row>
        <row r="8065">
          <cell r="A8065" t="str">
            <v>ES-62921</v>
          </cell>
          <cell r="E8065" t="str">
            <v>ACABADOS ALQUIDALICOS</v>
          </cell>
        </row>
        <row r="8066">
          <cell r="A8066" t="str">
            <v>ES-62931</v>
          </cell>
          <cell r="E8066" t="str">
            <v>ACABADOS ALQUIDALICOS</v>
          </cell>
        </row>
        <row r="8067">
          <cell r="A8067" t="str">
            <v>ES-62941</v>
          </cell>
          <cell r="E8067" t="str">
            <v>ACABADOS DE PU</v>
          </cell>
        </row>
        <row r="8068">
          <cell r="A8068" t="str">
            <v>ES-62951</v>
          </cell>
          <cell r="E8068" t="str">
            <v>ACABADOS DE PU</v>
          </cell>
        </row>
        <row r="8069">
          <cell r="A8069" t="str">
            <v>ES-62961</v>
          </cell>
          <cell r="E8069" t="str">
            <v>ACABADOS DE PU</v>
          </cell>
        </row>
        <row r="8070">
          <cell r="A8070" t="str">
            <v>ES-62971</v>
          </cell>
          <cell r="E8070" t="str">
            <v>ACABADOS DE PU</v>
          </cell>
        </row>
        <row r="8071">
          <cell r="A8071" t="str">
            <v>ES-62981</v>
          </cell>
          <cell r="E8071" t="str">
            <v>ACABADOS DE PU</v>
          </cell>
        </row>
        <row r="8072">
          <cell r="A8072" t="str">
            <v>ES-62991</v>
          </cell>
          <cell r="E8072" t="str">
            <v>ACABADOS DE PU</v>
          </cell>
        </row>
        <row r="8073">
          <cell r="A8073" t="str">
            <v>ES-63001</v>
          </cell>
          <cell r="E8073" t="str">
            <v>ACABADOS DE PU</v>
          </cell>
        </row>
        <row r="8074">
          <cell r="A8074" t="str">
            <v>ES-63011</v>
          </cell>
          <cell r="E8074" t="str">
            <v>ACABADOS DE PU</v>
          </cell>
        </row>
        <row r="8075">
          <cell r="A8075" t="str">
            <v>ES-63021</v>
          </cell>
          <cell r="E8075" t="str">
            <v>ACABADOS DE PU</v>
          </cell>
        </row>
        <row r="8076">
          <cell r="A8076" t="str">
            <v>ES-63041</v>
          </cell>
          <cell r="E8076" t="str">
            <v>ACABADOS EPOXICOS</v>
          </cell>
        </row>
        <row r="8077">
          <cell r="A8077" t="str">
            <v>ES-63051</v>
          </cell>
          <cell r="E8077" t="str">
            <v>ACABADOS EPOXICOS</v>
          </cell>
        </row>
        <row r="8078">
          <cell r="A8078" t="str">
            <v>ES-63061</v>
          </cell>
          <cell r="E8078" t="str">
            <v>ACABADOS EPOXICOS</v>
          </cell>
        </row>
        <row r="8079">
          <cell r="A8079" t="str">
            <v>ES-63083</v>
          </cell>
          <cell r="E8079" t="str">
            <v>ACABADOS DE PU</v>
          </cell>
        </row>
        <row r="8080">
          <cell r="A8080" t="str">
            <v>ES-63111</v>
          </cell>
          <cell r="E8080" t="str">
            <v>ACABADOS DE PU</v>
          </cell>
        </row>
        <row r="8081">
          <cell r="A8081" t="str">
            <v>ES-63133</v>
          </cell>
          <cell r="E8081" t="str">
            <v>ACABADOS DE PU</v>
          </cell>
        </row>
        <row r="8082">
          <cell r="A8082" t="str">
            <v>ES-63153</v>
          </cell>
          <cell r="E8082" t="str">
            <v>ACABADOS DE PU</v>
          </cell>
        </row>
        <row r="8083">
          <cell r="A8083" t="str">
            <v>ES-6315GL</v>
          </cell>
          <cell r="E8083" t="str">
            <v>ACABADOS DE PU</v>
          </cell>
        </row>
        <row r="8084">
          <cell r="A8084" t="str">
            <v>ES-63161</v>
          </cell>
          <cell r="E8084" t="str">
            <v>PRIMARIOS EPOXICOS</v>
          </cell>
        </row>
        <row r="8085">
          <cell r="A8085" t="str">
            <v>ES-63171</v>
          </cell>
          <cell r="E8085" t="str">
            <v>ACABADOS EPOXICOS</v>
          </cell>
        </row>
        <row r="8086">
          <cell r="A8086" t="str">
            <v>ES-63200</v>
          </cell>
          <cell r="E8086" t="str">
            <v>ACABADOS DE PU</v>
          </cell>
        </row>
        <row r="8087">
          <cell r="A8087" t="str">
            <v>ES-63203</v>
          </cell>
          <cell r="E8087" t="str">
            <v>ACABADOS DE PU</v>
          </cell>
        </row>
        <row r="8088">
          <cell r="A8088" t="str">
            <v>ES-63221</v>
          </cell>
          <cell r="E8088" t="str">
            <v>ACABADOS DE PU</v>
          </cell>
        </row>
        <row r="8089">
          <cell r="A8089" t="str">
            <v>ES-63320</v>
          </cell>
          <cell r="E8089" t="str">
            <v>ACABADOS DE PU</v>
          </cell>
        </row>
        <row r="8090">
          <cell r="A8090" t="str">
            <v>ES-63330</v>
          </cell>
          <cell r="E8090" t="str">
            <v>ACABADOS DE PU</v>
          </cell>
        </row>
        <row r="8091">
          <cell r="A8091" t="str">
            <v>ES-63340</v>
          </cell>
          <cell r="E8091" t="str">
            <v>ACABADOS DE PU</v>
          </cell>
        </row>
        <row r="8092">
          <cell r="A8092" t="str">
            <v>ES-63350</v>
          </cell>
          <cell r="E8092" t="str">
            <v>ACABADOS DE PU</v>
          </cell>
        </row>
        <row r="8093">
          <cell r="A8093" t="str">
            <v>ES-63361</v>
          </cell>
          <cell r="E8093" t="str">
            <v>ACABADOS EPOXICOS</v>
          </cell>
        </row>
        <row r="8094">
          <cell r="A8094" t="str">
            <v>ES-63371</v>
          </cell>
          <cell r="E8094" t="str">
            <v>ACABADOS EPOXICOS</v>
          </cell>
        </row>
        <row r="8095">
          <cell r="A8095" t="str">
            <v>ES-63383</v>
          </cell>
          <cell r="E8095" t="str">
            <v>ACABADOS DE PU</v>
          </cell>
        </row>
        <row r="8096">
          <cell r="A8096" t="str">
            <v>ES-63391</v>
          </cell>
          <cell r="E8096" t="str">
            <v>ACABADOS EPOXICOS</v>
          </cell>
        </row>
        <row r="8097">
          <cell r="A8097" t="str">
            <v>ES-63403</v>
          </cell>
          <cell r="E8097" t="str">
            <v>ACABADOS EPOXICOS</v>
          </cell>
        </row>
        <row r="8098">
          <cell r="A8098" t="str">
            <v>ES-63411</v>
          </cell>
          <cell r="E8098" t="str">
            <v>ACABADOS VINILICOS Y VINIL-ACR</v>
          </cell>
        </row>
        <row r="8099">
          <cell r="A8099" t="str">
            <v>ES-63421</v>
          </cell>
          <cell r="E8099" t="str">
            <v>ACABADOS DE PU</v>
          </cell>
        </row>
        <row r="8100">
          <cell r="A8100" t="str">
            <v>ES-63431</v>
          </cell>
          <cell r="E8100" t="str">
            <v>ACABADOS EPOXICOS</v>
          </cell>
        </row>
        <row r="8101">
          <cell r="A8101" t="str">
            <v>ES-63443</v>
          </cell>
          <cell r="E8101" t="str">
            <v>ACABADOS DE PU</v>
          </cell>
        </row>
        <row r="8102">
          <cell r="A8102" t="str">
            <v>ES-63451</v>
          </cell>
          <cell r="E8102" t="str">
            <v>ACABADOS EPOXICOS</v>
          </cell>
        </row>
        <row r="8103">
          <cell r="A8103" t="str">
            <v>ES-63473</v>
          </cell>
          <cell r="E8103" t="str">
            <v>ACABADOS EPOXICOS</v>
          </cell>
        </row>
        <row r="8104">
          <cell r="A8104" t="str">
            <v>ES-63481</v>
          </cell>
          <cell r="E8104" t="str">
            <v>ACABADOS EPOXICOS</v>
          </cell>
        </row>
        <row r="8105">
          <cell r="A8105" t="str">
            <v>ES-63493</v>
          </cell>
          <cell r="E8105" t="str">
            <v>ACABADOS EPOXICOS</v>
          </cell>
        </row>
        <row r="8106">
          <cell r="A8106" t="str">
            <v>ES-63501</v>
          </cell>
          <cell r="E8106" t="str">
            <v>ACABADOS DE PU</v>
          </cell>
        </row>
        <row r="8107">
          <cell r="A8107" t="str">
            <v>ES-63533</v>
          </cell>
          <cell r="E8107" t="str">
            <v>ACABADOS DE PU</v>
          </cell>
        </row>
        <row r="8108">
          <cell r="A8108" t="str">
            <v>ES-63553</v>
          </cell>
          <cell r="E8108" t="str">
            <v>ACABADOS DE PU</v>
          </cell>
        </row>
        <row r="8109">
          <cell r="A8109" t="str">
            <v>ES-6355GL</v>
          </cell>
          <cell r="E8109" t="str">
            <v>ACABADOS DE PU</v>
          </cell>
        </row>
        <row r="8110">
          <cell r="A8110" t="str">
            <v>ES-63563</v>
          </cell>
          <cell r="E8110" t="str">
            <v>ACABADOS DE PU</v>
          </cell>
        </row>
        <row r="8111">
          <cell r="A8111" t="str">
            <v>ES-63573</v>
          </cell>
          <cell r="E8111" t="str">
            <v>ACABADOS DE PU</v>
          </cell>
        </row>
        <row r="8112">
          <cell r="A8112" t="str">
            <v>ES-63581</v>
          </cell>
          <cell r="E8112" t="str">
            <v>ACABADOS EPOXICOS</v>
          </cell>
        </row>
        <row r="8113">
          <cell r="A8113" t="str">
            <v>ES-63593</v>
          </cell>
          <cell r="E8113" t="str">
            <v>ACABADOS DE PU</v>
          </cell>
        </row>
        <row r="8114">
          <cell r="A8114" t="str">
            <v>ES-63603</v>
          </cell>
          <cell r="E8114" t="str">
            <v>ACABADOS DE PU</v>
          </cell>
        </row>
        <row r="8115">
          <cell r="A8115" t="str">
            <v>ES-63611</v>
          </cell>
          <cell r="E8115" t="str">
            <v>ACABADOS EPOXICOS</v>
          </cell>
        </row>
        <row r="8116">
          <cell r="A8116" t="str">
            <v>ES-63621</v>
          </cell>
          <cell r="E8116" t="str">
            <v>ACABADOS DE PU</v>
          </cell>
        </row>
        <row r="8117">
          <cell r="A8117" t="str">
            <v>ES-63631</v>
          </cell>
          <cell r="E8117" t="str">
            <v>ACABADOS DE PU</v>
          </cell>
        </row>
        <row r="8118">
          <cell r="A8118" t="str">
            <v>ES-63643</v>
          </cell>
          <cell r="E8118" t="str">
            <v>ACABADOS DE PU</v>
          </cell>
        </row>
        <row r="8119">
          <cell r="A8119" t="str">
            <v>ES-63644</v>
          </cell>
          <cell r="E8119" t="str">
            <v>ACABADOS DE PU</v>
          </cell>
        </row>
        <row r="8120">
          <cell r="A8120" t="str">
            <v>ES-63654</v>
          </cell>
          <cell r="E8120" t="str">
            <v>ACABADOS DE ALTA TEMPERATURA</v>
          </cell>
        </row>
        <row r="8121">
          <cell r="A8121" t="str">
            <v>ES-63661</v>
          </cell>
          <cell r="E8121" t="str">
            <v>ACABADOS DE PU</v>
          </cell>
        </row>
        <row r="8122">
          <cell r="A8122" t="str">
            <v>ES-63671</v>
          </cell>
          <cell r="E8122" t="str">
            <v>ACABADOS DE PU</v>
          </cell>
        </row>
        <row r="8123">
          <cell r="A8123" t="str">
            <v>ES-63681</v>
          </cell>
          <cell r="E8123" t="str">
            <v>ACABADOS DE PU</v>
          </cell>
        </row>
        <row r="8124">
          <cell r="A8124" t="str">
            <v>ES-63691</v>
          </cell>
          <cell r="E8124" t="str">
            <v>ACABADOS DE PU</v>
          </cell>
        </row>
        <row r="8125">
          <cell r="A8125" t="str">
            <v>ES-63701</v>
          </cell>
          <cell r="E8125" t="str">
            <v>ACABADOS DE PU</v>
          </cell>
        </row>
        <row r="8126">
          <cell r="A8126" t="str">
            <v>ES-63711</v>
          </cell>
          <cell r="E8126" t="str">
            <v>ACABADOS DE PU</v>
          </cell>
        </row>
        <row r="8127">
          <cell r="A8127" t="str">
            <v>ES-63721</v>
          </cell>
          <cell r="E8127" t="str">
            <v>ACABADOS DE PU</v>
          </cell>
        </row>
        <row r="8128">
          <cell r="A8128" t="str">
            <v>ES-63731</v>
          </cell>
          <cell r="E8128" t="str">
            <v>ACABADOS DE PU</v>
          </cell>
        </row>
        <row r="8129">
          <cell r="A8129" t="str">
            <v>ES-63741</v>
          </cell>
          <cell r="E8129" t="str">
            <v>ACABADOS DE PU</v>
          </cell>
        </row>
        <row r="8130">
          <cell r="A8130" t="str">
            <v>ES-63751</v>
          </cell>
          <cell r="E8130" t="str">
            <v>ACABADOS DE PU</v>
          </cell>
        </row>
        <row r="8131">
          <cell r="A8131" t="str">
            <v>ES-63761</v>
          </cell>
          <cell r="E8131" t="str">
            <v>ACABADOS DE PU</v>
          </cell>
        </row>
        <row r="8132">
          <cell r="A8132" t="str">
            <v>ES-63771</v>
          </cell>
          <cell r="E8132" t="str">
            <v>ACABADOS DE PU</v>
          </cell>
        </row>
        <row r="8133">
          <cell r="A8133" t="str">
            <v>ES-63801</v>
          </cell>
          <cell r="E8133" t="str">
            <v>ACABADOS DE PU</v>
          </cell>
        </row>
        <row r="8134">
          <cell r="A8134" t="str">
            <v>ES-63811</v>
          </cell>
          <cell r="E8134" t="str">
            <v>ACABADOS DE PU</v>
          </cell>
        </row>
        <row r="8135">
          <cell r="A8135" t="str">
            <v>ES-63821</v>
          </cell>
          <cell r="E8135" t="str">
            <v>ACABADOS EPOXICOS</v>
          </cell>
        </row>
        <row r="8136">
          <cell r="A8136" t="str">
            <v>ES-63833</v>
          </cell>
          <cell r="E8136" t="str">
            <v>ACABADOS EPOXICOS</v>
          </cell>
        </row>
        <row r="8137">
          <cell r="A8137" t="str">
            <v>ES-63841</v>
          </cell>
          <cell r="E8137" t="str">
            <v>ACABADOS EPOXICOS</v>
          </cell>
        </row>
        <row r="8138">
          <cell r="A8138" t="str">
            <v>ES-63853</v>
          </cell>
          <cell r="E8138" t="str">
            <v>ACABADOS EPOXICOS</v>
          </cell>
        </row>
        <row r="8139">
          <cell r="A8139" t="str">
            <v>ES-63863</v>
          </cell>
          <cell r="E8139" t="str">
            <v>ACABADOS DE PU</v>
          </cell>
        </row>
        <row r="8140">
          <cell r="A8140" t="str">
            <v>ES-63871</v>
          </cell>
          <cell r="E8140" t="str">
            <v>ACABADOS DE PU</v>
          </cell>
        </row>
        <row r="8141">
          <cell r="A8141" t="str">
            <v>ES-63880</v>
          </cell>
          <cell r="E8141" t="str">
            <v>ACABADOS EPOXICOS</v>
          </cell>
        </row>
        <row r="8142">
          <cell r="A8142" t="str">
            <v>ES-63881</v>
          </cell>
          <cell r="E8142" t="str">
            <v>ACABADOS EPOXICOS</v>
          </cell>
        </row>
        <row r="8143">
          <cell r="A8143" t="str">
            <v>ES-63911</v>
          </cell>
          <cell r="E8143" t="str">
            <v>ACABADOS DE PU</v>
          </cell>
        </row>
        <row r="8144">
          <cell r="A8144" t="str">
            <v>ES-63921</v>
          </cell>
          <cell r="E8144" t="str">
            <v>ACABADOS DE PU</v>
          </cell>
        </row>
        <row r="8145">
          <cell r="A8145" t="str">
            <v>ES-63923</v>
          </cell>
          <cell r="E8145" t="str">
            <v>ACABADOS DE PU</v>
          </cell>
        </row>
        <row r="8146">
          <cell r="A8146" t="str">
            <v>ES-63933</v>
          </cell>
          <cell r="E8146" t="str">
            <v>ACABADOS DE PU</v>
          </cell>
        </row>
        <row r="8147">
          <cell r="A8147" t="str">
            <v>ES-63943</v>
          </cell>
          <cell r="E8147" t="str">
            <v>ACABADOS DE PU</v>
          </cell>
        </row>
        <row r="8148">
          <cell r="A8148" t="str">
            <v>ES-63961</v>
          </cell>
          <cell r="E8148" t="str">
            <v>ACABADOS EPOXICOS</v>
          </cell>
        </row>
        <row r="8149">
          <cell r="A8149" t="str">
            <v>ES-63963</v>
          </cell>
          <cell r="E8149" t="str">
            <v>ACABADOS EPOXICOS</v>
          </cell>
        </row>
        <row r="8150">
          <cell r="A8150" t="str">
            <v>ES-63971</v>
          </cell>
          <cell r="E8150" t="str">
            <v>ACABADOS EPOXICOS</v>
          </cell>
        </row>
        <row r="8151">
          <cell r="A8151" t="str">
            <v>ES-63974</v>
          </cell>
          <cell r="E8151" t="str">
            <v>ACABADOS EPOXICOS</v>
          </cell>
        </row>
        <row r="8152">
          <cell r="A8152" t="str">
            <v>ES-63983</v>
          </cell>
          <cell r="E8152" t="str">
            <v>ACABADOS DE PU</v>
          </cell>
        </row>
        <row r="8153">
          <cell r="A8153" t="str">
            <v>ES-63991</v>
          </cell>
          <cell r="E8153" t="str">
            <v>PRIMARIOS EPOXICOS</v>
          </cell>
        </row>
        <row r="8154">
          <cell r="A8154" t="str">
            <v>ES-64001</v>
          </cell>
          <cell r="E8154" t="str">
            <v>ACABADOS DE PU</v>
          </cell>
        </row>
        <row r="8155">
          <cell r="A8155" t="str">
            <v>ES-64011</v>
          </cell>
          <cell r="E8155" t="str">
            <v>ACABADOS EPOXICOS</v>
          </cell>
        </row>
        <row r="8156">
          <cell r="A8156" t="str">
            <v>ES-64083</v>
          </cell>
          <cell r="E8156" t="str">
            <v>ACABADOS EPOXICOS</v>
          </cell>
        </row>
        <row r="8157">
          <cell r="A8157" t="str">
            <v>ES-64221</v>
          </cell>
          <cell r="E8157" t="str">
            <v>LINEA PARA PISOS</v>
          </cell>
        </row>
        <row r="8158">
          <cell r="A8158" t="str">
            <v>ES-64223</v>
          </cell>
          <cell r="E8158" t="str">
            <v>LINEA PARA PISOS</v>
          </cell>
        </row>
        <row r="8159">
          <cell r="A8159" t="str">
            <v>ES-64233</v>
          </cell>
          <cell r="E8159" t="str">
            <v>ACABADOS DE PU</v>
          </cell>
        </row>
        <row r="8160">
          <cell r="A8160" t="str">
            <v>ES-64243</v>
          </cell>
          <cell r="E8160" t="str">
            <v>ACABADOS DE PU</v>
          </cell>
        </row>
        <row r="8161">
          <cell r="A8161" t="str">
            <v>ES-64253</v>
          </cell>
          <cell r="E8161" t="str">
            <v>ACABADOS DE PU</v>
          </cell>
        </row>
        <row r="8162">
          <cell r="A8162" t="str">
            <v>ES-64263</v>
          </cell>
          <cell r="E8162" t="str">
            <v>ACABADOS DE PU</v>
          </cell>
        </row>
        <row r="8163">
          <cell r="A8163" t="str">
            <v>ES-64273</v>
          </cell>
          <cell r="E8163" t="str">
            <v>ACABADOS EPOXICOS</v>
          </cell>
        </row>
        <row r="8164">
          <cell r="A8164" t="str">
            <v>ES-6427GL</v>
          </cell>
          <cell r="E8164" t="str">
            <v>ACABADOS EPOXICOS</v>
          </cell>
        </row>
        <row r="8165">
          <cell r="A8165" t="str">
            <v>ES-64281</v>
          </cell>
          <cell r="E8165" t="str">
            <v>ACABADOS EPOXICOS</v>
          </cell>
        </row>
        <row r="8166">
          <cell r="A8166" t="str">
            <v>ES-64291</v>
          </cell>
          <cell r="E8166" t="str">
            <v>ACABADOS EPOXICOS</v>
          </cell>
        </row>
        <row r="8167">
          <cell r="A8167" t="str">
            <v>ES-64301</v>
          </cell>
          <cell r="E8167" t="str">
            <v>ACABADOS EPOXICOS</v>
          </cell>
        </row>
        <row r="8168">
          <cell r="A8168" t="str">
            <v>ES-64311</v>
          </cell>
          <cell r="E8168" t="str">
            <v>ACABADOS EPOXICOS</v>
          </cell>
        </row>
        <row r="8169">
          <cell r="A8169" t="str">
            <v>ES-64321</v>
          </cell>
          <cell r="E8169" t="str">
            <v>ACABADOS EPOXICOS</v>
          </cell>
        </row>
        <row r="8170">
          <cell r="A8170" t="str">
            <v>ES-64323</v>
          </cell>
          <cell r="E8170" t="str">
            <v>ACABADOS EPOXICOS</v>
          </cell>
        </row>
        <row r="8171">
          <cell r="A8171" t="str">
            <v>ES-64343</v>
          </cell>
          <cell r="E8171" t="str">
            <v>ACABADOS DE PU</v>
          </cell>
        </row>
        <row r="8172">
          <cell r="A8172" t="str">
            <v>ES-6434GL</v>
          </cell>
          <cell r="E8172" t="str">
            <v>ACABADOS DE PU</v>
          </cell>
        </row>
        <row r="8173">
          <cell r="A8173" t="str">
            <v>ES-64351</v>
          </cell>
          <cell r="E8173" t="str">
            <v>ACABADOS EPOXICOS</v>
          </cell>
        </row>
        <row r="8174">
          <cell r="A8174" t="str">
            <v>ES-64371</v>
          </cell>
          <cell r="E8174" t="str">
            <v>ACABADOS DE PU</v>
          </cell>
        </row>
        <row r="8175">
          <cell r="A8175" t="str">
            <v>ES-64383</v>
          </cell>
          <cell r="E8175" t="str">
            <v>ACABADOS DE PU</v>
          </cell>
        </row>
        <row r="8176">
          <cell r="A8176" t="str">
            <v>ES-64403</v>
          </cell>
          <cell r="E8176" t="str">
            <v>ACABADOS DE PU</v>
          </cell>
        </row>
        <row r="8177">
          <cell r="A8177" t="str">
            <v>ES-64413</v>
          </cell>
          <cell r="E8177" t="str">
            <v>ACABADOS DE PU</v>
          </cell>
        </row>
        <row r="8178">
          <cell r="A8178" t="str">
            <v>ES-6441GL</v>
          </cell>
          <cell r="E8178" t="str">
            <v>ACABADOS DE PU</v>
          </cell>
        </row>
        <row r="8179">
          <cell r="A8179" t="str">
            <v>ES-64483</v>
          </cell>
          <cell r="E8179" t="str">
            <v>ACABADOS DE PU</v>
          </cell>
        </row>
        <row r="8180">
          <cell r="A8180" t="str">
            <v>ES-6448GL</v>
          </cell>
          <cell r="E8180" t="str">
            <v>ACABADOS DE PU</v>
          </cell>
        </row>
        <row r="8181">
          <cell r="A8181" t="str">
            <v>ES-64493</v>
          </cell>
          <cell r="E8181" t="str">
            <v>ACABADOS DE PU</v>
          </cell>
        </row>
        <row r="8182">
          <cell r="A8182" t="str">
            <v>ES-64503</v>
          </cell>
          <cell r="E8182" t="str">
            <v>ACABADOS DE PU</v>
          </cell>
        </row>
        <row r="8183">
          <cell r="A8183" t="str">
            <v>ES-64513</v>
          </cell>
          <cell r="E8183" t="str">
            <v>ACABADOS DE PU</v>
          </cell>
        </row>
        <row r="8184">
          <cell r="A8184" t="str">
            <v>ES-64521</v>
          </cell>
          <cell r="E8184" t="str">
            <v>ACABADOS EPOXICOS</v>
          </cell>
        </row>
        <row r="8185">
          <cell r="A8185" t="str">
            <v>ES-6452CB</v>
          </cell>
          <cell r="E8185" t="str">
            <v>ACABADOS EPOXICOS</v>
          </cell>
        </row>
        <row r="8186">
          <cell r="A8186" t="str">
            <v>ES-64533</v>
          </cell>
          <cell r="E8186" t="str">
            <v>ACABADOS DE PU</v>
          </cell>
        </row>
        <row r="8187">
          <cell r="A8187" t="str">
            <v>ES-64541</v>
          </cell>
          <cell r="E8187" t="str">
            <v>ACABADOS DE PU</v>
          </cell>
        </row>
        <row r="8188">
          <cell r="A8188" t="str">
            <v>ES-64553</v>
          </cell>
          <cell r="E8188" t="str">
            <v>ACABADOS DE PU</v>
          </cell>
        </row>
        <row r="8189">
          <cell r="A8189" t="str">
            <v>ES-64563</v>
          </cell>
          <cell r="E8189" t="str">
            <v>ACABADOS DE PU</v>
          </cell>
        </row>
        <row r="8190">
          <cell r="A8190" t="str">
            <v>ES-64573</v>
          </cell>
          <cell r="E8190" t="str">
            <v>ACABADOS DE PU</v>
          </cell>
        </row>
        <row r="8191">
          <cell r="A8191" t="str">
            <v>ES-64583</v>
          </cell>
          <cell r="E8191" t="str">
            <v>ACABADOS DE PU</v>
          </cell>
        </row>
        <row r="8192">
          <cell r="A8192" t="str">
            <v>ES-64593</v>
          </cell>
          <cell r="E8192" t="str">
            <v>ACABADOS DE PU</v>
          </cell>
        </row>
        <row r="8193">
          <cell r="A8193" t="str">
            <v>ES-64601</v>
          </cell>
          <cell r="E8193" t="str">
            <v>ACABADOS EPOXICOS</v>
          </cell>
        </row>
        <row r="8194">
          <cell r="A8194" t="str">
            <v>ES-64611</v>
          </cell>
          <cell r="E8194" t="str">
            <v>ACABADOS DE PU</v>
          </cell>
        </row>
        <row r="8195">
          <cell r="A8195" t="str">
            <v>ES-64631</v>
          </cell>
          <cell r="E8195" t="str">
            <v>PRIMARIOS EPOXICOS</v>
          </cell>
        </row>
        <row r="8196">
          <cell r="A8196" t="str">
            <v>ES-64643</v>
          </cell>
          <cell r="E8196" t="str">
            <v>ACABADOS EPOXICOS</v>
          </cell>
        </row>
        <row r="8197">
          <cell r="A8197" t="str">
            <v>ES-64653</v>
          </cell>
          <cell r="E8197" t="str">
            <v>ACABADOS EPOXICOS</v>
          </cell>
        </row>
        <row r="8198">
          <cell r="A8198" t="str">
            <v>ES-64663</v>
          </cell>
          <cell r="E8198" t="str">
            <v>ACABADOS DE PU</v>
          </cell>
        </row>
        <row r="8199">
          <cell r="A8199" t="str">
            <v>ES-64671</v>
          </cell>
          <cell r="E8199" t="str">
            <v>ACABADOS EPOXICOS</v>
          </cell>
        </row>
        <row r="8200">
          <cell r="A8200" t="str">
            <v>ES-64681</v>
          </cell>
          <cell r="E8200" t="str">
            <v>ACABADOS EPOXICOS</v>
          </cell>
        </row>
        <row r="8201">
          <cell r="A8201" t="str">
            <v>ES-64691</v>
          </cell>
          <cell r="E8201" t="str">
            <v>PRIMARIOS EPOXICOS</v>
          </cell>
        </row>
        <row r="8202">
          <cell r="A8202" t="str">
            <v>ES-64693</v>
          </cell>
          <cell r="E8202" t="str">
            <v>PRIMARIOS EPOXICOS</v>
          </cell>
        </row>
        <row r="8203">
          <cell r="A8203" t="str">
            <v>ES-64761</v>
          </cell>
          <cell r="E8203" t="str">
            <v>ACABADOS EPOXICOS</v>
          </cell>
        </row>
        <row r="8204">
          <cell r="A8204" t="str">
            <v>ES-64771</v>
          </cell>
          <cell r="E8204" t="str">
            <v>ACABADOS EPOXICOS</v>
          </cell>
        </row>
        <row r="8205">
          <cell r="A8205" t="str">
            <v>ES-64781</v>
          </cell>
          <cell r="E8205" t="str">
            <v>ACABADOS EPOXICOS</v>
          </cell>
        </row>
        <row r="8206">
          <cell r="A8206" t="str">
            <v>ES-64791</v>
          </cell>
          <cell r="E8206" t="str">
            <v>ACABADOS EPOXICOS</v>
          </cell>
        </row>
        <row r="8207">
          <cell r="A8207" t="str">
            <v>ES-64811</v>
          </cell>
          <cell r="E8207" t="str">
            <v>ACABADOS EPOXICOS</v>
          </cell>
        </row>
        <row r="8208">
          <cell r="A8208" t="str">
            <v>ES-64823</v>
          </cell>
          <cell r="E8208" t="str">
            <v>ACABADOS EPOXICOS</v>
          </cell>
        </row>
        <row r="8209">
          <cell r="A8209" t="str">
            <v>ES-6482GL</v>
          </cell>
          <cell r="E8209" t="str">
            <v>ACABADOS EPOXICOS</v>
          </cell>
        </row>
        <row r="8210">
          <cell r="A8210" t="str">
            <v>ES-64833</v>
          </cell>
          <cell r="E8210" t="str">
            <v>ACABADOS EPOXICOS</v>
          </cell>
        </row>
        <row r="8211">
          <cell r="A8211" t="str">
            <v>ES-6483GL</v>
          </cell>
          <cell r="E8211" t="str">
            <v>ACABADOS EPOXICOS</v>
          </cell>
        </row>
        <row r="8212">
          <cell r="A8212" t="str">
            <v>ES-64853</v>
          </cell>
          <cell r="E8212" t="str">
            <v>ACABADOS EPOXICOS</v>
          </cell>
        </row>
        <row r="8213">
          <cell r="A8213" t="str">
            <v>ES-64863</v>
          </cell>
          <cell r="E8213" t="str">
            <v>ACABADOS DE PU</v>
          </cell>
        </row>
        <row r="8214">
          <cell r="A8214" t="str">
            <v>ES-64873</v>
          </cell>
          <cell r="E8214" t="str">
            <v>ACABADOS DE PU</v>
          </cell>
        </row>
        <row r="8215">
          <cell r="A8215" t="str">
            <v>ES-64883</v>
          </cell>
          <cell r="E8215" t="str">
            <v>ACABADOS DE PU</v>
          </cell>
        </row>
        <row r="8216">
          <cell r="A8216" t="str">
            <v>ES-6488GL</v>
          </cell>
          <cell r="E8216" t="str">
            <v>ACABADOS DE PU</v>
          </cell>
        </row>
        <row r="8217">
          <cell r="A8217" t="str">
            <v>ES-64893</v>
          </cell>
          <cell r="E8217" t="str">
            <v>ACABADOS EPOXICOS</v>
          </cell>
        </row>
        <row r="8218">
          <cell r="A8218" t="str">
            <v>ES-64901</v>
          </cell>
          <cell r="E8218" t="str">
            <v>ACABADOS EPOXICOS</v>
          </cell>
        </row>
        <row r="8219">
          <cell r="A8219" t="str">
            <v>ES-64911</v>
          </cell>
          <cell r="E8219" t="str">
            <v>ACABADOS DE ALTA TEMPERATURA</v>
          </cell>
        </row>
        <row r="8220">
          <cell r="A8220" t="str">
            <v>ES-64921</v>
          </cell>
          <cell r="E8220" t="str">
            <v>ACABADOS EPOXICOS</v>
          </cell>
        </row>
        <row r="8221">
          <cell r="A8221" t="str">
            <v>ES-64931</v>
          </cell>
          <cell r="E8221" t="str">
            <v>SOLVENTES INDUSTRIALES</v>
          </cell>
        </row>
        <row r="8222">
          <cell r="A8222" t="str">
            <v>ES-6494GL</v>
          </cell>
          <cell r="E8222" t="str">
            <v>ACABADOS DE PU</v>
          </cell>
        </row>
        <row r="8223">
          <cell r="A8223" t="str">
            <v>ES-6495GL</v>
          </cell>
          <cell r="E8223" t="str">
            <v>LINEA PARA PISOS</v>
          </cell>
        </row>
        <row r="8224">
          <cell r="A8224" t="str">
            <v>ES-64964</v>
          </cell>
          <cell r="E8224" t="str">
            <v>LINEA PARA PISOS</v>
          </cell>
        </row>
        <row r="8225">
          <cell r="A8225" t="str">
            <v>ES-6505GL</v>
          </cell>
          <cell r="E8225" t="str">
            <v>ACABADOS DE PU</v>
          </cell>
        </row>
        <row r="8226">
          <cell r="A8226" t="str">
            <v>ES-65061</v>
          </cell>
          <cell r="E8226" t="str">
            <v>LINEA PARA PISOS</v>
          </cell>
        </row>
        <row r="8227">
          <cell r="A8227" t="str">
            <v>ES-6509GL</v>
          </cell>
          <cell r="E8227" t="str">
            <v>LINEA PARA PISOS</v>
          </cell>
        </row>
        <row r="8228">
          <cell r="A8228" t="str">
            <v>ES-65101</v>
          </cell>
          <cell r="E8228" t="str">
            <v>ACABADOS DE PU</v>
          </cell>
        </row>
        <row r="8229">
          <cell r="A8229" t="str">
            <v>ES-65111</v>
          </cell>
          <cell r="E8229" t="str">
            <v>LINEA PARA PISOS</v>
          </cell>
        </row>
        <row r="8230">
          <cell r="A8230" t="str">
            <v>ES-65123</v>
          </cell>
          <cell r="E8230" t="str">
            <v>LINEA PARA PISOS</v>
          </cell>
        </row>
        <row r="8231">
          <cell r="A8231" t="str">
            <v>ES-6515GL</v>
          </cell>
          <cell r="E8231" t="str">
            <v>LINEA PARA PISOS</v>
          </cell>
        </row>
        <row r="8232">
          <cell r="A8232" t="str">
            <v>ES-6516GL</v>
          </cell>
          <cell r="E8232" t="str">
            <v>LINEA PARA PISOS</v>
          </cell>
        </row>
        <row r="8233">
          <cell r="A8233" t="str">
            <v>ES-65171</v>
          </cell>
          <cell r="E8233" t="str">
            <v>ACABADOS DE PU</v>
          </cell>
        </row>
        <row r="8234">
          <cell r="A8234" t="str">
            <v>ES-65193</v>
          </cell>
          <cell r="E8234" t="str">
            <v>LINEA PARA PISOS</v>
          </cell>
        </row>
        <row r="8235">
          <cell r="A8235" t="str">
            <v>ES-6519GL</v>
          </cell>
          <cell r="E8235" t="str">
            <v>LINEA PARA PISOS</v>
          </cell>
        </row>
        <row r="8236">
          <cell r="A8236" t="str">
            <v>ES-6520GL</v>
          </cell>
          <cell r="E8236" t="str">
            <v>LINEA PARA PISOS</v>
          </cell>
        </row>
        <row r="8237">
          <cell r="A8237" t="str">
            <v>ES-65243</v>
          </cell>
          <cell r="E8237" t="str">
            <v>ACABADOS EPOXICOS</v>
          </cell>
        </row>
        <row r="8238">
          <cell r="A8238" t="str">
            <v>ES-70421</v>
          </cell>
          <cell r="E8238" t="str">
            <v>VINILICA - RIVINOL</v>
          </cell>
        </row>
        <row r="8239">
          <cell r="A8239" t="str">
            <v>ES-70491</v>
          </cell>
          <cell r="E8239" t="str">
            <v>FONDOS ARQUITECTONICOS</v>
          </cell>
        </row>
        <row r="8240">
          <cell r="A8240" t="str">
            <v>ES-70493</v>
          </cell>
          <cell r="E8240" t="str">
            <v>VINILICA - PRISASPORT</v>
          </cell>
        </row>
        <row r="8241">
          <cell r="A8241" t="str">
            <v>ES-70613</v>
          </cell>
          <cell r="E8241" t="str">
            <v>VINILICA - POLIPRISA</v>
          </cell>
        </row>
        <row r="8242">
          <cell r="A8242" t="str">
            <v>ES-70761</v>
          </cell>
          <cell r="E8242" t="str">
            <v>VINILICA - PINTAVIN</v>
          </cell>
        </row>
        <row r="8243">
          <cell r="A8243" t="str">
            <v>ES-70791</v>
          </cell>
          <cell r="E8243" t="str">
            <v>VINILICA - RIVINOL</v>
          </cell>
        </row>
        <row r="8244">
          <cell r="A8244" t="str">
            <v>ES-70821</v>
          </cell>
          <cell r="E8244" t="str">
            <v>VINILICA - POLIPRISA</v>
          </cell>
        </row>
        <row r="8245">
          <cell r="A8245" t="str">
            <v>ES-70860</v>
          </cell>
          <cell r="E8245" t="str">
            <v>VINILICA - POLIPRISA</v>
          </cell>
        </row>
        <row r="8246">
          <cell r="A8246" t="str">
            <v>ES-70861</v>
          </cell>
          <cell r="E8246" t="str">
            <v>VINILICA - POLIPRISA</v>
          </cell>
        </row>
        <row r="8247">
          <cell r="A8247" t="str">
            <v>ES-70870</v>
          </cell>
          <cell r="E8247" t="str">
            <v>VINILICA - POLIPRISA</v>
          </cell>
        </row>
        <row r="8248">
          <cell r="A8248" t="str">
            <v>ES-70871</v>
          </cell>
          <cell r="E8248" t="str">
            <v>VINILICA - POLIPRISA</v>
          </cell>
        </row>
        <row r="8249">
          <cell r="A8249" t="str">
            <v>ES-71071</v>
          </cell>
          <cell r="E8249" t="str">
            <v>VINILICA - RIVINOL</v>
          </cell>
        </row>
        <row r="8250">
          <cell r="A8250" t="str">
            <v>ES-71141</v>
          </cell>
          <cell r="E8250" t="str">
            <v>ESMALTE - MILCO</v>
          </cell>
        </row>
        <row r="8251">
          <cell r="A8251" t="str">
            <v>ES-71241</v>
          </cell>
          <cell r="E8251" t="str">
            <v>VINILICA - POLIPRISA</v>
          </cell>
        </row>
        <row r="8252">
          <cell r="A8252" t="str">
            <v>ES-71261</v>
          </cell>
          <cell r="E8252" t="str">
            <v>VINILICA - OTRAS</v>
          </cell>
        </row>
        <row r="8253">
          <cell r="A8253" t="str">
            <v>ES-71371</v>
          </cell>
          <cell r="E8253" t="str">
            <v>VINILICA - MAXIPRISA</v>
          </cell>
        </row>
        <row r="8254">
          <cell r="A8254" t="str">
            <v>ES-71661</v>
          </cell>
          <cell r="E8254" t="str">
            <v>VINILICA - RIVINOL</v>
          </cell>
        </row>
        <row r="8255">
          <cell r="A8255" t="str">
            <v>ES-71671</v>
          </cell>
          <cell r="E8255" t="str">
            <v>VINILICA - RIVINOL</v>
          </cell>
        </row>
        <row r="8256">
          <cell r="A8256" t="str">
            <v>ES-71741</v>
          </cell>
          <cell r="E8256" t="str">
            <v>VINILICA LICITACIONES</v>
          </cell>
        </row>
        <row r="8257">
          <cell r="A8257" t="str">
            <v>ES-72441</v>
          </cell>
          <cell r="E8257" t="str">
            <v>VINILICA - RIVINOL</v>
          </cell>
        </row>
        <row r="8258">
          <cell r="A8258" t="str">
            <v>ES-72443</v>
          </cell>
          <cell r="E8258" t="str">
            <v>VINILICA - RIVINOL</v>
          </cell>
        </row>
        <row r="8259">
          <cell r="A8259" t="str">
            <v>ES-72451</v>
          </cell>
          <cell r="E8259" t="str">
            <v>VINILICA - RIVINOL</v>
          </cell>
        </row>
        <row r="8260">
          <cell r="A8260" t="str">
            <v>ES-72471</v>
          </cell>
          <cell r="E8260" t="str">
            <v>VINILICA - RIVINOL</v>
          </cell>
        </row>
        <row r="8261">
          <cell r="A8261" t="str">
            <v>ES-72473</v>
          </cell>
          <cell r="E8261" t="str">
            <v>VINILICA - RIVINOL</v>
          </cell>
        </row>
        <row r="8262">
          <cell r="A8262" t="str">
            <v>ES-72491</v>
          </cell>
          <cell r="E8262" t="str">
            <v>VINILICA - RIVINOL</v>
          </cell>
        </row>
        <row r="8263">
          <cell r="A8263" t="str">
            <v>ES-72493</v>
          </cell>
          <cell r="E8263" t="str">
            <v>VINILICA - RIVINOL</v>
          </cell>
        </row>
        <row r="8264">
          <cell r="A8264" t="str">
            <v>ES-72501</v>
          </cell>
          <cell r="E8264" t="str">
            <v>VINILICA - RIVINOL</v>
          </cell>
        </row>
        <row r="8265">
          <cell r="A8265" t="str">
            <v>ES-72511</v>
          </cell>
          <cell r="E8265" t="str">
            <v>VINILICA - RIVINOL</v>
          </cell>
        </row>
        <row r="8266">
          <cell r="A8266" t="str">
            <v>ES-72531</v>
          </cell>
          <cell r="E8266" t="str">
            <v>VINILICA - MAXIPRISA</v>
          </cell>
        </row>
        <row r="8267">
          <cell r="A8267" t="str">
            <v>ES-72541</v>
          </cell>
          <cell r="E8267" t="str">
            <v>VINILICA - RIVINOL</v>
          </cell>
        </row>
        <row r="8268">
          <cell r="A8268" t="str">
            <v>ES-72551</v>
          </cell>
          <cell r="E8268" t="str">
            <v>VINILICA - RIVINOL</v>
          </cell>
        </row>
        <row r="8269">
          <cell r="A8269" t="str">
            <v>ES-72561</v>
          </cell>
          <cell r="E8269" t="str">
            <v>VINILICA - RIVINOL</v>
          </cell>
        </row>
        <row r="8270">
          <cell r="A8270" t="str">
            <v>ES-72571</v>
          </cell>
          <cell r="E8270" t="str">
            <v>VINILICA - RIVINOL</v>
          </cell>
        </row>
        <row r="8271">
          <cell r="A8271" t="str">
            <v>ES-72581</v>
          </cell>
          <cell r="E8271" t="str">
            <v>VINILICA - RIVINOL</v>
          </cell>
        </row>
        <row r="8272">
          <cell r="A8272" t="str">
            <v>ES-72591</v>
          </cell>
          <cell r="E8272" t="str">
            <v>VINILICA - RIVINOL</v>
          </cell>
        </row>
        <row r="8273">
          <cell r="A8273" t="str">
            <v>ES-72593</v>
          </cell>
          <cell r="E8273" t="str">
            <v>VINILICA - RIVINOL</v>
          </cell>
        </row>
        <row r="8274">
          <cell r="A8274" t="str">
            <v>ES-72601</v>
          </cell>
          <cell r="E8274" t="str">
            <v>VINILICA - RIVINOL</v>
          </cell>
        </row>
        <row r="8275">
          <cell r="A8275" t="str">
            <v>ES-72603</v>
          </cell>
          <cell r="E8275" t="str">
            <v>VINILICA - RIVINOL</v>
          </cell>
        </row>
        <row r="8276">
          <cell r="A8276" t="str">
            <v>ES-72611</v>
          </cell>
          <cell r="E8276" t="str">
            <v>VINILICA - RIVINOL</v>
          </cell>
        </row>
        <row r="8277">
          <cell r="A8277" t="str">
            <v>ES-72613</v>
          </cell>
          <cell r="E8277" t="str">
            <v>VINILICA - RIVINOL</v>
          </cell>
        </row>
        <row r="8278">
          <cell r="A8278" t="str">
            <v>ES-72621</v>
          </cell>
          <cell r="E8278" t="str">
            <v>VINILICA - RIVINOL</v>
          </cell>
        </row>
        <row r="8279">
          <cell r="A8279" t="str">
            <v>ES-72641</v>
          </cell>
          <cell r="E8279" t="str">
            <v>VINILICA - RIVINOL</v>
          </cell>
        </row>
        <row r="8280">
          <cell r="A8280" t="str">
            <v>ES-72651</v>
          </cell>
          <cell r="E8280" t="str">
            <v>VINILICA - RIVINOL</v>
          </cell>
        </row>
        <row r="8281">
          <cell r="A8281" t="str">
            <v>ES-72653</v>
          </cell>
          <cell r="E8281" t="str">
            <v>VINILICA - RIVINOL</v>
          </cell>
        </row>
        <row r="8282">
          <cell r="A8282" t="str">
            <v>ES-72661</v>
          </cell>
          <cell r="E8282" t="str">
            <v>VINILICA - RIVINOL</v>
          </cell>
        </row>
        <row r="8283">
          <cell r="A8283" t="str">
            <v>ES-72663</v>
          </cell>
          <cell r="E8283" t="str">
            <v>VINILICA - RIVINOL</v>
          </cell>
        </row>
        <row r="8284">
          <cell r="A8284" t="str">
            <v>ES-72671</v>
          </cell>
          <cell r="E8284" t="str">
            <v>VINILICA - MAXIPRISA</v>
          </cell>
        </row>
        <row r="8285">
          <cell r="A8285" t="str">
            <v>ES-72701</v>
          </cell>
          <cell r="E8285" t="str">
            <v>VINILICA - RIVINOL</v>
          </cell>
        </row>
        <row r="8286">
          <cell r="A8286" t="str">
            <v>ES-72703</v>
          </cell>
          <cell r="E8286" t="str">
            <v>VINILICA - RIVINOL</v>
          </cell>
        </row>
        <row r="8287">
          <cell r="A8287" t="str">
            <v>ES-72721</v>
          </cell>
          <cell r="E8287" t="str">
            <v>VINILICA - RIVINOL</v>
          </cell>
        </row>
        <row r="8288">
          <cell r="A8288" t="str">
            <v>ES-72741</v>
          </cell>
          <cell r="E8288" t="str">
            <v>VINILICA - OTRAS</v>
          </cell>
        </row>
        <row r="8289">
          <cell r="A8289" t="str">
            <v>ES-72751</v>
          </cell>
          <cell r="E8289" t="str">
            <v>ESM SECADO RAPIDO BASE AGUA</v>
          </cell>
        </row>
        <row r="8290">
          <cell r="A8290" t="str">
            <v>ES-72871</v>
          </cell>
          <cell r="E8290" t="str">
            <v>VINILICA - POLIPRISA</v>
          </cell>
        </row>
        <row r="8291">
          <cell r="A8291" t="str">
            <v>ES-73001</v>
          </cell>
          <cell r="E8291" t="str">
            <v>VINILICA - RIVINOL</v>
          </cell>
        </row>
        <row r="8292">
          <cell r="A8292" t="str">
            <v>ES-73200</v>
          </cell>
          <cell r="E8292" t="str">
            <v>VINILICA - PRISASPORT</v>
          </cell>
        </row>
        <row r="8293">
          <cell r="A8293" t="str">
            <v>ES-73210</v>
          </cell>
          <cell r="E8293" t="str">
            <v>VINILICA - PRISASPORT</v>
          </cell>
        </row>
        <row r="8294">
          <cell r="A8294" t="str">
            <v>ES-73311</v>
          </cell>
          <cell r="E8294" t="str">
            <v>VINILICA - RIVINOL</v>
          </cell>
        </row>
        <row r="8295">
          <cell r="A8295" t="str">
            <v>ES-73331</v>
          </cell>
          <cell r="E8295" t="str">
            <v>VINILICA - RIVINOL</v>
          </cell>
        </row>
        <row r="8296">
          <cell r="A8296" t="str">
            <v>ES-73361</v>
          </cell>
          <cell r="E8296" t="str">
            <v>VINILICA - RIVINOL</v>
          </cell>
        </row>
        <row r="8297">
          <cell r="A8297" t="str">
            <v>ES-73363</v>
          </cell>
          <cell r="E8297" t="str">
            <v>VINILICA - RIVINOL</v>
          </cell>
        </row>
        <row r="8298">
          <cell r="A8298" t="str">
            <v>ES-73391</v>
          </cell>
          <cell r="E8298" t="str">
            <v>VINILICA - RIVINOL</v>
          </cell>
        </row>
        <row r="8299">
          <cell r="A8299" t="str">
            <v>ES-73521</v>
          </cell>
          <cell r="E8299" t="str">
            <v>VINILICA - VINIBAR</v>
          </cell>
        </row>
        <row r="8300">
          <cell r="A8300" t="str">
            <v>ES-73523</v>
          </cell>
          <cell r="E8300" t="str">
            <v>VINILICA - VINIBAR</v>
          </cell>
        </row>
        <row r="8301">
          <cell r="A8301" t="str">
            <v>ES-73531</v>
          </cell>
          <cell r="E8301" t="str">
            <v>VINILICA - POLIPRISA</v>
          </cell>
        </row>
        <row r="8302">
          <cell r="A8302" t="str">
            <v>ES-73631</v>
          </cell>
          <cell r="E8302" t="str">
            <v>VINILICA - POLIPRISA</v>
          </cell>
        </row>
        <row r="8303">
          <cell r="A8303" t="str">
            <v>ES-73641</v>
          </cell>
          <cell r="E8303" t="str">
            <v>VINILICA - POLIPRISA</v>
          </cell>
        </row>
        <row r="8304">
          <cell r="A8304" t="str">
            <v>ES-73661</v>
          </cell>
          <cell r="E8304" t="str">
            <v>VINILICA - PINTAVIN</v>
          </cell>
        </row>
        <row r="8305">
          <cell r="A8305" t="str">
            <v>ES-73681</v>
          </cell>
          <cell r="E8305" t="str">
            <v>VINILICA - VINIBAR</v>
          </cell>
        </row>
        <row r="8306">
          <cell r="A8306" t="str">
            <v>ES-73711</v>
          </cell>
          <cell r="E8306" t="str">
            <v>VINILICA - OTRAS</v>
          </cell>
        </row>
        <row r="8307">
          <cell r="A8307" t="str">
            <v>ES-73713</v>
          </cell>
          <cell r="E8307" t="str">
            <v>VINILICA - OTRAS</v>
          </cell>
        </row>
        <row r="8308">
          <cell r="A8308" t="str">
            <v>ES-73741</v>
          </cell>
          <cell r="E8308" t="str">
            <v>VINILICA - POLIPRISA</v>
          </cell>
        </row>
        <row r="8309">
          <cell r="A8309" t="str">
            <v>ES-73761</v>
          </cell>
          <cell r="E8309" t="str">
            <v>TRAFICO BASE AGUA</v>
          </cell>
        </row>
        <row r="8310">
          <cell r="A8310" t="str">
            <v>ES-73771</v>
          </cell>
          <cell r="E8310" t="str">
            <v>VINILICA - PINTAVIN</v>
          </cell>
        </row>
        <row r="8311">
          <cell r="A8311" t="str">
            <v>ES-73791</v>
          </cell>
          <cell r="E8311" t="str">
            <v>VINILICA - OTRAS</v>
          </cell>
        </row>
        <row r="8312">
          <cell r="A8312" t="str">
            <v>ES-73801</v>
          </cell>
          <cell r="E8312" t="str">
            <v>VINILICA - OTRAS</v>
          </cell>
        </row>
        <row r="8313">
          <cell r="A8313" t="str">
            <v>ES-73931</v>
          </cell>
          <cell r="E8313" t="str">
            <v>VINILICA - OTRAS</v>
          </cell>
        </row>
        <row r="8314">
          <cell r="A8314" t="str">
            <v>ES-73951</v>
          </cell>
          <cell r="E8314" t="str">
            <v>VINILICA - MAXIPRISA</v>
          </cell>
        </row>
        <row r="8315">
          <cell r="A8315" t="str">
            <v>ES-73961</v>
          </cell>
          <cell r="E8315" t="str">
            <v>VINILICA - OTRAS</v>
          </cell>
        </row>
        <row r="8316">
          <cell r="A8316" t="str">
            <v>ES-73971</v>
          </cell>
          <cell r="E8316" t="str">
            <v>VINILICA - OTRAS</v>
          </cell>
        </row>
        <row r="8317">
          <cell r="A8317" t="str">
            <v>ES-73981</v>
          </cell>
          <cell r="E8317" t="str">
            <v>VINILICA - OTRAS</v>
          </cell>
        </row>
        <row r="8318">
          <cell r="A8318" t="str">
            <v>ES-74004</v>
          </cell>
          <cell r="E8318" t="str">
            <v>VINILICA - POLIPRISA</v>
          </cell>
        </row>
        <row r="8319">
          <cell r="A8319" t="str">
            <v>ES-74014</v>
          </cell>
          <cell r="E8319" t="str">
            <v>VINILICA - POLIPRISA</v>
          </cell>
        </row>
        <row r="8320">
          <cell r="A8320" t="str">
            <v>ES-74041</v>
          </cell>
          <cell r="E8320" t="str">
            <v>VINILICA - POLIPRISA</v>
          </cell>
        </row>
        <row r="8321">
          <cell r="A8321" t="str">
            <v>ES-74171</v>
          </cell>
          <cell r="E8321" t="str">
            <v>VINILICA - POLIPRISA</v>
          </cell>
        </row>
        <row r="8322">
          <cell r="A8322" t="str">
            <v>ES-74173</v>
          </cell>
          <cell r="E8322" t="str">
            <v>VINILICA - POLIPRISA</v>
          </cell>
        </row>
        <row r="8323">
          <cell r="A8323" t="str">
            <v>ES-74191</v>
          </cell>
          <cell r="E8323" t="str">
            <v>VINILICA - RIVINOL</v>
          </cell>
        </row>
        <row r="8324">
          <cell r="A8324" t="str">
            <v>ES-74201</v>
          </cell>
          <cell r="E8324" t="str">
            <v>VINILICA - RIVINOL</v>
          </cell>
        </row>
        <row r="8325">
          <cell r="A8325" t="str">
            <v>ES-74211</v>
          </cell>
          <cell r="E8325" t="str">
            <v>VINILICA - PINTAVIN</v>
          </cell>
        </row>
        <row r="8326">
          <cell r="A8326" t="str">
            <v>ES-74231</v>
          </cell>
          <cell r="E8326" t="str">
            <v>VINILICA - POLIPRISA</v>
          </cell>
        </row>
        <row r="8327">
          <cell r="A8327" t="str">
            <v>ES-74241</v>
          </cell>
          <cell r="E8327" t="str">
            <v>VINILICA - POLIPRISA</v>
          </cell>
        </row>
        <row r="8328">
          <cell r="A8328" t="str">
            <v>ES-74251</v>
          </cell>
          <cell r="E8328" t="str">
            <v>VINILICA - POLIPRISA</v>
          </cell>
        </row>
        <row r="8329">
          <cell r="A8329" t="str">
            <v>ES-74261</v>
          </cell>
          <cell r="E8329" t="str">
            <v>VINILICA - POLIPRISA</v>
          </cell>
        </row>
        <row r="8330">
          <cell r="A8330" t="str">
            <v>ES-74281</v>
          </cell>
          <cell r="E8330" t="str">
            <v>VINILICA - MAXIPRISA</v>
          </cell>
        </row>
        <row r="8331">
          <cell r="A8331" t="str">
            <v>ES-74321</v>
          </cell>
          <cell r="E8331" t="str">
            <v>VINILICA - OTRAS</v>
          </cell>
        </row>
        <row r="8332">
          <cell r="A8332" t="str">
            <v>ES-74330</v>
          </cell>
          <cell r="E8332" t="str">
            <v>VINILICA - RIVINOL</v>
          </cell>
        </row>
        <row r="8333">
          <cell r="A8333" t="str">
            <v>ES-74331</v>
          </cell>
          <cell r="E8333" t="str">
            <v>VINILICA - RIVINOL</v>
          </cell>
        </row>
        <row r="8334">
          <cell r="A8334" t="str">
            <v>ES-74333</v>
          </cell>
          <cell r="E8334" t="str">
            <v>VINILICA - RIVINOL</v>
          </cell>
        </row>
        <row r="8335">
          <cell r="A8335" t="str">
            <v>ES-74334</v>
          </cell>
          <cell r="E8335" t="str">
            <v>VINILICA - RIVINOL</v>
          </cell>
        </row>
        <row r="8336">
          <cell r="A8336" t="str">
            <v>ES-74340</v>
          </cell>
          <cell r="E8336" t="str">
            <v>VINILICA - RIVINOL</v>
          </cell>
        </row>
        <row r="8337">
          <cell r="A8337" t="str">
            <v>ES-74341</v>
          </cell>
          <cell r="E8337" t="str">
            <v>VINILICA - RIVINOL</v>
          </cell>
        </row>
        <row r="8338">
          <cell r="A8338" t="str">
            <v>ES-74343</v>
          </cell>
          <cell r="E8338" t="str">
            <v>VINILICA - RIVINOL</v>
          </cell>
        </row>
        <row r="8339">
          <cell r="A8339" t="str">
            <v>ES-74344</v>
          </cell>
          <cell r="E8339" t="str">
            <v>VINILICA - RIVINOL</v>
          </cell>
        </row>
        <row r="8340">
          <cell r="A8340" t="str">
            <v>ES-74350</v>
          </cell>
          <cell r="E8340" t="str">
            <v>VINILICA - RIVINOL</v>
          </cell>
        </row>
        <row r="8341">
          <cell r="A8341" t="str">
            <v>ES-74361</v>
          </cell>
          <cell r="E8341" t="str">
            <v>VINILICA - VINIBAR</v>
          </cell>
        </row>
        <row r="8342">
          <cell r="A8342" t="str">
            <v>ES-74401</v>
          </cell>
          <cell r="E8342" t="str">
            <v>VINILICA - POLIPRISA</v>
          </cell>
        </row>
        <row r="8343">
          <cell r="A8343" t="str">
            <v>ES-74421</v>
          </cell>
          <cell r="E8343" t="str">
            <v>VINILICA - POLIPRISA</v>
          </cell>
        </row>
        <row r="8344">
          <cell r="A8344" t="str">
            <v>ES-74541</v>
          </cell>
          <cell r="E8344" t="str">
            <v>VINILICA - POLIPRISA</v>
          </cell>
        </row>
        <row r="8345">
          <cell r="A8345" t="str">
            <v>ES-74551</v>
          </cell>
          <cell r="E8345" t="str">
            <v>VINILICA - POLIPRISA</v>
          </cell>
        </row>
        <row r="8346">
          <cell r="A8346" t="str">
            <v>ES-74561</v>
          </cell>
          <cell r="E8346" t="str">
            <v>VINILICA - POLIPRISA</v>
          </cell>
        </row>
        <row r="8347">
          <cell r="A8347" t="str">
            <v>ES-74591</v>
          </cell>
          <cell r="E8347" t="str">
            <v>VINILICA - RIVINOL</v>
          </cell>
        </row>
        <row r="8348">
          <cell r="A8348" t="str">
            <v>ES-74593</v>
          </cell>
          <cell r="E8348" t="str">
            <v>VINILICA - RIVINOL</v>
          </cell>
        </row>
        <row r="8349">
          <cell r="A8349" t="str">
            <v>ES-74594</v>
          </cell>
          <cell r="E8349" t="str">
            <v>VINILICA - RIVINOL</v>
          </cell>
        </row>
        <row r="8350">
          <cell r="A8350" t="str">
            <v>ES-74641</v>
          </cell>
          <cell r="E8350" t="str">
            <v>VINILICA - POLIPRISA</v>
          </cell>
        </row>
        <row r="8351">
          <cell r="A8351" t="str">
            <v>ES-74642</v>
          </cell>
          <cell r="E8351" t="str">
            <v>VINILICA - POLIPRISA</v>
          </cell>
        </row>
        <row r="8352">
          <cell r="A8352" t="str">
            <v>ES-74643</v>
          </cell>
          <cell r="E8352" t="str">
            <v>VINILICA - POLIPRISA</v>
          </cell>
        </row>
        <row r="8353">
          <cell r="A8353" t="str">
            <v>ES-74644</v>
          </cell>
          <cell r="E8353" t="str">
            <v>VINILICA - POLIPRISA</v>
          </cell>
        </row>
        <row r="8354">
          <cell r="A8354" t="str">
            <v>ES-74671</v>
          </cell>
          <cell r="E8354" t="str">
            <v>VINILICA - RIVINOL</v>
          </cell>
        </row>
        <row r="8355">
          <cell r="A8355" t="str">
            <v>ES-74673</v>
          </cell>
          <cell r="E8355" t="str">
            <v>VINILICA - RIVINOL</v>
          </cell>
        </row>
        <row r="8356">
          <cell r="A8356" t="str">
            <v>ES-74674</v>
          </cell>
          <cell r="E8356" t="str">
            <v>VINILICA - RIVINOL</v>
          </cell>
        </row>
        <row r="8357">
          <cell r="A8357" t="str">
            <v>ES-74681</v>
          </cell>
          <cell r="E8357" t="str">
            <v>VINILICA - RIVINOL</v>
          </cell>
        </row>
        <row r="8358">
          <cell r="A8358" t="str">
            <v>ES-74683</v>
          </cell>
          <cell r="E8358" t="str">
            <v>VINILICA - RIVINOL</v>
          </cell>
        </row>
        <row r="8359">
          <cell r="A8359" t="str">
            <v>ES-74684</v>
          </cell>
          <cell r="E8359" t="str">
            <v>VINILICA - RIVINOL</v>
          </cell>
        </row>
        <row r="8360">
          <cell r="A8360" t="str">
            <v>ES-74691</v>
          </cell>
          <cell r="E8360" t="str">
            <v>VINILICA - RIVINOL</v>
          </cell>
        </row>
        <row r="8361">
          <cell r="A8361" t="str">
            <v>ES-74701</v>
          </cell>
          <cell r="E8361" t="str">
            <v>VINILICA - RIVINOL</v>
          </cell>
        </row>
        <row r="8362">
          <cell r="A8362" t="str">
            <v>ES-74721</v>
          </cell>
          <cell r="E8362" t="str">
            <v>VINILICA - PRISASPORT</v>
          </cell>
        </row>
        <row r="8363">
          <cell r="A8363" t="str">
            <v>ES-74723</v>
          </cell>
          <cell r="E8363" t="str">
            <v>VINILICA - PRISASPORT</v>
          </cell>
        </row>
        <row r="8364">
          <cell r="A8364" t="str">
            <v>ES-74761</v>
          </cell>
          <cell r="E8364" t="str">
            <v>VINILICA - POLIPRISA</v>
          </cell>
        </row>
        <row r="8365">
          <cell r="A8365" t="str">
            <v>ES-74771</v>
          </cell>
          <cell r="E8365" t="str">
            <v>VINILICA - POLIPRISA</v>
          </cell>
        </row>
        <row r="8366">
          <cell r="A8366" t="str">
            <v>ES-74773</v>
          </cell>
          <cell r="E8366" t="str">
            <v>VINILICA - POLIPRISA</v>
          </cell>
        </row>
        <row r="8367">
          <cell r="A8367" t="str">
            <v>ES-74781</v>
          </cell>
          <cell r="E8367" t="str">
            <v>VINILICA - PINTAVIN</v>
          </cell>
        </row>
        <row r="8368">
          <cell r="A8368" t="str">
            <v>ES-74791</v>
          </cell>
          <cell r="E8368" t="str">
            <v>VINILICA - POLIPRISA</v>
          </cell>
        </row>
        <row r="8369">
          <cell r="A8369" t="str">
            <v>ES-74801</v>
          </cell>
          <cell r="E8369" t="str">
            <v>SELLADOR - VINILICO (RIVI)</v>
          </cell>
        </row>
        <row r="8370">
          <cell r="A8370" t="str">
            <v>ES-74821</v>
          </cell>
          <cell r="E8370" t="str">
            <v>VINILICA - OTRAS</v>
          </cell>
        </row>
        <row r="8371">
          <cell r="A8371" t="str">
            <v>ES-74823</v>
          </cell>
          <cell r="E8371" t="str">
            <v>VINILICA - OTRAS</v>
          </cell>
        </row>
        <row r="8372">
          <cell r="A8372" t="str">
            <v>ES-74824</v>
          </cell>
          <cell r="E8372" t="str">
            <v>VINILICA - OTRAS</v>
          </cell>
        </row>
        <row r="8373">
          <cell r="A8373" t="str">
            <v>ES-74891</v>
          </cell>
          <cell r="E8373" t="str">
            <v>VINILICA - RIVINOL</v>
          </cell>
        </row>
        <row r="8374">
          <cell r="A8374" t="str">
            <v>ES-74901</v>
          </cell>
          <cell r="E8374" t="str">
            <v>VINILICA - PINTAVIN</v>
          </cell>
        </row>
        <row r="8375">
          <cell r="A8375" t="str">
            <v>ES-74931</v>
          </cell>
          <cell r="E8375" t="str">
            <v>VINILICA - RIVINOL</v>
          </cell>
        </row>
        <row r="8376">
          <cell r="A8376" t="str">
            <v>ES-74981</v>
          </cell>
          <cell r="E8376" t="str">
            <v>VINILICA - PINTAVIN</v>
          </cell>
        </row>
        <row r="8377">
          <cell r="A8377" t="str">
            <v>ES-75021</v>
          </cell>
          <cell r="E8377" t="str">
            <v>VINILICA - RIVINOL</v>
          </cell>
        </row>
        <row r="8378">
          <cell r="A8378" t="str">
            <v>ES-75031</v>
          </cell>
          <cell r="E8378" t="str">
            <v>VINILICA - RIVINOL</v>
          </cell>
        </row>
        <row r="8379">
          <cell r="A8379" t="str">
            <v>ES-75041</v>
          </cell>
          <cell r="E8379" t="str">
            <v>VINILICA - RIVINOL</v>
          </cell>
        </row>
        <row r="8380">
          <cell r="A8380" t="str">
            <v>ES-75101</v>
          </cell>
          <cell r="E8380" t="str">
            <v>VINILICA - PINTAVIN</v>
          </cell>
        </row>
        <row r="8381">
          <cell r="A8381" t="str">
            <v>ES-75111</v>
          </cell>
          <cell r="E8381" t="str">
            <v>VINILICA - PINTAVIN</v>
          </cell>
        </row>
        <row r="8382">
          <cell r="A8382" t="str">
            <v>ES-75140</v>
          </cell>
          <cell r="E8382" t="str">
            <v>TRAFICO BASE AGUA</v>
          </cell>
        </row>
        <row r="8383">
          <cell r="A8383" t="str">
            <v>ES-75141</v>
          </cell>
          <cell r="E8383" t="str">
            <v>TRAFICO BASE AGUA</v>
          </cell>
        </row>
        <row r="8384">
          <cell r="A8384" t="str">
            <v>ES-75151</v>
          </cell>
          <cell r="E8384" t="str">
            <v>VINILICA - PINTAVIN</v>
          </cell>
        </row>
        <row r="8385">
          <cell r="A8385" t="str">
            <v>ES-75161</v>
          </cell>
          <cell r="E8385" t="str">
            <v>VINILICA - RIVINOL</v>
          </cell>
        </row>
        <row r="8386">
          <cell r="A8386" t="str">
            <v>ES-75171</v>
          </cell>
          <cell r="E8386" t="str">
            <v>VINILICA - POLIPRISA</v>
          </cell>
        </row>
        <row r="8387">
          <cell r="A8387" t="str">
            <v>ES-75173</v>
          </cell>
          <cell r="E8387" t="str">
            <v>VINILICA - POLIPRISA</v>
          </cell>
        </row>
        <row r="8388">
          <cell r="A8388" t="str">
            <v>ES-75261</v>
          </cell>
          <cell r="E8388" t="str">
            <v>VINILICA - PINTAVIN</v>
          </cell>
        </row>
        <row r="8389">
          <cell r="A8389" t="str">
            <v>ES-75281</v>
          </cell>
          <cell r="E8389" t="str">
            <v>VINILICA - PINTAVIN</v>
          </cell>
        </row>
        <row r="8390">
          <cell r="A8390" t="str">
            <v>ES-75311</v>
          </cell>
          <cell r="E8390" t="str">
            <v>VINILICA - PINTAVIN</v>
          </cell>
        </row>
        <row r="8391">
          <cell r="A8391" t="str">
            <v>ES-75323</v>
          </cell>
          <cell r="E8391" t="str">
            <v>VINILICA - VINIBAR</v>
          </cell>
        </row>
        <row r="8392">
          <cell r="A8392" t="str">
            <v>ES-75333</v>
          </cell>
          <cell r="E8392" t="str">
            <v>VINILICA - VINIBAR</v>
          </cell>
        </row>
        <row r="8393">
          <cell r="A8393" t="str">
            <v>ES-75341</v>
          </cell>
          <cell r="E8393" t="str">
            <v>VINILICA - PINTAVIN</v>
          </cell>
        </row>
        <row r="8394">
          <cell r="A8394" t="str">
            <v>ES-75343</v>
          </cell>
          <cell r="E8394" t="str">
            <v>VINILICA - PINTAVIN</v>
          </cell>
        </row>
        <row r="8395">
          <cell r="A8395" t="str">
            <v>ES-75351</v>
          </cell>
          <cell r="E8395" t="str">
            <v>VINILICA - RIVINOL 5</v>
          </cell>
        </row>
        <row r="8396">
          <cell r="A8396" t="str">
            <v>ES-75361</v>
          </cell>
          <cell r="E8396" t="str">
            <v>VINILICA - RIVINOL</v>
          </cell>
        </row>
        <row r="8397">
          <cell r="A8397" t="str">
            <v>ES-75371</v>
          </cell>
          <cell r="E8397" t="str">
            <v>VINILICA - RIVINOL</v>
          </cell>
        </row>
        <row r="8398">
          <cell r="A8398" t="str">
            <v>ES-75400</v>
          </cell>
          <cell r="E8398" t="str">
            <v>TRAFICO BASE AGUA</v>
          </cell>
        </row>
        <row r="8399">
          <cell r="A8399" t="str">
            <v>ES-75401</v>
          </cell>
          <cell r="E8399" t="str">
            <v>TRAFICO BASE AGUA</v>
          </cell>
        </row>
        <row r="8400">
          <cell r="A8400" t="str">
            <v>ES-75403</v>
          </cell>
          <cell r="E8400" t="str">
            <v>TRAFICO BASE AGUA</v>
          </cell>
        </row>
        <row r="8401">
          <cell r="A8401" t="str">
            <v>ES-75431</v>
          </cell>
          <cell r="E8401" t="str">
            <v>VINILICA - POLIPRISA</v>
          </cell>
        </row>
        <row r="8402">
          <cell r="A8402" t="str">
            <v>ES-75440</v>
          </cell>
          <cell r="E8402" t="str">
            <v>VINILICA - PINTAVIN</v>
          </cell>
        </row>
        <row r="8403">
          <cell r="A8403" t="str">
            <v>ES-75460</v>
          </cell>
          <cell r="E8403" t="str">
            <v>VINILICA - RIVINOL  7 SATINADO</v>
          </cell>
        </row>
        <row r="8404">
          <cell r="A8404" t="str">
            <v>ES-75461</v>
          </cell>
          <cell r="E8404" t="str">
            <v>VINILICA - RIVINOL  7 SATINADO</v>
          </cell>
        </row>
        <row r="8405">
          <cell r="A8405" t="str">
            <v>ES-75471</v>
          </cell>
          <cell r="E8405" t="str">
            <v>VINILICA - RIVINOL</v>
          </cell>
        </row>
        <row r="8406">
          <cell r="A8406" t="str">
            <v>ES-75481</v>
          </cell>
          <cell r="E8406" t="str">
            <v>VINILICA - RIVINOL</v>
          </cell>
        </row>
        <row r="8407">
          <cell r="A8407" t="str">
            <v>ES-75491</v>
          </cell>
          <cell r="E8407" t="str">
            <v>VINILICA - POLIPRISA</v>
          </cell>
        </row>
        <row r="8408">
          <cell r="A8408" t="str">
            <v>ES-75501</v>
          </cell>
          <cell r="E8408" t="str">
            <v>VINILICA - PINTAVIN</v>
          </cell>
        </row>
        <row r="8409">
          <cell r="A8409" t="str">
            <v>ES-75511</v>
          </cell>
          <cell r="E8409" t="str">
            <v>VINILICA - PINTAVIN</v>
          </cell>
        </row>
        <row r="8410">
          <cell r="A8410" t="str">
            <v>ES-75531</v>
          </cell>
          <cell r="E8410" t="str">
            <v>VINILICA - RIVINOL</v>
          </cell>
        </row>
        <row r="8411">
          <cell r="A8411" t="str">
            <v>ES-75541</v>
          </cell>
          <cell r="E8411" t="str">
            <v>VINILICA - RIVINOL</v>
          </cell>
        </row>
        <row r="8412">
          <cell r="A8412" t="str">
            <v>ES-75571</v>
          </cell>
          <cell r="E8412" t="str">
            <v>VINILICA - VINIBAR</v>
          </cell>
        </row>
        <row r="8413">
          <cell r="A8413" t="str">
            <v>ES-75621</v>
          </cell>
          <cell r="E8413" t="str">
            <v>VINILICA - PRISASPORT</v>
          </cell>
        </row>
        <row r="8414">
          <cell r="A8414" t="str">
            <v>ES-75631</v>
          </cell>
          <cell r="E8414" t="str">
            <v>VINILICA - RIVINOL  7 SATINADO</v>
          </cell>
        </row>
        <row r="8415">
          <cell r="A8415" t="str">
            <v>ES-75641</v>
          </cell>
          <cell r="E8415" t="str">
            <v>VINILICA - PRISASPORT</v>
          </cell>
        </row>
        <row r="8416">
          <cell r="A8416" t="str">
            <v>ES-75651</v>
          </cell>
          <cell r="E8416" t="str">
            <v>VINILICA - RIVINOL</v>
          </cell>
        </row>
        <row r="8417">
          <cell r="A8417" t="str">
            <v>ES-75661</v>
          </cell>
          <cell r="E8417" t="str">
            <v>VINILICA - VINIBAR</v>
          </cell>
        </row>
        <row r="8418">
          <cell r="A8418" t="str">
            <v>ES-75690</v>
          </cell>
          <cell r="E8418" t="str">
            <v>VINILICA - RIVINOL</v>
          </cell>
        </row>
        <row r="8419">
          <cell r="A8419" t="str">
            <v>ES-75701</v>
          </cell>
          <cell r="E8419" t="str">
            <v>VINILICA - RIVINOL 5</v>
          </cell>
        </row>
        <row r="8420">
          <cell r="A8420" t="str">
            <v>ES-75711</v>
          </cell>
          <cell r="E8420" t="str">
            <v>VINILICA - RIVINOL 5</v>
          </cell>
        </row>
        <row r="8421">
          <cell r="A8421" t="str">
            <v>ES-75721</v>
          </cell>
          <cell r="E8421" t="str">
            <v>VINILICA - RIVINOL 5</v>
          </cell>
        </row>
        <row r="8422">
          <cell r="A8422" t="str">
            <v>ES-75891</v>
          </cell>
          <cell r="E8422" t="str">
            <v>VINILICA - PINTAVIN</v>
          </cell>
        </row>
        <row r="8423">
          <cell r="A8423" t="str">
            <v>ES-75901</v>
          </cell>
          <cell r="E8423" t="str">
            <v>VINILICA - PINTAVIN</v>
          </cell>
        </row>
        <row r="8424">
          <cell r="A8424" t="str">
            <v>ES-75911</v>
          </cell>
          <cell r="E8424" t="str">
            <v>VINILICA - PINTAVIN</v>
          </cell>
        </row>
        <row r="8425">
          <cell r="A8425" t="str">
            <v>ES-75931</v>
          </cell>
          <cell r="E8425" t="str">
            <v>VINILICA - POLIPRISA</v>
          </cell>
        </row>
        <row r="8426">
          <cell r="A8426" t="str">
            <v>ES-75941</v>
          </cell>
          <cell r="E8426" t="str">
            <v>VINILICA - POLIPRISA</v>
          </cell>
        </row>
        <row r="8427">
          <cell r="A8427" t="str">
            <v>ES-75951</v>
          </cell>
          <cell r="E8427" t="str">
            <v>VINILICA - POLIPRISA</v>
          </cell>
        </row>
        <row r="8428">
          <cell r="A8428" t="str">
            <v>ES-76021</v>
          </cell>
          <cell r="E8428" t="str">
            <v>VINILICA - RIVINOL</v>
          </cell>
        </row>
        <row r="8429">
          <cell r="A8429" t="str">
            <v>ES-76041</v>
          </cell>
          <cell r="E8429" t="str">
            <v>VINILICA - RIVINOL</v>
          </cell>
        </row>
        <row r="8430">
          <cell r="A8430" t="str">
            <v>ES-76081</v>
          </cell>
          <cell r="E8430" t="str">
            <v>VINILICA - POLIPRISA</v>
          </cell>
        </row>
        <row r="8431">
          <cell r="A8431" t="str">
            <v>ES-76091</v>
          </cell>
          <cell r="E8431" t="str">
            <v>VINILICA - POLIPRISA</v>
          </cell>
        </row>
        <row r="8432">
          <cell r="A8432" t="str">
            <v>ES-76101</v>
          </cell>
          <cell r="E8432" t="str">
            <v>VINILICA - POLIPRISA PREMIUM</v>
          </cell>
        </row>
        <row r="8433">
          <cell r="A8433" t="str">
            <v>ES-76101US</v>
          </cell>
          <cell r="E8433" t="str">
            <v>VINILICA - POLIPRISA PREMIUM</v>
          </cell>
        </row>
        <row r="8434">
          <cell r="A8434" t="str">
            <v>ES-76103</v>
          </cell>
          <cell r="E8434" t="str">
            <v>VINILICA - POLIPRISA PREMIUM</v>
          </cell>
        </row>
        <row r="8435">
          <cell r="A8435" t="str">
            <v>ES-76111</v>
          </cell>
          <cell r="E8435" t="str">
            <v>VINILICA - RIVINOL</v>
          </cell>
        </row>
        <row r="8436">
          <cell r="A8436" t="str">
            <v>ES-76121</v>
          </cell>
          <cell r="E8436" t="str">
            <v>IMPERM - PARAGUAS 3 AÑOS</v>
          </cell>
        </row>
        <row r="8437">
          <cell r="A8437" t="str">
            <v>ES-76141</v>
          </cell>
          <cell r="E8437" t="str">
            <v>VINILICA - POLIPRISA PREMIUM</v>
          </cell>
        </row>
        <row r="8438">
          <cell r="A8438" t="str">
            <v>ES-76143</v>
          </cell>
          <cell r="E8438" t="str">
            <v>VINILICA - POLIPRISA PREMIUM</v>
          </cell>
        </row>
        <row r="8439">
          <cell r="A8439" t="str">
            <v>ES-76151</v>
          </cell>
          <cell r="E8439" t="str">
            <v>VINILICA - POLIPRISA PREMIUM</v>
          </cell>
        </row>
        <row r="8440">
          <cell r="A8440" t="str">
            <v>ES-76153</v>
          </cell>
          <cell r="E8440" t="str">
            <v>VINILICA - POLIPRISA PREMIUM</v>
          </cell>
        </row>
        <row r="8441">
          <cell r="A8441" t="str">
            <v>ES-76171</v>
          </cell>
          <cell r="E8441" t="str">
            <v>VINILICA - POLIPRISA PREMIUM</v>
          </cell>
        </row>
        <row r="8442">
          <cell r="A8442" t="str">
            <v>ES-76173</v>
          </cell>
          <cell r="E8442" t="str">
            <v>VINILICA - POLIPRISA PREMIUM</v>
          </cell>
        </row>
        <row r="8443">
          <cell r="A8443" t="str">
            <v>ES-76181</v>
          </cell>
          <cell r="E8443" t="str">
            <v>VINILICA - POLIPRISA PREMIUM</v>
          </cell>
        </row>
        <row r="8444">
          <cell r="A8444" t="str">
            <v>ES-76183</v>
          </cell>
          <cell r="E8444" t="str">
            <v>VINILICA - POLIPRISA PREMIUM</v>
          </cell>
        </row>
        <row r="8445">
          <cell r="A8445" t="str">
            <v>ES-76191</v>
          </cell>
          <cell r="E8445" t="str">
            <v>VINILICA - OTRAS</v>
          </cell>
        </row>
        <row r="8446">
          <cell r="A8446" t="str">
            <v>ES-76201</v>
          </cell>
          <cell r="E8446" t="str">
            <v>VINILICA - POLIPRISA PREMIUM</v>
          </cell>
        </row>
        <row r="8447">
          <cell r="A8447" t="str">
            <v>ES-76210</v>
          </cell>
          <cell r="E8447" t="str">
            <v>TRAFICO BASE AGUA</v>
          </cell>
        </row>
        <row r="8448">
          <cell r="A8448" t="str">
            <v>ES-76211</v>
          </cell>
          <cell r="E8448" t="str">
            <v>TRAFICO BASE AGUA</v>
          </cell>
        </row>
        <row r="8449">
          <cell r="A8449" t="str">
            <v>ES-76300</v>
          </cell>
          <cell r="E8449" t="str">
            <v>ESMALTE - COLOREX BASE AGUA</v>
          </cell>
        </row>
        <row r="8450">
          <cell r="A8450" t="str">
            <v>ES-76301</v>
          </cell>
          <cell r="E8450" t="str">
            <v>ESMALTE - COLOREX BASE AGUA</v>
          </cell>
        </row>
        <row r="8451">
          <cell r="A8451" t="str">
            <v>ES-76301US</v>
          </cell>
          <cell r="E8451" t="str">
            <v>ESMALTE - COLOREX BASE AGUA</v>
          </cell>
        </row>
        <row r="8452">
          <cell r="A8452" t="str">
            <v>ES-76303</v>
          </cell>
          <cell r="E8452" t="str">
            <v>ESMALTE - COLOREX BASE AGUA</v>
          </cell>
        </row>
        <row r="8453">
          <cell r="A8453" t="str">
            <v>ES-76304</v>
          </cell>
          <cell r="E8453" t="str">
            <v>ESMALTE - COLOREX BASE AGUA</v>
          </cell>
        </row>
        <row r="8454">
          <cell r="A8454" t="str">
            <v>ES-76341</v>
          </cell>
          <cell r="E8454" t="str">
            <v>ESMALTE - COLOREX BASE AGUA</v>
          </cell>
        </row>
        <row r="8455">
          <cell r="A8455" t="str">
            <v>ES-76343</v>
          </cell>
          <cell r="E8455" t="str">
            <v>ESMALTE - COLOREX BASE AGUA</v>
          </cell>
        </row>
        <row r="8456">
          <cell r="A8456" t="str">
            <v>ES-76344</v>
          </cell>
          <cell r="E8456" t="str">
            <v>ESMALTE - COLOREX BASE AGUA</v>
          </cell>
        </row>
        <row r="8457">
          <cell r="A8457" t="str">
            <v>ES-76351</v>
          </cell>
          <cell r="E8457" t="str">
            <v>ESMALTE - COLOREX BASE AGUA</v>
          </cell>
        </row>
        <row r="8458">
          <cell r="A8458" t="str">
            <v>ES-76353</v>
          </cell>
          <cell r="E8458" t="str">
            <v>ESMALTE - COLOREX BASE AGUA</v>
          </cell>
        </row>
        <row r="8459">
          <cell r="A8459" t="str">
            <v>ES-76354</v>
          </cell>
          <cell r="E8459" t="str">
            <v>ESMALTE - COLOREX BASE AGUA</v>
          </cell>
        </row>
        <row r="8460">
          <cell r="A8460" t="str">
            <v>ES-76371</v>
          </cell>
          <cell r="E8460" t="str">
            <v>ESMALTE - COLOREX BASE AGUA</v>
          </cell>
        </row>
        <row r="8461">
          <cell r="A8461" t="str">
            <v>ES-76373</v>
          </cell>
          <cell r="E8461" t="str">
            <v>ESMALTE - COLOREX BASE AGUA</v>
          </cell>
        </row>
        <row r="8462">
          <cell r="A8462" t="str">
            <v>ES-76374</v>
          </cell>
          <cell r="E8462" t="str">
            <v>ESMALTE - COLOREX BASE AGUA</v>
          </cell>
        </row>
        <row r="8463">
          <cell r="A8463" t="str">
            <v>ES-76381</v>
          </cell>
          <cell r="E8463" t="str">
            <v>ESMALTE - COLOREX BASE AGUA</v>
          </cell>
        </row>
        <row r="8464">
          <cell r="A8464" t="str">
            <v>ES-76383</v>
          </cell>
          <cell r="E8464" t="str">
            <v>ESMALTE - COLOREX BASE AGUA</v>
          </cell>
        </row>
        <row r="8465">
          <cell r="A8465" t="str">
            <v>ES-76384</v>
          </cell>
          <cell r="E8465" t="str">
            <v>ESMALTE - COLOREX BASE AGUA</v>
          </cell>
        </row>
        <row r="8466">
          <cell r="A8466" t="str">
            <v>ES-76391</v>
          </cell>
          <cell r="E8466" t="str">
            <v>VINILICA - RIVINOL</v>
          </cell>
        </row>
        <row r="8467">
          <cell r="A8467" t="str">
            <v>ES-76401</v>
          </cell>
          <cell r="E8467" t="str">
            <v>VINILICA - PINTAVIN</v>
          </cell>
        </row>
        <row r="8468">
          <cell r="A8468" t="str">
            <v>ES-76411</v>
          </cell>
          <cell r="E8468" t="str">
            <v>VINILICA - OTRAS</v>
          </cell>
        </row>
        <row r="8469">
          <cell r="A8469" t="str">
            <v>ES-76421</v>
          </cell>
          <cell r="E8469" t="str">
            <v>VINILICA - PINTAVIN</v>
          </cell>
        </row>
        <row r="8470">
          <cell r="A8470" t="str">
            <v>ES-76431</v>
          </cell>
          <cell r="E8470" t="str">
            <v>VINILICA - PINTAVIN</v>
          </cell>
        </row>
        <row r="8471">
          <cell r="A8471" t="str">
            <v>ES-76441</v>
          </cell>
          <cell r="E8471" t="str">
            <v>VINILICA - PINTAVIN</v>
          </cell>
        </row>
        <row r="8472">
          <cell r="A8472" t="str">
            <v>ES-76451</v>
          </cell>
          <cell r="E8472" t="str">
            <v>VINILICA - PINTAVIN</v>
          </cell>
        </row>
        <row r="8473">
          <cell r="A8473" t="str">
            <v>ES-76461</v>
          </cell>
          <cell r="E8473" t="str">
            <v>VINILICA - POLIPRISA</v>
          </cell>
        </row>
        <row r="8474">
          <cell r="A8474" t="str">
            <v>ES-76471</v>
          </cell>
          <cell r="E8474" t="str">
            <v>VINILICA - POLIPRISA</v>
          </cell>
        </row>
        <row r="8475">
          <cell r="A8475" t="str">
            <v>ES-76491</v>
          </cell>
          <cell r="E8475" t="str">
            <v>VINILICA - RIVINOL</v>
          </cell>
        </row>
        <row r="8476">
          <cell r="A8476" t="str">
            <v>ES-76501</v>
          </cell>
          <cell r="E8476" t="str">
            <v>IMPERM - PARAGUAS 5 AÑOS</v>
          </cell>
        </row>
        <row r="8477">
          <cell r="A8477" t="str">
            <v>ES-76511</v>
          </cell>
          <cell r="E8477" t="str">
            <v>VINILICA - RIVINOL</v>
          </cell>
        </row>
        <row r="8478">
          <cell r="A8478" t="str">
            <v>ES-76521</v>
          </cell>
          <cell r="E8478" t="str">
            <v>VINILICA - RIVINOL</v>
          </cell>
        </row>
        <row r="8479">
          <cell r="A8479" t="str">
            <v>ES-76541</v>
          </cell>
          <cell r="E8479" t="str">
            <v>VINILICA - OTRAS</v>
          </cell>
        </row>
        <row r="8480">
          <cell r="A8480" t="str">
            <v>ES-76551</v>
          </cell>
          <cell r="E8480" t="str">
            <v>VINILICA - PINTAVIN</v>
          </cell>
        </row>
        <row r="8481">
          <cell r="A8481" t="str">
            <v>ES-76621</v>
          </cell>
          <cell r="E8481" t="str">
            <v>VINILICA - OTRAS</v>
          </cell>
        </row>
        <row r="8482">
          <cell r="A8482" t="str">
            <v>ES-76631</v>
          </cell>
          <cell r="E8482" t="str">
            <v>VINILICA - OTRAS</v>
          </cell>
        </row>
        <row r="8483">
          <cell r="A8483" t="str">
            <v>ES-76641</v>
          </cell>
          <cell r="E8483" t="str">
            <v>VINILICA - PINTAVIN</v>
          </cell>
        </row>
        <row r="8484">
          <cell r="A8484" t="str">
            <v>ES-76680</v>
          </cell>
          <cell r="E8484" t="str">
            <v>TRAFICO BASE AGUA</v>
          </cell>
        </row>
        <row r="8485">
          <cell r="A8485" t="str">
            <v>ES-76681</v>
          </cell>
          <cell r="E8485" t="str">
            <v>TRAFICO BASE AGUA</v>
          </cell>
        </row>
        <row r="8486">
          <cell r="A8486" t="str">
            <v>ES-76683</v>
          </cell>
          <cell r="E8486" t="str">
            <v>TRAFICO BASE AGUA</v>
          </cell>
        </row>
        <row r="8487">
          <cell r="A8487" t="str">
            <v>ES-76731</v>
          </cell>
          <cell r="E8487" t="str">
            <v>VINILICA - RIVINOL 5</v>
          </cell>
        </row>
        <row r="8488">
          <cell r="A8488" t="str">
            <v>ES-76741</v>
          </cell>
          <cell r="E8488" t="str">
            <v>VINILICA - OTRAS</v>
          </cell>
        </row>
        <row r="8489">
          <cell r="A8489" t="str">
            <v>ES-76751</v>
          </cell>
          <cell r="E8489" t="str">
            <v>FONDOS ARQUITECTONICOS</v>
          </cell>
        </row>
        <row r="8490">
          <cell r="A8490" t="str">
            <v>ES-76761</v>
          </cell>
          <cell r="E8490" t="str">
            <v>VINILICA - RIVINOL</v>
          </cell>
        </row>
        <row r="8491">
          <cell r="A8491" t="str">
            <v>ES-76781</v>
          </cell>
          <cell r="E8491" t="str">
            <v>VINILICA - RIVINOL</v>
          </cell>
        </row>
        <row r="8492">
          <cell r="A8492" t="str">
            <v>ES-76791</v>
          </cell>
          <cell r="E8492" t="str">
            <v>VINILICA - PINTAVIN</v>
          </cell>
        </row>
        <row r="8493">
          <cell r="A8493" t="str">
            <v>ES-76801</v>
          </cell>
          <cell r="E8493" t="str">
            <v>VINILICA - PINTAVIN</v>
          </cell>
        </row>
        <row r="8494">
          <cell r="A8494" t="str">
            <v>ES-76811</v>
          </cell>
          <cell r="E8494" t="str">
            <v>VINILICA - OTRAS</v>
          </cell>
        </row>
        <row r="8495">
          <cell r="A8495" t="str">
            <v>ES-76821</v>
          </cell>
          <cell r="E8495" t="str">
            <v>VINILICA - OTRAS</v>
          </cell>
        </row>
        <row r="8496">
          <cell r="A8496" t="str">
            <v>ES-76831</v>
          </cell>
          <cell r="E8496" t="str">
            <v>VINILICA - OTRAS</v>
          </cell>
        </row>
        <row r="8497">
          <cell r="A8497" t="str">
            <v>ES-76891</v>
          </cell>
          <cell r="E8497" t="str">
            <v>VINILICA - OTRAS</v>
          </cell>
        </row>
        <row r="8498">
          <cell r="A8498" t="str">
            <v>ES-76901</v>
          </cell>
          <cell r="E8498" t="str">
            <v>VINILICA - OTRAS</v>
          </cell>
        </row>
        <row r="8499">
          <cell r="A8499" t="str">
            <v>ES-76911</v>
          </cell>
          <cell r="E8499" t="str">
            <v>VINILICA - OTRAS</v>
          </cell>
        </row>
        <row r="8500">
          <cell r="A8500" t="str">
            <v>ES-76921</v>
          </cell>
          <cell r="E8500" t="str">
            <v>VINILICA - OTRAS</v>
          </cell>
        </row>
        <row r="8501">
          <cell r="A8501" t="str">
            <v>ES-76931</v>
          </cell>
          <cell r="E8501" t="str">
            <v>VINILICA - OTRAS</v>
          </cell>
        </row>
        <row r="8502">
          <cell r="A8502" t="str">
            <v>ES-76941</v>
          </cell>
          <cell r="E8502" t="str">
            <v>VINILICA - OTRAS</v>
          </cell>
        </row>
        <row r="8503">
          <cell r="A8503" t="str">
            <v>ES-76951</v>
          </cell>
          <cell r="E8503" t="str">
            <v>VINILICA - OTRAS</v>
          </cell>
        </row>
        <row r="8504">
          <cell r="A8504" t="str">
            <v>ES-76961</v>
          </cell>
          <cell r="E8504" t="str">
            <v>VINILICA - OTRAS</v>
          </cell>
        </row>
        <row r="8505">
          <cell r="A8505" t="str">
            <v>ES-76973</v>
          </cell>
          <cell r="E8505" t="str">
            <v>VINILICA - OTRAS</v>
          </cell>
        </row>
        <row r="8506">
          <cell r="A8506" t="str">
            <v>ES-77001</v>
          </cell>
          <cell r="E8506" t="str">
            <v>VINILICA - OTRAS</v>
          </cell>
        </row>
        <row r="8507">
          <cell r="A8507" t="str">
            <v>ES-77011</v>
          </cell>
          <cell r="E8507" t="str">
            <v>VINILICA - OTRAS</v>
          </cell>
        </row>
        <row r="8508">
          <cell r="A8508" t="str">
            <v>ES-77021</v>
          </cell>
          <cell r="E8508" t="str">
            <v>VINILICA - OTRAS</v>
          </cell>
        </row>
        <row r="8509">
          <cell r="A8509" t="str">
            <v>ES-77031</v>
          </cell>
          <cell r="E8509" t="str">
            <v>VINILICA - OTRAS</v>
          </cell>
        </row>
        <row r="8510">
          <cell r="A8510" t="str">
            <v>ES-77041</v>
          </cell>
          <cell r="E8510" t="str">
            <v>VINILICA - OTRAS</v>
          </cell>
        </row>
        <row r="8511">
          <cell r="A8511" t="str">
            <v>ES-77051</v>
          </cell>
          <cell r="E8511" t="str">
            <v>VINILICA - OTRAS</v>
          </cell>
        </row>
        <row r="8512">
          <cell r="A8512" t="str">
            <v>ES-77071</v>
          </cell>
          <cell r="E8512" t="str">
            <v>VINILICA - OTRAS</v>
          </cell>
        </row>
        <row r="8513">
          <cell r="A8513" t="str">
            <v>ES-77081</v>
          </cell>
          <cell r="E8513" t="str">
            <v>VINILICA - RIVINOL</v>
          </cell>
        </row>
        <row r="8514">
          <cell r="A8514" t="str">
            <v>ES-77091</v>
          </cell>
          <cell r="E8514" t="str">
            <v>VINILICA - PINTAVIN</v>
          </cell>
        </row>
        <row r="8515">
          <cell r="A8515" t="str">
            <v>ES-77101</v>
          </cell>
          <cell r="E8515" t="str">
            <v>VINILICA - OTRAS</v>
          </cell>
        </row>
        <row r="8516">
          <cell r="A8516" t="str">
            <v>ES-77111</v>
          </cell>
          <cell r="E8516" t="str">
            <v>VINILICA - PINTAVIN</v>
          </cell>
        </row>
        <row r="8517">
          <cell r="A8517" t="str">
            <v>ES-77121</v>
          </cell>
          <cell r="E8517" t="str">
            <v>VINILICA - OTRAS</v>
          </cell>
        </row>
        <row r="8518">
          <cell r="A8518" t="str">
            <v>ES-77131</v>
          </cell>
          <cell r="E8518" t="str">
            <v>VINILICA - OTRAS</v>
          </cell>
        </row>
        <row r="8519">
          <cell r="A8519" t="str">
            <v>ES-77141</v>
          </cell>
          <cell r="E8519" t="str">
            <v>VINILICA - OTRAS</v>
          </cell>
        </row>
        <row r="8520">
          <cell r="A8520" t="str">
            <v>ES-77161</v>
          </cell>
          <cell r="E8520" t="str">
            <v>VINILICA - OTRAS</v>
          </cell>
        </row>
        <row r="8521">
          <cell r="A8521" t="str">
            <v>ES-77191</v>
          </cell>
          <cell r="E8521" t="str">
            <v>VINILICA - OTRAS</v>
          </cell>
        </row>
        <row r="8522">
          <cell r="A8522" t="str">
            <v>ES-77201</v>
          </cell>
          <cell r="E8522" t="str">
            <v>VINILICA - OTRAS</v>
          </cell>
        </row>
        <row r="8523">
          <cell r="A8523" t="str">
            <v>ES-77211</v>
          </cell>
          <cell r="E8523" t="str">
            <v>SELLADOR ACRILICO PARAGUAS</v>
          </cell>
        </row>
        <row r="8524">
          <cell r="A8524" t="str">
            <v>ES-77221</v>
          </cell>
          <cell r="E8524" t="str">
            <v>VINILICA - OTRAS</v>
          </cell>
        </row>
        <row r="8525">
          <cell r="A8525" t="str">
            <v>ES-77281</v>
          </cell>
          <cell r="E8525" t="str">
            <v>VINILICA - RIVINOL  7 SATINADO</v>
          </cell>
        </row>
        <row r="8526">
          <cell r="A8526" t="str">
            <v>ES-77291</v>
          </cell>
          <cell r="E8526" t="str">
            <v>SELLADOR ACRILICO PARAGUAS</v>
          </cell>
        </row>
        <row r="8527">
          <cell r="A8527" t="str">
            <v>ES-77311</v>
          </cell>
          <cell r="E8527" t="str">
            <v>VINILICA - POLIPRISA</v>
          </cell>
        </row>
        <row r="8528">
          <cell r="A8528" t="str">
            <v>ES-77331</v>
          </cell>
          <cell r="E8528" t="str">
            <v>VINILICA - RIVINOL</v>
          </cell>
        </row>
        <row r="8529">
          <cell r="A8529" t="str">
            <v>ES-77341</v>
          </cell>
          <cell r="E8529" t="str">
            <v>VINILICA - OTRAS</v>
          </cell>
        </row>
        <row r="8530">
          <cell r="A8530" t="str">
            <v>ES-77351</v>
          </cell>
          <cell r="E8530" t="str">
            <v>VINILICA - RIVINOL</v>
          </cell>
        </row>
        <row r="8531">
          <cell r="A8531" t="str">
            <v>ES-77361</v>
          </cell>
          <cell r="E8531" t="str">
            <v>VINILICA - OTRAS</v>
          </cell>
        </row>
        <row r="8532">
          <cell r="A8532" t="str">
            <v>ES-77371</v>
          </cell>
          <cell r="E8532" t="str">
            <v>VINILICA - OTRAS</v>
          </cell>
        </row>
        <row r="8533">
          <cell r="A8533" t="str">
            <v>ES-77381</v>
          </cell>
          <cell r="E8533" t="str">
            <v>VINILICA - OTRAS</v>
          </cell>
        </row>
        <row r="8534">
          <cell r="A8534" t="str">
            <v>ES-77391</v>
          </cell>
          <cell r="E8534" t="str">
            <v>VINILICA - OTRAS</v>
          </cell>
        </row>
        <row r="8535">
          <cell r="A8535" t="str">
            <v>ES-77401</v>
          </cell>
          <cell r="E8535" t="str">
            <v>VINILICA - PRISASPORT</v>
          </cell>
        </row>
        <row r="8536">
          <cell r="A8536" t="str">
            <v>ES-77411</v>
          </cell>
          <cell r="E8536" t="str">
            <v>VINILICA - PRISASPORT</v>
          </cell>
        </row>
        <row r="8537">
          <cell r="A8537" t="str">
            <v>ES-77421</v>
          </cell>
          <cell r="E8537" t="str">
            <v>ESMALTE - COLOREX BASE AGUA</v>
          </cell>
        </row>
        <row r="8538">
          <cell r="A8538" t="str">
            <v>ES-77431</v>
          </cell>
          <cell r="E8538" t="str">
            <v>FONDOS ARQUITECTONICOS</v>
          </cell>
        </row>
        <row r="8539">
          <cell r="A8539" t="str">
            <v>ES-77440</v>
          </cell>
          <cell r="E8539" t="str">
            <v>TRAFICO BASE AGUA</v>
          </cell>
        </row>
        <row r="8540">
          <cell r="A8540" t="str">
            <v>ES-77441</v>
          </cell>
          <cell r="E8540" t="str">
            <v>TRAFICO BASE AGUA</v>
          </cell>
        </row>
        <row r="8541">
          <cell r="A8541" t="str">
            <v>ES-77450</v>
          </cell>
          <cell r="E8541" t="str">
            <v>TRAFICO BASE AGUA</v>
          </cell>
        </row>
        <row r="8542">
          <cell r="A8542" t="str">
            <v>ES-77481</v>
          </cell>
          <cell r="E8542" t="str">
            <v>VINILICA - RIVINOL</v>
          </cell>
        </row>
        <row r="8543">
          <cell r="A8543" t="str">
            <v>ES-77511</v>
          </cell>
          <cell r="E8543" t="str">
            <v>VINILICA - PINTAVIN</v>
          </cell>
        </row>
        <row r="8544">
          <cell r="A8544" t="str">
            <v>ES-77521</v>
          </cell>
          <cell r="E8544" t="str">
            <v>VINILICA - RIVINOL</v>
          </cell>
        </row>
        <row r="8545">
          <cell r="A8545" t="str">
            <v>ES-77541</v>
          </cell>
          <cell r="E8545" t="str">
            <v>VINILICA - RIVINOL</v>
          </cell>
        </row>
        <row r="8546">
          <cell r="A8546" t="str">
            <v>ES-77551</v>
          </cell>
          <cell r="E8546" t="str">
            <v>VINILICA - RIVINOL</v>
          </cell>
        </row>
        <row r="8547">
          <cell r="A8547" t="str">
            <v>ES-77561</v>
          </cell>
          <cell r="E8547" t="str">
            <v>VINILICA - PINTAVIN</v>
          </cell>
        </row>
        <row r="8548">
          <cell r="A8548" t="str">
            <v>ES-77571</v>
          </cell>
          <cell r="E8548" t="str">
            <v>VINILICA - POLIPRISA</v>
          </cell>
        </row>
        <row r="8549">
          <cell r="A8549" t="str">
            <v>ES-77591</v>
          </cell>
          <cell r="E8549" t="str">
            <v>VINILICA - OTRAS</v>
          </cell>
        </row>
        <row r="8550">
          <cell r="A8550" t="str">
            <v>ES-77621</v>
          </cell>
          <cell r="E8550" t="str">
            <v>VINILICA - OTRAS</v>
          </cell>
        </row>
        <row r="8551">
          <cell r="A8551" t="str">
            <v>ES-77631</v>
          </cell>
          <cell r="E8551" t="str">
            <v>VINILICA - POLIPRISA</v>
          </cell>
        </row>
        <row r="8552">
          <cell r="A8552" t="str">
            <v>ES-77651</v>
          </cell>
          <cell r="E8552" t="str">
            <v>VINILICA - RIVINOL</v>
          </cell>
        </row>
        <row r="8553">
          <cell r="A8553" t="str">
            <v>ES-77661</v>
          </cell>
          <cell r="E8553" t="str">
            <v>VINILICA - PRISASPORT</v>
          </cell>
        </row>
        <row r="8554">
          <cell r="A8554" t="str">
            <v>ES-77681</v>
          </cell>
          <cell r="E8554" t="str">
            <v>VINILICA - OTRAS</v>
          </cell>
        </row>
        <row r="8555">
          <cell r="A8555" t="str">
            <v>ES-77691</v>
          </cell>
          <cell r="E8555" t="str">
            <v>VINILICA - OTRAS</v>
          </cell>
        </row>
        <row r="8556">
          <cell r="A8556" t="str">
            <v>ES-77741</v>
          </cell>
          <cell r="E8556" t="str">
            <v>VINILICA - OTRAS</v>
          </cell>
        </row>
        <row r="8557">
          <cell r="A8557" t="str">
            <v>ES-77831</v>
          </cell>
          <cell r="E8557" t="str">
            <v>VINILICA - OTRAS</v>
          </cell>
        </row>
        <row r="8558">
          <cell r="A8558" t="str">
            <v>ES-77851</v>
          </cell>
          <cell r="E8558" t="str">
            <v>VINILICA - OTRAS</v>
          </cell>
        </row>
        <row r="8559">
          <cell r="A8559" t="str">
            <v>ES-77861</v>
          </cell>
          <cell r="E8559" t="str">
            <v>VINILICA - PINTAVIN</v>
          </cell>
        </row>
        <row r="8560">
          <cell r="A8560" t="str">
            <v>ES-77871</v>
          </cell>
          <cell r="E8560" t="str">
            <v>VINILICA - PINTAVIN</v>
          </cell>
        </row>
        <row r="8561">
          <cell r="A8561" t="str">
            <v>ES-77891</v>
          </cell>
          <cell r="E8561" t="str">
            <v>VINILICA - POLIPRISA</v>
          </cell>
        </row>
        <row r="8562">
          <cell r="A8562" t="str">
            <v>ES-77901</v>
          </cell>
          <cell r="E8562" t="str">
            <v>VINILICA - PINTAVIN</v>
          </cell>
        </row>
        <row r="8563">
          <cell r="A8563" t="str">
            <v>ES-77911</v>
          </cell>
          <cell r="E8563" t="str">
            <v>VINILICA - RIVINOL  7 SATINADO</v>
          </cell>
        </row>
        <row r="8564">
          <cell r="A8564" t="str">
            <v>ES-77921</v>
          </cell>
          <cell r="E8564" t="str">
            <v>VINILICA - PRISASPORT</v>
          </cell>
        </row>
        <row r="8565">
          <cell r="A8565" t="str">
            <v>ES-77931</v>
          </cell>
          <cell r="E8565" t="str">
            <v>VINILICA - PRISASPORT</v>
          </cell>
        </row>
        <row r="8566">
          <cell r="A8566" t="str">
            <v>ES-77961</v>
          </cell>
          <cell r="E8566" t="str">
            <v>VINILICA - RIVINOL</v>
          </cell>
        </row>
        <row r="8567">
          <cell r="A8567" t="str">
            <v>ES-77971</v>
          </cell>
          <cell r="E8567" t="str">
            <v>VINILICA - OTRAS</v>
          </cell>
        </row>
        <row r="8568">
          <cell r="A8568" t="str">
            <v>ES-77981</v>
          </cell>
          <cell r="E8568" t="str">
            <v>VINILICA - OTRAS</v>
          </cell>
        </row>
        <row r="8569">
          <cell r="A8569" t="str">
            <v>ES-77991</v>
          </cell>
          <cell r="E8569" t="str">
            <v>VINILICA - RIVINOL</v>
          </cell>
        </row>
        <row r="8570">
          <cell r="A8570" t="str">
            <v>ES-78021</v>
          </cell>
          <cell r="E8570" t="str">
            <v>VINILICA - PINTAVIN</v>
          </cell>
        </row>
        <row r="8571">
          <cell r="A8571" t="str">
            <v>ES-78031</v>
          </cell>
          <cell r="E8571" t="str">
            <v>VINILICA - PINTAVIN</v>
          </cell>
        </row>
        <row r="8572">
          <cell r="A8572" t="str">
            <v>ES-78041</v>
          </cell>
          <cell r="E8572" t="str">
            <v>VINILICA - RIVINOL</v>
          </cell>
        </row>
        <row r="8573">
          <cell r="A8573" t="str">
            <v>ES-78051</v>
          </cell>
          <cell r="E8573" t="str">
            <v>VINILICA - RIVINOL</v>
          </cell>
        </row>
        <row r="8574">
          <cell r="A8574" t="str">
            <v>ES-78061</v>
          </cell>
          <cell r="E8574" t="str">
            <v>VINILICA - POLIPRISA PREMIUM</v>
          </cell>
        </row>
        <row r="8575">
          <cell r="A8575" t="str">
            <v>ES-78081</v>
          </cell>
          <cell r="E8575" t="str">
            <v>VINILICA - PINTAVIN</v>
          </cell>
        </row>
        <row r="8576">
          <cell r="A8576" t="str">
            <v>ES-78101</v>
          </cell>
          <cell r="E8576" t="str">
            <v>VINILICA - RIVINOL</v>
          </cell>
        </row>
        <row r="8577">
          <cell r="A8577" t="str">
            <v>ES-78111</v>
          </cell>
          <cell r="E8577" t="str">
            <v>VINILICA - PINTAVIN</v>
          </cell>
        </row>
        <row r="8578">
          <cell r="A8578" t="str">
            <v>ES-78130</v>
          </cell>
          <cell r="E8578" t="str">
            <v>VINILICA - RIVINOL</v>
          </cell>
        </row>
        <row r="8579">
          <cell r="A8579" t="str">
            <v>ES-78140</v>
          </cell>
          <cell r="E8579" t="str">
            <v>VINILICA - RIVINOL</v>
          </cell>
        </row>
        <row r="8580">
          <cell r="A8580" t="str">
            <v>ES-78151</v>
          </cell>
          <cell r="E8580" t="str">
            <v>VINILICA - RIVINOL</v>
          </cell>
        </row>
        <row r="8581">
          <cell r="A8581" t="str">
            <v>ES-90011</v>
          </cell>
          <cell r="E8581" t="str">
            <v>ESMALTE - KITOX</v>
          </cell>
        </row>
        <row r="8582">
          <cell r="A8582" t="str">
            <v>ES-90093</v>
          </cell>
          <cell r="E8582" t="str">
            <v>ESMALTE - MILCO</v>
          </cell>
        </row>
        <row r="8583">
          <cell r="A8583" t="str">
            <v>ES-90103</v>
          </cell>
          <cell r="E8583" t="str">
            <v>ESMALTE - MILCO</v>
          </cell>
        </row>
        <row r="8584">
          <cell r="A8584" t="str">
            <v>ES-90123</v>
          </cell>
          <cell r="E8584" t="str">
            <v>ESMALTE - MILCO</v>
          </cell>
        </row>
        <row r="8585">
          <cell r="A8585" t="str">
            <v>ES-90243</v>
          </cell>
          <cell r="E8585" t="str">
            <v>ESMALTE - KITOX</v>
          </cell>
        </row>
        <row r="8586">
          <cell r="A8586" t="str">
            <v>ES-90301</v>
          </cell>
          <cell r="E8586" t="str">
            <v>ESMALTE - MILCO</v>
          </cell>
        </row>
        <row r="8587">
          <cell r="A8587" t="str">
            <v>ES-90341</v>
          </cell>
          <cell r="E8587" t="str">
            <v>ESMALTE - KITOX</v>
          </cell>
        </row>
        <row r="8588">
          <cell r="A8588" t="str">
            <v>ES-90343</v>
          </cell>
          <cell r="E8588" t="str">
            <v>ESMALTE - KITOX</v>
          </cell>
        </row>
        <row r="8589">
          <cell r="A8589" t="str">
            <v>ES-90501</v>
          </cell>
          <cell r="E8589" t="str">
            <v>PINTURA PARA ALBERCAS</v>
          </cell>
        </row>
        <row r="8590">
          <cell r="A8590" t="str">
            <v>ES-90511</v>
          </cell>
          <cell r="E8590" t="str">
            <v>ESMALTE - KITOX</v>
          </cell>
        </row>
        <row r="8591">
          <cell r="A8591" t="str">
            <v>ES-90513</v>
          </cell>
          <cell r="E8591" t="str">
            <v>ESMALTE - KITOX</v>
          </cell>
        </row>
        <row r="8592">
          <cell r="A8592" t="str">
            <v>ES-90551</v>
          </cell>
          <cell r="E8592" t="str">
            <v>ESMALTE - KITOX</v>
          </cell>
        </row>
        <row r="8593">
          <cell r="A8593" t="str">
            <v>ES-90633</v>
          </cell>
          <cell r="E8593" t="str">
            <v>ESMALTE - KITOX</v>
          </cell>
        </row>
        <row r="8594">
          <cell r="A8594" t="str">
            <v>ES-90634</v>
          </cell>
          <cell r="E8594" t="str">
            <v>ESMALTE - KITOX</v>
          </cell>
        </row>
        <row r="8595">
          <cell r="A8595" t="str">
            <v>ES-90703</v>
          </cell>
          <cell r="E8595" t="str">
            <v>ESMALTE - KITOX</v>
          </cell>
        </row>
        <row r="8596">
          <cell r="A8596" t="str">
            <v>ES-90711</v>
          </cell>
          <cell r="E8596" t="str">
            <v>ESMALTE - MILCO</v>
          </cell>
        </row>
        <row r="8597">
          <cell r="A8597" t="str">
            <v>ES-90723</v>
          </cell>
          <cell r="E8597" t="str">
            <v>ESMALTE - MILCO</v>
          </cell>
        </row>
        <row r="8598">
          <cell r="A8598" t="str">
            <v>ES-90733</v>
          </cell>
          <cell r="E8598" t="str">
            <v>ESMALTE - MILCO</v>
          </cell>
        </row>
        <row r="8599">
          <cell r="A8599" t="str">
            <v>ES-90743</v>
          </cell>
          <cell r="E8599" t="str">
            <v>ESMALTE - KITOX</v>
          </cell>
        </row>
        <row r="8600">
          <cell r="A8600" t="str">
            <v>ES-90763</v>
          </cell>
          <cell r="E8600" t="str">
            <v>ESMALTE - MILCO</v>
          </cell>
        </row>
        <row r="8601">
          <cell r="A8601" t="str">
            <v>ES-90773</v>
          </cell>
          <cell r="E8601" t="str">
            <v>ESMALTE - KITOX</v>
          </cell>
        </row>
        <row r="8602">
          <cell r="A8602" t="str">
            <v>ES-90833</v>
          </cell>
          <cell r="E8602" t="str">
            <v>ESMALTE - KITOX</v>
          </cell>
        </row>
        <row r="8603">
          <cell r="A8603" t="str">
            <v>ES-91153</v>
          </cell>
          <cell r="E8603" t="str">
            <v>ESMALTE - KITOX</v>
          </cell>
        </row>
        <row r="8604">
          <cell r="A8604" t="str">
            <v>ES-91161</v>
          </cell>
          <cell r="E8604" t="str">
            <v>ESMALTE - MILCO</v>
          </cell>
        </row>
        <row r="8605">
          <cell r="A8605" t="str">
            <v>ES-91163</v>
          </cell>
          <cell r="E8605" t="str">
            <v>ESMALTE - MILCO</v>
          </cell>
        </row>
        <row r="8606">
          <cell r="A8606" t="str">
            <v>ES-91171</v>
          </cell>
          <cell r="E8606" t="str">
            <v>ESMALTE - MILCO</v>
          </cell>
        </row>
        <row r="8607">
          <cell r="A8607" t="str">
            <v>ES-91173</v>
          </cell>
          <cell r="E8607" t="str">
            <v>ESMALTE - MILCO</v>
          </cell>
        </row>
        <row r="8608">
          <cell r="A8608" t="str">
            <v>ES-91201</v>
          </cell>
          <cell r="E8608" t="str">
            <v>ESMALTE - KITOX</v>
          </cell>
        </row>
        <row r="8609">
          <cell r="A8609" t="str">
            <v>ES-91281</v>
          </cell>
          <cell r="E8609" t="str">
            <v>ESMALTE - OTROS</v>
          </cell>
        </row>
        <row r="8610">
          <cell r="A8610" t="str">
            <v>ES-91301</v>
          </cell>
          <cell r="E8610" t="str">
            <v>ESMALTE - OTROS</v>
          </cell>
        </row>
        <row r="8611">
          <cell r="A8611" t="str">
            <v>ES-91311</v>
          </cell>
          <cell r="E8611" t="str">
            <v>ESMALTE - KITOX</v>
          </cell>
        </row>
        <row r="8612">
          <cell r="A8612" t="str">
            <v>ES-91321</v>
          </cell>
          <cell r="E8612" t="str">
            <v>ESMALTE - KITOX</v>
          </cell>
        </row>
        <row r="8613">
          <cell r="A8613" t="str">
            <v>ES-91331</v>
          </cell>
          <cell r="E8613" t="str">
            <v>ESMALTE - KITOX</v>
          </cell>
        </row>
        <row r="8614">
          <cell r="A8614" t="str">
            <v>ES-91341</v>
          </cell>
          <cell r="E8614" t="str">
            <v>ESMALTE - MILCO</v>
          </cell>
        </row>
        <row r="8615">
          <cell r="A8615" t="str">
            <v>ES-91351</v>
          </cell>
          <cell r="E8615" t="str">
            <v>ESM SECADO RAPIDO BASE AGUA</v>
          </cell>
        </row>
        <row r="8616">
          <cell r="A8616" t="str">
            <v>ES-91371</v>
          </cell>
          <cell r="E8616" t="str">
            <v>ESMALTE - COLOREX</v>
          </cell>
        </row>
        <row r="8617">
          <cell r="A8617" t="str">
            <v>ES-91373</v>
          </cell>
          <cell r="E8617" t="str">
            <v>ESMALTE - COLOREX</v>
          </cell>
        </row>
        <row r="8618">
          <cell r="A8618" t="str">
            <v>ES-91383</v>
          </cell>
          <cell r="E8618" t="str">
            <v>ESMALTE - COLOREX</v>
          </cell>
        </row>
        <row r="8619">
          <cell r="A8619" t="str">
            <v>ES-91391</v>
          </cell>
          <cell r="E8619" t="str">
            <v>ESM SECADO RAPIDO BASE AGUA</v>
          </cell>
        </row>
        <row r="8620">
          <cell r="A8620" t="str">
            <v>ES-91401</v>
          </cell>
          <cell r="E8620" t="str">
            <v>ESMALTE - BRILLON</v>
          </cell>
        </row>
        <row r="8621">
          <cell r="A8621" t="str">
            <v>ES-91421</v>
          </cell>
          <cell r="E8621" t="str">
            <v>ESMALTE - KITOX</v>
          </cell>
        </row>
        <row r="8622">
          <cell r="A8622" t="str">
            <v>ES-91451</v>
          </cell>
          <cell r="E8622" t="str">
            <v>ESMALTE - MILCO</v>
          </cell>
        </row>
        <row r="8623">
          <cell r="A8623" t="str">
            <v>ES-91461</v>
          </cell>
          <cell r="E8623" t="str">
            <v>ESMALTE - KITOX</v>
          </cell>
        </row>
        <row r="8624">
          <cell r="A8624" t="str">
            <v>ES-91463</v>
          </cell>
          <cell r="E8624" t="str">
            <v>ESMALTE - KITOX</v>
          </cell>
        </row>
        <row r="8625">
          <cell r="A8625" t="str">
            <v>ES-91501</v>
          </cell>
          <cell r="E8625" t="str">
            <v>ACABADOS DE PU</v>
          </cell>
        </row>
        <row r="8626">
          <cell r="A8626" t="str">
            <v>ES-91504</v>
          </cell>
          <cell r="E8626" t="str">
            <v>ACABADOS DE PU</v>
          </cell>
        </row>
        <row r="8627">
          <cell r="A8627" t="str">
            <v>ES-91521</v>
          </cell>
          <cell r="E8627" t="str">
            <v>ESMALTE - OTROS</v>
          </cell>
        </row>
        <row r="8628">
          <cell r="A8628" t="str">
            <v>ES-91531</v>
          </cell>
          <cell r="E8628" t="str">
            <v>ESMALTE - OTROS</v>
          </cell>
        </row>
        <row r="8629">
          <cell r="A8629" t="str">
            <v>ES-91533</v>
          </cell>
          <cell r="E8629" t="str">
            <v>ESMALTE - OTROS</v>
          </cell>
        </row>
        <row r="8630">
          <cell r="A8630" t="str">
            <v>ES-91541</v>
          </cell>
          <cell r="E8630" t="str">
            <v>ESMALTE - KITOX</v>
          </cell>
        </row>
        <row r="8631">
          <cell r="A8631" t="str">
            <v>ES-91543</v>
          </cell>
          <cell r="E8631" t="str">
            <v>ESMALTE - KITOX</v>
          </cell>
        </row>
        <row r="8632">
          <cell r="A8632" t="str">
            <v>ES-91544</v>
          </cell>
          <cell r="E8632" t="str">
            <v>ESMALTE - KITOX</v>
          </cell>
        </row>
        <row r="8633">
          <cell r="A8633" t="str">
            <v>ES-91551</v>
          </cell>
          <cell r="E8633" t="str">
            <v>ESMALTE - KITOX</v>
          </cell>
        </row>
        <row r="8634">
          <cell r="A8634" t="str">
            <v>ES-91553</v>
          </cell>
          <cell r="E8634" t="str">
            <v>ESMALTE - KITOX</v>
          </cell>
        </row>
        <row r="8635">
          <cell r="A8635" t="str">
            <v>ES-91554</v>
          </cell>
          <cell r="E8635" t="str">
            <v>ESMALTE - KITOX</v>
          </cell>
        </row>
        <row r="8636">
          <cell r="A8636" t="str">
            <v>ES-91611</v>
          </cell>
          <cell r="E8636" t="str">
            <v>ESMALTE - KITOX</v>
          </cell>
        </row>
        <row r="8637">
          <cell r="A8637" t="str">
            <v>ES-91623</v>
          </cell>
          <cell r="E8637" t="str">
            <v>ESMALTE - COLOREX</v>
          </cell>
        </row>
        <row r="8638">
          <cell r="A8638" t="str">
            <v>ES-91624</v>
          </cell>
          <cell r="E8638" t="str">
            <v>ESMALTE - COLOREX</v>
          </cell>
        </row>
        <row r="8639">
          <cell r="A8639" t="str">
            <v>ES-91631</v>
          </cell>
          <cell r="E8639" t="str">
            <v>ESMALTE - COLOREX</v>
          </cell>
        </row>
        <row r="8640">
          <cell r="A8640" t="str">
            <v>ES-91633</v>
          </cell>
          <cell r="E8640" t="str">
            <v>ESMALTE - COLOREX</v>
          </cell>
        </row>
        <row r="8641">
          <cell r="A8641" t="str">
            <v>ES-91634</v>
          </cell>
          <cell r="E8641" t="str">
            <v>ESMALTE - COLOREX</v>
          </cell>
        </row>
        <row r="8642">
          <cell r="A8642" t="str">
            <v>ES-91641</v>
          </cell>
          <cell r="E8642" t="str">
            <v>ESMALTE - COLOREX</v>
          </cell>
        </row>
        <row r="8643">
          <cell r="A8643" t="str">
            <v>ES-91643</v>
          </cell>
          <cell r="E8643" t="str">
            <v>ESMALTE - COLOREX</v>
          </cell>
        </row>
        <row r="8644">
          <cell r="A8644" t="str">
            <v>ES-91644</v>
          </cell>
          <cell r="E8644" t="str">
            <v>ESMALTE - COLOREX</v>
          </cell>
        </row>
        <row r="8645">
          <cell r="A8645" t="str">
            <v>ES-91711</v>
          </cell>
          <cell r="E8645" t="str">
            <v>ESMALTE - KITOX</v>
          </cell>
        </row>
        <row r="8646">
          <cell r="A8646" t="str">
            <v>ES-91721</v>
          </cell>
          <cell r="E8646" t="str">
            <v>ESMALTE - OTROS</v>
          </cell>
        </row>
        <row r="8647">
          <cell r="A8647" t="str">
            <v>ES-91724</v>
          </cell>
          <cell r="E8647" t="str">
            <v>ESMALTE - OTROS</v>
          </cell>
        </row>
        <row r="8648">
          <cell r="A8648" t="str">
            <v>ES-91731</v>
          </cell>
          <cell r="E8648" t="str">
            <v>ESMALTE - KITOX</v>
          </cell>
        </row>
        <row r="8649">
          <cell r="A8649" t="str">
            <v>ES-91741</v>
          </cell>
          <cell r="E8649" t="str">
            <v>ESMALTE - COLOREX</v>
          </cell>
        </row>
        <row r="8650">
          <cell r="A8650" t="str">
            <v>ES-91771</v>
          </cell>
          <cell r="E8650" t="str">
            <v>ESMALTE - KITOX</v>
          </cell>
        </row>
        <row r="8651">
          <cell r="A8651" t="str">
            <v>ES-91791</v>
          </cell>
          <cell r="E8651" t="str">
            <v>ESMALTE - KITOX</v>
          </cell>
        </row>
        <row r="8652">
          <cell r="A8652" t="str">
            <v>ES-91801</v>
          </cell>
          <cell r="E8652" t="str">
            <v>ESMALTE - KITOX</v>
          </cell>
        </row>
        <row r="8653">
          <cell r="A8653" t="str">
            <v>ES-91874</v>
          </cell>
          <cell r="E8653" t="str">
            <v>ESMALTE - COLOREX</v>
          </cell>
        </row>
        <row r="8654">
          <cell r="A8654" t="str">
            <v>ES-91884</v>
          </cell>
          <cell r="E8654" t="str">
            <v>ESMALTE - COLOREX</v>
          </cell>
        </row>
        <row r="8655">
          <cell r="A8655" t="str">
            <v>ES-91894</v>
          </cell>
          <cell r="E8655" t="str">
            <v>ESMALTE - COLOREX</v>
          </cell>
        </row>
        <row r="8656">
          <cell r="A8656" t="str">
            <v>ES-91901</v>
          </cell>
          <cell r="E8656" t="str">
            <v>ESMALTE - MILCO</v>
          </cell>
        </row>
        <row r="8657">
          <cell r="A8657" t="str">
            <v>ES-91921</v>
          </cell>
          <cell r="E8657" t="str">
            <v>ESMALTE - MILCO</v>
          </cell>
        </row>
        <row r="8658">
          <cell r="A8658" t="str">
            <v>ES-91923</v>
          </cell>
          <cell r="E8658" t="str">
            <v>ESMALTE - MILCO</v>
          </cell>
        </row>
        <row r="8659">
          <cell r="A8659" t="str">
            <v>ES-91924</v>
          </cell>
          <cell r="E8659" t="str">
            <v>ESMALTE - MILCO</v>
          </cell>
        </row>
        <row r="8660">
          <cell r="A8660" t="str">
            <v>ES-91931</v>
          </cell>
          <cell r="E8660" t="str">
            <v>ESMALTE - OTROS</v>
          </cell>
        </row>
        <row r="8661">
          <cell r="A8661" t="str">
            <v>ES-91933</v>
          </cell>
          <cell r="E8661" t="str">
            <v>ESMALTE - OTROS</v>
          </cell>
        </row>
        <row r="8662">
          <cell r="A8662" t="str">
            <v>ES-91941</v>
          </cell>
          <cell r="E8662" t="str">
            <v>ESMALTE - OTROS</v>
          </cell>
        </row>
        <row r="8663">
          <cell r="A8663" t="str">
            <v>ES-91961</v>
          </cell>
          <cell r="E8663" t="str">
            <v>ESMALTE - KITOX</v>
          </cell>
        </row>
        <row r="8664">
          <cell r="A8664" t="str">
            <v>ES-91971</v>
          </cell>
          <cell r="E8664" t="str">
            <v>ESMALTE - KITOX</v>
          </cell>
        </row>
        <row r="8665">
          <cell r="A8665" t="str">
            <v>ES-92004</v>
          </cell>
          <cell r="E8665" t="str">
            <v>ESMALTE - KITOX</v>
          </cell>
        </row>
        <row r="8666">
          <cell r="A8666" t="str">
            <v>ES-92011</v>
          </cell>
          <cell r="E8666" t="str">
            <v>ESMALTE - KITOX</v>
          </cell>
        </row>
        <row r="8667">
          <cell r="A8667" t="str">
            <v>ES-92020</v>
          </cell>
          <cell r="E8667" t="str">
            <v>ESMALTE - KITOX</v>
          </cell>
        </row>
        <row r="8668">
          <cell r="A8668" t="str">
            <v>ES-92031</v>
          </cell>
          <cell r="E8668" t="str">
            <v>ESMALTE - KITOX</v>
          </cell>
        </row>
        <row r="8669">
          <cell r="A8669" t="str">
            <v>ES-92041</v>
          </cell>
          <cell r="E8669" t="str">
            <v>ESMALTE - COLOREX BASE AGUA</v>
          </cell>
        </row>
        <row r="8670">
          <cell r="A8670" t="str">
            <v>ES-92071</v>
          </cell>
          <cell r="E8670" t="str">
            <v>ESMALTE - KITOX</v>
          </cell>
        </row>
        <row r="8671">
          <cell r="A8671" t="str">
            <v>ES-92091</v>
          </cell>
          <cell r="E8671" t="str">
            <v>ESMALTE - COLOREX BASE AGUA</v>
          </cell>
        </row>
        <row r="8672">
          <cell r="A8672" t="str">
            <v>ES-92101</v>
          </cell>
          <cell r="E8672" t="str">
            <v>ESMALTE - COLOREX</v>
          </cell>
        </row>
        <row r="8673">
          <cell r="A8673" t="str">
            <v>ES-92111</v>
          </cell>
          <cell r="E8673" t="str">
            <v>ESMALTE - KITOX</v>
          </cell>
        </row>
        <row r="8674">
          <cell r="A8674" t="str">
            <v>ES-92141</v>
          </cell>
          <cell r="E8674" t="str">
            <v>ESMALTE - COLOREX</v>
          </cell>
        </row>
        <row r="8675">
          <cell r="A8675" t="str">
            <v>ES-92151</v>
          </cell>
          <cell r="E8675" t="str">
            <v>ESMALTE - KITOX</v>
          </cell>
        </row>
        <row r="8676">
          <cell r="A8676" t="str">
            <v>ES-92171</v>
          </cell>
          <cell r="E8676" t="str">
            <v>ESMALTE - KITOX</v>
          </cell>
        </row>
        <row r="8677">
          <cell r="A8677" t="str">
            <v>ES-92181</v>
          </cell>
          <cell r="E8677" t="str">
            <v>ESMALTE - COLOREX</v>
          </cell>
        </row>
        <row r="8678">
          <cell r="A8678" t="str">
            <v>ES-92191</v>
          </cell>
          <cell r="E8678" t="str">
            <v>ESMALTE - MILCO</v>
          </cell>
        </row>
        <row r="8679">
          <cell r="A8679" t="str">
            <v>ES-92201</v>
          </cell>
          <cell r="E8679" t="str">
            <v>ESMALTE - KITOX</v>
          </cell>
        </row>
        <row r="8680">
          <cell r="A8680" t="str">
            <v>ES-92211</v>
          </cell>
          <cell r="E8680" t="str">
            <v>ESMALTE - COLOREX</v>
          </cell>
        </row>
        <row r="8681">
          <cell r="A8681" t="str">
            <v>ES-92221</v>
          </cell>
          <cell r="E8681" t="str">
            <v>ESMALTE - COLOREX</v>
          </cell>
        </row>
        <row r="8682">
          <cell r="A8682" t="str">
            <v>ES-92231</v>
          </cell>
          <cell r="E8682" t="str">
            <v>ESMALTE - COLOREX</v>
          </cell>
        </row>
        <row r="8683">
          <cell r="A8683" t="str">
            <v>ESC17-N</v>
          </cell>
          <cell r="E8683" t="str">
            <v>PRODUCTOS MISCELANEOS</v>
          </cell>
        </row>
        <row r="8684">
          <cell r="A8684" t="str">
            <v>FALTANTE</v>
          </cell>
          <cell r="E8684" t="str">
            <v>OTROS INGRESOS</v>
          </cell>
        </row>
        <row r="8685">
          <cell r="A8685" t="str">
            <v>G-11624</v>
          </cell>
          <cell r="E8685" t="str">
            <v>TINTAS BASE SOLVENTE P/MADERA</v>
          </cell>
        </row>
        <row r="8686">
          <cell r="A8686" t="str">
            <v>G-12761</v>
          </cell>
          <cell r="E8686" t="str">
            <v>SELLADORES DE NITROCELULOSA GL</v>
          </cell>
        </row>
        <row r="8687">
          <cell r="A8687" t="str">
            <v>G-12763</v>
          </cell>
          <cell r="E8687" t="str">
            <v>SELLADORES DE NITROCELULOSA GL</v>
          </cell>
        </row>
        <row r="8688">
          <cell r="A8688" t="str">
            <v>G-12764</v>
          </cell>
          <cell r="E8688" t="str">
            <v>SELLADORES DE NITROCELULOSA GL</v>
          </cell>
        </row>
        <row r="8689">
          <cell r="A8689" t="str">
            <v>G-13814</v>
          </cell>
          <cell r="E8689" t="str">
            <v>LACA NITRO TRANSPARENTE GLOSI</v>
          </cell>
        </row>
        <row r="8690">
          <cell r="A8690" t="str">
            <v>G-15563</v>
          </cell>
          <cell r="E8690" t="str">
            <v>ESMALTE - ESTRUCTURAS GLOSI</v>
          </cell>
        </row>
        <row r="8691">
          <cell r="A8691" t="str">
            <v>G-15564</v>
          </cell>
          <cell r="E8691" t="str">
            <v>ESMALTE - ESTRUCTURAS GLOSI</v>
          </cell>
        </row>
        <row r="8692">
          <cell r="A8692" t="str">
            <v>G-15933</v>
          </cell>
          <cell r="E8692" t="str">
            <v>ESMALTE - ESTRUCTURAS GLOSI</v>
          </cell>
        </row>
        <row r="8693">
          <cell r="A8693" t="str">
            <v>G-15934</v>
          </cell>
          <cell r="E8693" t="str">
            <v>ESMALTE - ESTRUCTURAS GLOSI</v>
          </cell>
        </row>
        <row r="8694">
          <cell r="A8694" t="str">
            <v>G-17001</v>
          </cell>
          <cell r="E8694" t="str">
            <v>ESMALTE - GLOSI SR</v>
          </cell>
        </row>
        <row r="8695">
          <cell r="A8695" t="str">
            <v>G-17003</v>
          </cell>
          <cell r="E8695" t="str">
            <v>ESMALTE - GLOSI SR</v>
          </cell>
        </row>
        <row r="8696">
          <cell r="A8696" t="str">
            <v>G-17004</v>
          </cell>
          <cell r="E8696" t="str">
            <v>ESMALTE - GLOSI SR</v>
          </cell>
        </row>
        <row r="8697">
          <cell r="A8697" t="str">
            <v>G-17006</v>
          </cell>
          <cell r="E8697" t="str">
            <v>ESMALTE - GLOSI SR</v>
          </cell>
        </row>
        <row r="8698">
          <cell r="A8698" t="str">
            <v>G-17073</v>
          </cell>
          <cell r="E8698" t="str">
            <v>ESMALTE - GLOSI SR</v>
          </cell>
        </row>
        <row r="8699">
          <cell r="A8699" t="str">
            <v>G-17123</v>
          </cell>
          <cell r="E8699" t="str">
            <v>ESMALTE - GLOSI SR</v>
          </cell>
        </row>
        <row r="8700">
          <cell r="A8700" t="str">
            <v>G-17124</v>
          </cell>
          <cell r="E8700" t="str">
            <v>ESMALTE - GLOSI SR</v>
          </cell>
        </row>
        <row r="8701">
          <cell r="A8701" t="str">
            <v>G-17143</v>
          </cell>
          <cell r="E8701" t="str">
            <v>ESMALTE - GLOSI SR</v>
          </cell>
        </row>
        <row r="8702">
          <cell r="A8702" t="str">
            <v>G-17144</v>
          </cell>
          <cell r="E8702" t="str">
            <v>ESMALTE - GLOSI SR</v>
          </cell>
        </row>
        <row r="8703">
          <cell r="A8703" t="str">
            <v>G-17153</v>
          </cell>
          <cell r="E8703" t="str">
            <v>ESMALTE - GLOSI SR</v>
          </cell>
        </row>
        <row r="8704">
          <cell r="A8704" t="str">
            <v>G-17154</v>
          </cell>
          <cell r="E8704" t="str">
            <v>ESMALTE - GLOSI SR</v>
          </cell>
        </row>
        <row r="8705">
          <cell r="A8705" t="str">
            <v>G-17213</v>
          </cell>
          <cell r="E8705" t="str">
            <v>ESMALTE - GLOSI SR</v>
          </cell>
        </row>
        <row r="8706">
          <cell r="A8706" t="str">
            <v>G-17214</v>
          </cell>
          <cell r="E8706" t="str">
            <v>ESMALTE - GLOSI SR</v>
          </cell>
        </row>
        <row r="8707">
          <cell r="A8707" t="str">
            <v>G-17351</v>
          </cell>
          <cell r="E8707" t="str">
            <v>ESMALTE - GLOSI SR</v>
          </cell>
        </row>
        <row r="8708">
          <cell r="A8708" t="str">
            <v>G-17353</v>
          </cell>
          <cell r="E8708" t="str">
            <v>ESMALTE - GLOSI SR</v>
          </cell>
        </row>
        <row r="8709">
          <cell r="A8709" t="str">
            <v>G-17354</v>
          </cell>
          <cell r="E8709" t="str">
            <v>ESMALTE - GLOSI SR</v>
          </cell>
        </row>
        <row r="8710">
          <cell r="A8710" t="str">
            <v>G-17453</v>
          </cell>
          <cell r="E8710" t="str">
            <v>ESMALTE - GLOSI SR</v>
          </cell>
        </row>
        <row r="8711">
          <cell r="A8711" t="str">
            <v>G-17454</v>
          </cell>
          <cell r="E8711" t="str">
            <v>ESMALTE - GLOSI SR</v>
          </cell>
        </row>
        <row r="8712">
          <cell r="A8712" t="str">
            <v>G-17563</v>
          </cell>
          <cell r="E8712" t="str">
            <v>ESMALTE - GLOSI SR</v>
          </cell>
        </row>
        <row r="8713">
          <cell r="A8713" t="str">
            <v>G-17564</v>
          </cell>
          <cell r="E8713" t="str">
            <v>ESMALTE - GLOSI SR</v>
          </cell>
        </row>
        <row r="8714">
          <cell r="A8714" t="str">
            <v>G-17583</v>
          </cell>
          <cell r="E8714" t="str">
            <v>ESMALTE - GLOSI SR</v>
          </cell>
        </row>
        <row r="8715">
          <cell r="A8715" t="str">
            <v>G-17584</v>
          </cell>
          <cell r="E8715" t="str">
            <v>ESMALTE - GLOSI SR</v>
          </cell>
        </row>
        <row r="8716">
          <cell r="A8716" t="str">
            <v>G-17643</v>
          </cell>
          <cell r="E8716" t="str">
            <v>ESMALTE - GLOSI SR</v>
          </cell>
        </row>
        <row r="8717">
          <cell r="A8717" t="str">
            <v>G-17644</v>
          </cell>
          <cell r="E8717" t="str">
            <v>ESMALTE - GLOSI SR</v>
          </cell>
        </row>
        <row r="8718">
          <cell r="A8718" t="str">
            <v>G-17691</v>
          </cell>
          <cell r="E8718" t="str">
            <v>ESMALTE - GLOSI SR</v>
          </cell>
        </row>
        <row r="8719">
          <cell r="A8719" t="str">
            <v>G-17693</v>
          </cell>
          <cell r="E8719" t="str">
            <v>ESMALTE - GLOSI SR</v>
          </cell>
        </row>
        <row r="8720">
          <cell r="A8720" t="str">
            <v>G-17694</v>
          </cell>
          <cell r="E8720" t="str">
            <v>ESMALTE - GLOSI SR</v>
          </cell>
        </row>
        <row r="8721">
          <cell r="A8721" t="str">
            <v>G-17793</v>
          </cell>
          <cell r="E8721" t="str">
            <v>ESMALTE - GLOSI SR</v>
          </cell>
        </row>
        <row r="8722">
          <cell r="A8722" t="str">
            <v>G-17794</v>
          </cell>
          <cell r="E8722" t="str">
            <v>ESMALTE - GLOSI SR</v>
          </cell>
        </row>
        <row r="8723">
          <cell r="A8723" t="str">
            <v>G-17803</v>
          </cell>
          <cell r="E8723" t="str">
            <v>ESMALTE - GLOSI SR</v>
          </cell>
        </row>
        <row r="8724">
          <cell r="A8724" t="str">
            <v>G-17804</v>
          </cell>
          <cell r="E8724" t="str">
            <v>ESMALTE - GLOSI SR</v>
          </cell>
        </row>
        <row r="8725">
          <cell r="A8725" t="str">
            <v>G-17823</v>
          </cell>
          <cell r="E8725" t="str">
            <v>ESMALTE - GLOSI SR</v>
          </cell>
        </row>
        <row r="8726">
          <cell r="A8726" t="str">
            <v>G-17824</v>
          </cell>
          <cell r="E8726" t="str">
            <v>ESMALTE - GLOSI SR</v>
          </cell>
        </row>
        <row r="8727">
          <cell r="A8727" t="str">
            <v>G-17914</v>
          </cell>
          <cell r="E8727" t="str">
            <v>ESMALTE - GLOSI SR</v>
          </cell>
        </row>
        <row r="8728">
          <cell r="A8728" t="str">
            <v>G-17933</v>
          </cell>
          <cell r="E8728" t="str">
            <v>ESMALTE - GLOSI SR</v>
          </cell>
        </row>
        <row r="8729">
          <cell r="A8729" t="str">
            <v>G-17934</v>
          </cell>
          <cell r="E8729" t="str">
            <v>ESMALTE - GLOSI SR</v>
          </cell>
        </row>
        <row r="8730">
          <cell r="A8730" t="str">
            <v>G-17981</v>
          </cell>
          <cell r="E8730" t="str">
            <v>ESMALTE - GLOSI SR</v>
          </cell>
        </row>
        <row r="8731">
          <cell r="A8731" t="str">
            <v>G-17983</v>
          </cell>
          <cell r="E8731" t="str">
            <v>ESMALTE - GLOSI SR</v>
          </cell>
        </row>
        <row r="8732">
          <cell r="A8732" t="str">
            <v>G-17984</v>
          </cell>
          <cell r="E8732" t="str">
            <v>ESMALTE - GLOSI SR</v>
          </cell>
        </row>
        <row r="8733">
          <cell r="A8733" t="str">
            <v>G-17986</v>
          </cell>
          <cell r="E8733" t="str">
            <v>ESMALTE - GLOSI SR</v>
          </cell>
        </row>
        <row r="8734">
          <cell r="A8734" t="str">
            <v>G-17991</v>
          </cell>
          <cell r="E8734" t="str">
            <v>ESMALTE - GLOSI SR</v>
          </cell>
        </row>
        <row r="8735">
          <cell r="A8735" t="str">
            <v>G-17993</v>
          </cell>
          <cell r="E8735" t="str">
            <v>ESMALTE - GLOSI SR</v>
          </cell>
        </row>
        <row r="8736">
          <cell r="A8736" t="str">
            <v>G-17994</v>
          </cell>
          <cell r="E8736" t="str">
            <v>ESMALTE - GLOSI SR</v>
          </cell>
        </row>
        <row r="8737">
          <cell r="A8737" t="str">
            <v>G-17996</v>
          </cell>
          <cell r="E8737" t="str">
            <v>ESMALTE - GLOSI SR</v>
          </cell>
        </row>
        <row r="8738">
          <cell r="A8738" t="str">
            <v>G-2300</v>
          </cell>
          <cell r="E8738" t="str">
            <v>AEROSOLES GLOSI</v>
          </cell>
        </row>
        <row r="8739">
          <cell r="A8739" t="str">
            <v>G-2301</v>
          </cell>
          <cell r="E8739" t="str">
            <v>AEROSOLES GLOSI</v>
          </cell>
        </row>
        <row r="8740">
          <cell r="A8740" t="str">
            <v>G-2314</v>
          </cell>
          <cell r="E8740" t="str">
            <v>AEROSOLES GLOSI</v>
          </cell>
        </row>
        <row r="8741">
          <cell r="A8741" t="str">
            <v>G-2315</v>
          </cell>
          <cell r="E8741" t="str">
            <v>AEROSOLES GLOSI</v>
          </cell>
        </row>
        <row r="8742">
          <cell r="A8742" t="str">
            <v>G-2316</v>
          </cell>
          <cell r="E8742" t="str">
            <v>AEROSOLES GLOSI</v>
          </cell>
        </row>
        <row r="8743">
          <cell r="A8743" t="str">
            <v>G-2317</v>
          </cell>
          <cell r="E8743" t="str">
            <v>AEROSOLES GLOSI</v>
          </cell>
        </row>
        <row r="8744">
          <cell r="A8744" t="str">
            <v>G-2322</v>
          </cell>
          <cell r="E8744" t="str">
            <v>AEROSOLES GLOSI</v>
          </cell>
        </row>
        <row r="8745">
          <cell r="A8745" t="str">
            <v>G-2324</v>
          </cell>
          <cell r="E8745" t="str">
            <v>AEROSOLES GLOSI</v>
          </cell>
        </row>
        <row r="8746">
          <cell r="A8746" t="str">
            <v>G-2335</v>
          </cell>
          <cell r="E8746" t="str">
            <v>AEROSOLES GLOSI</v>
          </cell>
        </row>
        <row r="8747">
          <cell r="A8747" t="str">
            <v>G-2343</v>
          </cell>
          <cell r="E8747" t="str">
            <v>AEROSOLES GLOSI</v>
          </cell>
        </row>
        <row r="8748">
          <cell r="A8748" t="str">
            <v>G-2344</v>
          </cell>
          <cell r="E8748" t="str">
            <v>AEROSOLES GLOSI</v>
          </cell>
        </row>
        <row r="8749">
          <cell r="A8749" t="str">
            <v>G-2345</v>
          </cell>
          <cell r="E8749" t="str">
            <v>AEROSOLES GLOSI</v>
          </cell>
        </row>
        <row r="8750">
          <cell r="A8750" t="str">
            <v>G-2356</v>
          </cell>
          <cell r="E8750" t="str">
            <v>AEROSOLES GLOSI</v>
          </cell>
        </row>
        <row r="8751">
          <cell r="A8751" t="str">
            <v>G-2358</v>
          </cell>
          <cell r="E8751" t="str">
            <v>AEROSOLES GLOSI</v>
          </cell>
        </row>
        <row r="8752">
          <cell r="A8752" t="str">
            <v>G-2364</v>
          </cell>
          <cell r="E8752" t="str">
            <v>AEROSOLES GLOSI</v>
          </cell>
        </row>
        <row r="8753">
          <cell r="A8753" t="str">
            <v>G-2365</v>
          </cell>
          <cell r="E8753" t="str">
            <v>AEROSOLES GLOSI</v>
          </cell>
        </row>
        <row r="8754">
          <cell r="A8754" t="str">
            <v>G-2366</v>
          </cell>
          <cell r="E8754" t="str">
            <v>AEROSOLES GLOSI</v>
          </cell>
        </row>
        <row r="8755">
          <cell r="A8755" t="str">
            <v>G-2367</v>
          </cell>
          <cell r="E8755" t="str">
            <v>AEROSOLES GLOSI</v>
          </cell>
        </row>
        <row r="8756">
          <cell r="A8756" t="str">
            <v>G-2373</v>
          </cell>
          <cell r="E8756" t="str">
            <v>AEROSOLES GLOSI</v>
          </cell>
        </row>
        <row r="8757">
          <cell r="A8757" t="str">
            <v>G-2375</v>
          </cell>
          <cell r="E8757" t="str">
            <v>AEROSOLES GLOSI</v>
          </cell>
        </row>
        <row r="8758">
          <cell r="A8758" t="str">
            <v>G-2376</v>
          </cell>
          <cell r="E8758" t="str">
            <v>AEROSOLES GLOSI</v>
          </cell>
        </row>
        <row r="8759">
          <cell r="A8759" t="str">
            <v>G-2380</v>
          </cell>
          <cell r="E8759" t="str">
            <v>AEROSOLES GLOSI</v>
          </cell>
        </row>
        <row r="8760">
          <cell r="A8760" t="str">
            <v>G-2381</v>
          </cell>
          <cell r="E8760" t="str">
            <v>AEROSOLES GLOSI</v>
          </cell>
        </row>
        <row r="8761">
          <cell r="A8761" t="str">
            <v>G-2390</v>
          </cell>
          <cell r="E8761" t="str">
            <v>AEROSOLES GLOSI</v>
          </cell>
        </row>
        <row r="8762">
          <cell r="A8762" t="str">
            <v>G-2393</v>
          </cell>
          <cell r="E8762" t="str">
            <v>AEROSOLES GLOSI</v>
          </cell>
        </row>
        <row r="8763">
          <cell r="A8763" t="str">
            <v>G-2396</v>
          </cell>
          <cell r="E8763" t="str">
            <v>AEROSOLES GLOSI</v>
          </cell>
        </row>
        <row r="8764">
          <cell r="A8764" t="str">
            <v>G-2397</v>
          </cell>
          <cell r="E8764" t="str">
            <v>AEROSOLES GLOSI</v>
          </cell>
        </row>
        <row r="8765">
          <cell r="A8765" t="str">
            <v>G-2398</v>
          </cell>
          <cell r="E8765" t="str">
            <v>AEROSOLES GLOSI</v>
          </cell>
        </row>
        <row r="8766">
          <cell r="A8766" t="str">
            <v>G-2399</v>
          </cell>
          <cell r="E8766" t="str">
            <v>AEROSOLES GLOSI</v>
          </cell>
        </row>
        <row r="8767">
          <cell r="A8767" t="str">
            <v>G-2411</v>
          </cell>
          <cell r="E8767" t="str">
            <v>AEROSOLES GLOSI</v>
          </cell>
        </row>
        <row r="8768">
          <cell r="A8768" t="str">
            <v>G-2413</v>
          </cell>
          <cell r="E8768" t="str">
            <v>AEROSOLES GLOSI</v>
          </cell>
        </row>
        <row r="8769">
          <cell r="A8769" t="str">
            <v>G-2414</v>
          </cell>
          <cell r="E8769" t="str">
            <v>AEROSOLES GLOSI</v>
          </cell>
        </row>
        <row r="8770">
          <cell r="A8770" t="str">
            <v>G-2417</v>
          </cell>
          <cell r="E8770" t="str">
            <v>AEROSOLES GLOSI</v>
          </cell>
        </row>
        <row r="8771">
          <cell r="A8771" t="str">
            <v>G-2451</v>
          </cell>
          <cell r="E8771" t="str">
            <v>AEROSOLES GLOSI</v>
          </cell>
        </row>
        <row r="8772">
          <cell r="A8772" t="str">
            <v>G-2454</v>
          </cell>
          <cell r="E8772" t="str">
            <v>AEROSOLES GLOSI</v>
          </cell>
        </row>
        <row r="8773">
          <cell r="A8773" t="str">
            <v>G-2461</v>
          </cell>
          <cell r="E8773" t="str">
            <v>AEROSOLES GLOSI</v>
          </cell>
        </row>
        <row r="8774">
          <cell r="A8774" t="str">
            <v>G-2462</v>
          </cell>
          <cell r="E8774" t="str">
            <v>AEROSOLES GLOSI</v>
          </cell>
        </row>
        <row r="8775">
          <cell r="A8775" t="str">
            <v>G-2463</v>
          </cell>
          <cell r="E8775" t="str">
            <v>AEROSOLES GLOSI</v>
          </cell>
        </row>
        <row r="8776">
          <cell r="A8776" t="str">
            <v>G-2497</v>
          </cell>
          <cell r="E8776" t="str">
            <v>AEROSOLES GLOSI</v>
          </cell>
        </row>
        <row r="8777">
          <cell r="A8777" t="str">
            <v>G-28803</v>
          </cell>
          <cell r="E8777" t="str">
            <v>BARNIZ ALQUIDALICO GLOSI</v>
          </cell>
        </row>
        <row r="8778">
          <cell r="A8778" t="str">
            <v>G-28804</v>
          </cell>
          <cell r="E8778" t="str">
            <v>BARNIZ ALQUIDALICO GLOSI</v>
          </cell>
        </row>
        <row r="8779">
          <cell r="A8779" t="str">
            <v>G-28805</v>
          </cell>
          <cell r="E8779" t="str">
            <v>BARNIZ ALQUIDALICO GLOSI</v>
          </cell>
        </row>
        <row r="8780">
          <cell r="A8780" t="str">
            <v>G-28806</v>
          </cell>
          <cell r="E8780" t="str">
            <v>BARNIZ ALQUIDALICO GLOSI</v>
          </cell>
        </row>
        <row r="8781">
          <cell r="A8781" t="str">
            <v>G-28824</v>
          </cell>
          <cell r="E8781" t="str">
            <v>BARNIZ ALQUIDALICO GLOSI</v>
          </cell>
        </row>
        <row r="8782">
          <cell r="A8782" t="str">
            <v>G-28826</v>
          </cell>
          <cell r="E8782" t="str">
            <v>BARNIZ ALQUIDALICO GLOSI</v>
          </cell>
        </row>
        <row r="8783">
          <cell r="A8783" t="str">
            <v>G-28844</v>
          </cell>
          <cell r="E8783" t="str">
            <v>BARNIZ ALQUIDALICO GLOSI</v>
          </cell>
        </row>
        <row r="8784">
          <cell r="A8784" t="str">
            <v>G-28846</v>
          </cell>
          <cell r="E8784" t="str">
            <v>BARNIZ ALQUIDALICO GLOSI</v>
          </cell>
        </row>
        <row r="8785">
          <cell r="A8785" t="str">
            <v>G-28854</v>
          </cell>
          <cell r="E8785" t="str">
            <v>BARNIZ ALQUIDALICO GLOSI</v>
          </cell>
        </row>
        <row r="8786">
          <cell r="A8786" t="str">
            <v>G-28856</v>
          </cell>
          <cell r="E8786" t="str">
            <v>BARNIZ ALQUIDALICO GLOSI</v>
          </cell>
        </row>
        <row r="8787">
          <cell r="A8787" t="str">
            <v>G-28884</v>
          </cell>
          <cell r="E8787" t="str">
            <v>BARNIZ ALQUIDALICO GLOSI</v>
          </cell>
        </row>
        <row r="8788">
          <cell r="A8788" t="str">
            <v>G-28886</v>
          </cell>
          <cell r="E8788" t="str">
            <v>BARNIZ ALQUIDALICO GLOSI</v>
          </cell>
        </row>
        <row r="8789">
          <cell r="A8789" t="str">
            <v>G-28894</v>
          </cell>
          <cell r="E8789" t="str">
            <v>BARNIZ ALQUIDALICO GLOSI</v>
          </cell>
        </row>
        <row r="8790">
          <cell r="A8790" t="str">
            <v>G-28896</v>
          </cell>
          <cell r="E8790" t="str">
            <v>BARNIZ ALQUIDALICO GLOSI</v>
          </cell>
        </row>
        <row r="8791">
          <cell r="A8791" t="str">
            <v>G-28944</v>
          </cell>
          <cell r="E8791" t="str">
            <v>BARNIZ ALQUIDALICO GLOSI</v>
          </cell>
        </row>
        <row r="8792">
          <cell r="A8792" t="str">
            <v>G-28946</v>
          </cell>
          <cell r="E8792" t="str">
            <v>BARNIZ ALQUIDALICO GLOSI</v>
          </cell>
        </row>
        <row r="8793">
          <cell r="A8793" t="str">
            <v>G-31101</v>
          </cell>
          <cell r="E8793" t="str">
            <v>VINILICA - GLOSI PROFESIONAL</v>
          </cell>
        </row>
        <row r="8794">
          <cell r="A8794" t="str">
            <v>G-31103</v>
          </cell>
          <cell r="E8794" t="str">
            <v>VINILICA - GLOSI PROFESIONAL</v>
          </cell>
        </row>
        <row r="8795">
          <cell r="A8795" t="str">
            <v>G-31104</v>
          </cell>
          <cell r="E8795" t="str">
            <v>VINILICA - GLOSI PROFESIONAL</v>
          </cell>
        </row>
        <row r="8796">
          <cell r="A8796" t="str">
            <v>G-31801</v>
          </cell>
          <cell r="E8796" t="str">
            <v>VINILICA - GLOSI PROFESIONAL</v>
          </cell>
        </row>
        <row r="8797">
          <cell r="A8797" t="str">
            <v>G-31803</v>
          </cell>
          <cell r="E8797" t="str">
            <v>VINILICA - GLOSI PROFESIONAL</v>
          </cell>
        </row>
        <row r="8798">
          <cell r="A8798" t="str">
            <v>G-31804</v>
          </cell>
          <cell r="E8798" t="str">
            <v>VINILICA - GLOSI PROFESIONAL</v>
          </cell>
        </row>
        <row r="8799">
          <cell r="A8799" t="str">
            <v>G-31811</v>
          </cell>
          <cell r="E8799" t="str">
            <v>VINILICA - GLOSI PROFESIONAL</v>
          </cell>
        </row>
        <row r="8800">
          <cell r="A8800" t="str">
            <v>G-31813</v>
          </cell>
          <cell r="E8800" t="str">
            <v>VINILICA - GLOSI PROFESIONAL</v>
          </cell>
        </row>
        <row r="8801">
          <cell r="A8801" t="str">
            <v>G-31814</v>
          </cell>
          <cell r="E8801" t="str">
            <v>VINILICA - GLOSI PROFESIONAL</v>
          </cell>
        </row>
        <row r="8802">
          <cell r="A8802" t="str">
            <v>G-31821</v>
          </cell>
          <cell r="E8802" t="str">
            <v>VINILICA - GLOSI PROFESIONAL</v>
          </cell>
        </row>
        <row r="8803">
          <cell r="A8803" t="str">
            <v>G-31823</v>
          </cell>
          <cell r="E8803" t="str">
            <v>VINILICA - GLOSI PROFESIONAL</v>
          </cell>
        </row>
        <row r="8804">
          <cell r="A8804" t="str">
            <v>G-31824</v>
          </cell>
          <cell r="E8804" t="str">
            <v>VINILICA - GLOSI PROFESIONAL</v>
          </cell>
        </row>
        <row r="8805">
          <cell r="A8805" t="str">
            <v>G-31831</v>
          </cell>
          <cell r="E8805" t="str">
            <v>VINILICA - GLOSI PROFESIONAL</v>
          </cell>
        </row>
        <row r="8806">
          <cell r="A8806" t="str">
            <v>G-31833</v>
          </cell>
          <cell r="E8806" t="str">
            <v>VINILICA - GLOSI PROFESIONAL</v>
          </cell>
        </row>
        <row r="8807">
          <cell r="A8807" t="str">
            <v>G-31834</v>
          </cell>
          <cell r="E8807" t="str">
            <v>VINILICA - GLOSI PROFESIONAL</v>
          </cell>
        </row>
        <row r="8808">
          <cell r="A8808" t="str">
            <v>G-31841</v>
          </cell>
          <cell r="E8808" t="str">
            <v>VINILICA - GLOSI PROFESIONAL</v>
          </cell>
        </row>
        <row r="8809">
          <cell r="A8809" t="str">
            <v>G-31843</v>
          </cell>
          <cell r="E8809" t="str">
            <v>VINILICA - GLOSI PROFESIONAL</v>
          </cell>
        </row>
        <row r="8810">
          <cell r="A8810" t="str">
            <v>G-31844</v>
          </cell>
          <cell r="E8810" t="str">
            <v>VINILICA - GLOSI PROFESIONAL</v>
          </cell>
        </row>
        <row r="8811">
          <cell r="A8811" t="str">
            <v>G-31851</v>
          </cell>
          <cell r="E8811" t="str">
            <v>VINILICA - GLOSI PROFESIONAL</v>
          </cell>
        </row>
        <row r="8812">
          <cell r="A8812" t="str">
            <v>G-31853</v>
          </cell>
          <cell r="E8812" t="str">
            <v>VINILICA - GLOSI PROFESIONAL</v>
          </cell>
        </row>
        <row r="8813">
          <cell r="A8813" t="str">
            <v>G-31854</v>
          </cell>
          <cell r="E8813" t="str">
            <v>VINILICA - GLOSI PROFESIONAL</v>
          </cell>
        </row>
        <row r="8814">
          <cell r="A8814" t="str">
            <v>G-31861</v>
          </cell>
          <cell r="E8814" t="str">
            <v>VINILICA - GLOSI PROFESIONAL</v>
          </cell>
        </row>
        <row r="8815">
          <cell r="A8815" t="str">
            <v>G-31863</v>
          </cell>
          <cell r="E8815" t="str">
            <v>VINILICA - GLOSI PROFESIONAL</v>
          </cell>
        </row>
        <row r="8816">
          <cell r="A8816" t="str">
            <v>G-31864</v>
          </cell>
          <cell r="E8816" t="str">
            <v>VINILICA - GLOSI PROFESIONAL</v>
          </cell>
        </row>
        <row r="8817">
          <cell r="A8817" t="str">
            <v>G-31871</v>
          </cell>
          <cell r="E8817" t="str">
            <v>VINILICA - GLOSI PROFESIONAL</v>
          </cell>
        </row>
        <row r="8818">
          <cell r="A8818" t="str">
            <v>G-31873</v>
          </cell>
          <cell r="E8818" t="str">
            <v>VINILICA - GLOSI PROFESIONAL</v>
          </cell>
        </row>
        <row r="8819">
          <cell r="A8819" t="str">
            <v>G-31874</v>
          </cell>
          <cell r="E8819" t="str">
            <v>VINILICA - GLOSI PROFESIONAL</v>
          </cell>
        </row>
        <row r="8820">
          <cell r="A8820" t="str">
            <v>G-31881</v>
          </cell>
          <cell r="E8820" t="str">
            <v>VINILICA - GLOSI PROFESIONAL</v>
          </cell>
        </row>
        <row r="8821">
          <cell r="A8821" t="str">
            <v>G-31883</v>
          </cell>
          <cell r="E8821" t="str">
            <v>VINILICA - GLOSI PROFESIONAL</v>
          </cell>
        </row>
        <row r="8822">
          <cell r="A8822" t="str">
            <v>G-31884</v>
          </cell>
          <cell r="E8822" t="str">
            <v>VINILICA - GLOSI PROFESIONAL</v>
          </cell>
        </row>
        <row r="8823">
          <cell r="A8823" t="str">
            <v>G-31891</v>
          </cell>
          <cell r="E8823" t="str">
            <v>VINILICA - GLOSI PROFESIONAL</v>
          </cell>
        </row>
        <row r="8824">
          <cell r="A8824" t="str">
            <v>G-31893</v>
          </cell>
          <cell r="E8824" t="str">
            <v>VINILICA - GLOSI PROFESIONAL</v>
          </cell>
        </row>
        <row r="8825">
          <cell r="A8825" t="str">
            <v>G-31894</v>
          </cell>
          <cell r="E8825" t="str">
            <v>VINILICA - GLOSI PROFESIONAL</v>
          </cell>
        </row>
        <row r="8826">
          <cell r="A8826" t="str">
            <v>G-31903</v>
          </cell>
          <cell r="E8826" t="str">
            <v>VINILICA - GLOSI</v>
          </cell>
        </row>
        <row r="8827">
          <cell r="A8827" t="str">
            <v>G-31911</v>
          </cell>
          <cell r="E8827" t="str">
            <v>VINILICA - GLOSI PROFESIONAL</v>
          </cell>
        </row>
        <row r="8828">
          <cell r="A8828" t="str">
            <v>G-31913</v>
          </cell>
          <cell r="E8828" t="str">
            <v>VINILICA - GLOSI PROFESIONAL</v>
          </cell>
        </row>
        <row r="8829">
          <cell r="A8829" t="str">
            <v>G-31914</v>
          </cell>
          <cell r="E8829" t="str">
            <v>VINILICA - GLOSI PROFESIONAL</v>
          </cell>
        </row>
        <row r="8830">
          <cell r="A8830" t="str">
            <v>G-31921</v>
          </cell>
          <cell r="E8830" t="str">
            <v>VINILICA - GLOSI PROFESIONAL</v>
          </cell>
        </row>
        <row r="8831">
          <cell r="A8831" t="str">
            <v>G-31923</v>
          </cell>
          <cell r="E8831" t="str">
            <v>VINILICA - GLOSI PROFESIONAL</v>
          </cell>
        </row>
        <row r="8832">
          <cell r="A8832" t="str">
            <v>G-31924</v>
          </cell>
          <cell r="E8832" t="str">
            <v>VINILICA - GLOSI PROFESIONAL</v>
          </cell>
        </row>
        <row r="8833">
          <cell r="A8833" t="str">
            <v>G-31951</v>
          </cell>
          <cell r="E8833" t="str">
            <v>VINILICA - GLOSI</v>
          </cell>
        </row>
        <row r="8834">
          <cell r="A8834" t="str">
            <v>G-31953</v>
          </cell>
          <cell r="E8834" t="str">
            <v>VINILICA - GLOSI</v>
          </cell>
        </row>
        <row r="8835">
          <cell r="A8835" t="str">
            <v>G-31971</v>
          </cell>
          <cell r="E8835" t="str">
            <v>VINILICA - GLOSI PROFESIONAL</v>
          </cell>
        </row>
        <row r="8836">
          <cell r="A8836" t="str">
            <v>G-31973</v>
          </cell>
          <cell r="E8836" t="str">
            <v>VINILICA - GLOSI PROFESIONAL</v>
          </cell>
        </row>
        <row r="8837">
          <cell r="A8837" t="str">
            <v>G-31974</v>
          </cell>
          <cell r="E8837" t="str">
            <v>VINILICA - GLOSI PROFESIONAL</v>
          </cell>
        </row>
        <row r="8838">
          <cell r="A8838" t="str">
            <v>G-38021</v>
          </cell>
          <cell r="E8838" t="str">
            <v>IMPERM - GLOSI 5 AóOS</v>
          </cell>
        </row>
        <row r="8839">
          <cell r="A8839" t="str">
            <v>G-38023</v>
          </cell>
          <cell r="E8839" t="str">
            <v>IMPERM - GLOSI 5 AóOS</v>
          </cell>
        </row>
        <row r="8840">
          <cell r="A8840" t="str">
            <v>G-38061</v>
          </cell>
          <cell r="E8840" t="str">
            <v>IMPERM - GLOSI 3 AóOS</v>
          </cell>
        </row>
        <row r="8841">
          <cell r="A8841" t="str">
            <v>G-38063</v>
          </cell>
          <cell r="E8841" t="str">
            <v>IMPERM - GLOSI 3 AóOS</v>
          </cell>
        </row>
        <row r="8842">
          <cell r="A8842" t="str">
            <v>G-38551</v>
          </cell>
          <cell r="E8842" t="str">
            <v>IMPERM - GLOSI 3 AóOS</v>
          </cell>
        </row>
        <row r="8843">
          <cell r="A8843" t="str">
            <v>G-38553</v>
          </cell>
          <cell r="E8843" t="str">
            <v>IMPERM - GLOSI 3 AóOS</v>
          </cell>
        </row>
        <row r="8844">
          <cell r="A8844" t="str">
            <v>G-38581</v>
          </cell>
          <cell r="E8844" t="str">
            <v>IMPERM - GLOSI 5 AóOS</v>
          </cell>
        </row>
        <row r="8845">
          <cell r="A8845" t="str">
            <v>G-38583</v>
          </cell>
          <cell r="E8845" t="str">
            <v>IMPERM - GLOSI 5 AóOS</v>
          </cell>
        </row>
        <row r="8846">
          <cell r="A8846" t="str">
            <v>G-61001</v>
          </cell>
          <cell r="E8846" t="str">
            <v>IMPERM - GLOSI 3 AÑOS EMULSION</v>
          </cell>
        </row>
        <row r="8847">
          <cell r="A8847" t="str">
            <v>G-61003</v>
          </cell>
          <cell r="E8847" t="str">
            <v>IMPERM - GLOSI 3 AÑOS EMULSION</v>
          </cell>
        </row>
        <row r="8848">
          <cell r="A8848" t="str">
            <v>G-61101</v>
          </cell>
          <cell r="E8848" t="str">
            <v>IMPERM - GLOSI  5 AÑOS ASFALTI</v>
          </cell>
        </row>
        <row r="8849">
          <cell r="A8849" t="str">
            <v>G-61103</v>
          </cell>
          <cell r="E8849" t="str">
            <v>IMPERM - GLOSI  5 AÑOS ASFALTI</v>
          </cell>
        </row>
        <row r="8850">
          <cell r="A8850" t="str">
            <v>IG-30001</v>
          </cell>
          <cell r="E8850" t="str">
            <v>IMPERGLOSI AGUACERO 3 AÑOS</v>
          </cell>
        </row>
        <row r="8851">
          <cell r="A8851" t="str">
            <v>IG-30003</v>
          </cell>
          <cell r="E8851" t="str">
            <v>IMPERGLOSI AGUACERO 3 AÑOS</v>
          </cell>
        </row>
        <row r="8852">
          <cell r="A8852" t="str">
            <v>IG-30561</v>
          </cell>
          <cell r="E8852" t="str">
            <v>IMPERGLOSI AGUACERO 3 AÑOS</v>
          </cell>
        </row>
        <row r="8853">
          <cell r="A8853" t="str">
            <v>IG-30563</v>
          </cell>
          <cell r="E8853" t="str">
            <v>IMPERGLOSI AGUACERO 3 AÑOS</v>
          </cell>
        </row>
        <row r="8854">
          <cell r="A8854" t="str">
            <v>IG-40001</v>
          </cell>
          <cell r="E8854" t="str">
            <v>IMPERGLOSI  AGUACERO FIBRA 4 A</v>
          </cell>
        </row>
        <row r="8855">
          <cell r="A8855" t="str">
            <v>IG-40561</v>
          </cell>
          <cell r="E8855" t="str">
            <v>IMPERGLOSI  AGUACERO FIBRA 4 A</v>
          </cell>
        </row>
        <row r="8856">
          <cell r="A8856" t="str">
            <v>IG-50001</v>
          </cell>
          <cell r="E8856" t="str">
            <v>IMPERGLOSI AGUACERO 5 AÑOS</v>
          </cell>
        </row>
        <row r="8857">
          <cell r="A8857" t="str">
            <v>IG-50561</v>
          </cell>
          <cell r="E8857" t="str">
            <v>IMPERGLOSI AGUACERO 5 AÑOS</v>
          </cell>
        </row>
        <row r="8858">
          <cell r="A8858" t="str">
            <v>IGU-10503</v>
          </cell>
          <cell r="E8858" t="str">
            <v>FONDO DE POLIURETANO</v>
          </cell>
        </row>
        <row r="8859">
          <cell r="A8859" t="str">
            <v>IGU-10504</v>
          </cell>
          <cell r="E8859" t="str">
            <v>FONDO DE POLIURETANO</v>
          </cell>
        </row>
        <row r="8860">
          <cell r="A8860" t="str">
            <v>IGU-13001</v>
          </cell>
          <cell r="E8860" t="str">
            <v>LACA NITRO INDUSTRIAL</v>
          </cell>
        </row>
        <row r="8861">
          <cell r="A8861" t="str">
            <v>IGU-13003</v>
          </cell>
          <cell r="E8861" t="str">
            <v>LACA NITRO INDUSTRIAL</v>
          </cell>
        </row>
        <row r="8862">
          <cell r="A8862" t="str">
            <v>IGU-13004</v>
          </cell>
          <cell r="E8862" t="str">
            <v>LACA NITRO INDUSTRIAL</v>
          </cell>
        </row>
        <row r="8863">
          <cell r="A8863" t="str">
            <v>IGU-16001</v>
          </cell>
          <cell r="E8863" t="str">
            <v>ESMALTE DE HORNEO BASE SOLVENT</v>
          </cell>
        </row>
        <row r="8864">
          <cell r="A8864" t="str">
            <v>IGU-16003</v>
          </cell>
          <cell r="E8864" t="str">
            <v>ESMALTE DE HORNEO BASE SOLVENT</v>
          </cell>
        </row>
        <row r="8865">
          <cell r="A8865" t="str">
            <v>IGU-17001</v>
          </cell>
          <cell r="E8865" t="str">
            <v>ESM SECADO RAPIDO BASE SOLVENT</v>
          </cell>
        </row>
        <row r="8866">
          <cell r="A8866" t="str">
            <v>IGU-17003</v>
          </cell>
          <cell r="E8866" t="str">
            <v>ESM SECADO RAPIDO BASE SOLVENT</v>
          </cell>
        </row>
        <row r="8867">
          <cell r="A8867" t="str">
            <v>IGU-17004</v>
          </cell>
          <cell r="E8867" t="str">
            <v>ESM SECADO RAPIDO BASE SOLVENT</v>
          </cell>
        </row>
        <row r="8868">
          <cell r="A8868" t="str">
            <v>IGU-17005</v>
          </cell>
          <cell r="E8868" t="str">
            <v>ESM SECADO RAPIDO BASE SOLVENT</v>
          </cell>
        </row>
        <row r="8869">
          <cell r="A8869" t="str">
            <v>IGU-17006</v>
          </cell>
          <cell r="E8869" t="str">
            <v>ESM SECADO RAPIDO BASE SOLVENT</v>
          </cell>
        </row>
        <row r="8870">
          <cell r="A8870" t="str">
            <v>IGU-21001</v>
          </cell>
          <cell r="E8870" t="str">
            <v>ESMALTE - MILCO</v>
          </cell>
        </row>
        <row r="8871">
          <cell r="A8871" t="str">
            <v>IGU-21004</v>
          </cell>
          <cell r="E8871" t="str">
            <v>ESMALTE - MILCO</v>
          </cell>
        </row>
        <row r="8872">
          <cell r="A8872" t="str">
            <v>IGU-21006</v>
          </cell>
          <cell r="E8872" t="str">
            <v>ESMALTE - MILCO</v>
          </cell>
        </row>
        <row r="8873">
          <cell r="A8873" t="str">
            <v>IGU-22001</v>
          </cell>
          <cell r="E8873" t="str">
            <v>ESMALTE - KITOX</v>
          </cell>
        </row>
        <row r="8874">
          <cell r="A8874" t="str">
            <v>IGU-22003</v>
          </cell>
          <cell r="E8874" t="str">
            <v>ESMALTE - KITOX</v>
          </cell>
        </row>
        <row r="8875">
          <cell r="A8875" t="str">
            <v>IGU-22004</v>
          </cell>
          <cell r="E8875" t="str">
            <v>ESMALTE - KITOX</v>
          </cell>
        </row>
        <row r="8876">
          <cell r="A8876" t="str">
            <v>IGU-22005</v>
          </cell>
          <cell r="E8876" t="str">
            <v>ESMALTE - KITOX</v>
          </cell>
        </row>
        <row r="8877">
          <cell r="A8877" t="str">
            <v>IGU-22006</v>
          </cell>
          <cell r="E8877" t="str">
            <v>ESMALTE - KITOX</v>
          </cell>
        </row>
        <row r="8878">
          <cell r="A8878" t="str">
            <v>IGU-25001</v>
          </cell>
          <cell r="E8878" t="str">
            <v>ESMALTE ACRILICO</v>
          </cell>
        </row>
        <row r="8879">
          <cell r="A8879" t="str">
            <v>IGU-25003</v>
          </cell>
          <cell r="E8879" t="str">
            <v>ESMALTE ACRILICO</v>
          </cell>
        </row>
        <row r="8880">
          <cell r="A8880" t="str">
            <v>IGU-25004</v>
          </cell>
          <cell r="E8880" t="str">
            <v>ESMALTE ACRILICO</v>
          </cell>
        </row>
        <row r="8881">
          <cell r="A8881" t="str">
            <v>IGU-25005</v>
          </cell>
          <cell r="E8881" t="str">
            <v>ESMALTE ACRILICO</v>
          </cell>
        </row>
        <row r="8882">
          <cell r="A8882" t="str">
            <v>IGU-25006</v>
          </cell>
          <cell r="E8882" t="str">
            <v>ESMALTE ACRILICO</v>
          </cell>
        </row>
        <row r="8883">
          <cell r="A8883" t="str">
            <v>IGU-28803</v>
          </cell>
          <cell r="E8883" t="str">
            <v>BARNIZ ALQUIDALICO SIGLO</v>
          </cell>
        </row>
        <row r="8884">
          <cell r="A8884" t="str">
            <v>IGU-28806</v>
          </cell>
          <cell r="E8884" t="str">
            <v>BARNIZ ALQUIDALICO SIGLO</v>
          </cell>
        </row>
        <row r="8885">
          <cell r="A8885" t="str">
            <v>IGU-29304</v>
          </cell>
          <cell r="E8885" t="str">
            <v>FONDO DE NITRO AUTOMOTRIZ</v>
          </cell>
        </row>
        <row r="8886">
          <cell r="A8886" t="str">
            <v>IGU-55003</v>
          </cell>
          <cell r="E8886" t="str">
            <v>ACABADOS DE PU</v>
          </cell>
        </row>
        <row r="8887">
          <cell r="A8887" t="str">
            <v>IGU-55004</v>
          </cell>
          <cell r="E8887" t="str">
            <v>ACABADOS DE PU</v>
          </cell>
        </row>
        <row r="8888">
          <cell r="A8888" t="str">
            <v>IGU-59004</v>
          </cell>
          <cell r="E8888" t="str">
            <v>ACABADOS EPOXICOS</v>
          </cell>
        </row>
        <row r="8889">
          <cell r="A8889" t="str">
            <v>IGU-70004</v>
          </cell>
          <cell r="E8889" t="str">
            <v>BASE COLOR</v>
          </cell>
        </row>
        <row r="8890">
          <cell r="A8890" t="str">
            <v>IGU-70005</v>
          </cell>
          <cell r="E8890" t="str">
            <v>BASE COLOR</v>
          </cell>
        </row>
        <row r="8891">
          <cell r="A8891" t="str">
            <v>IGU-70006</v>
          </cell>
          <cell r="E8891" t="str">
            <v>BASE COLOR</v>
          </cell>
        </row>
        <row r="8892">
          <cell r="A8892" t="str">
            <v>IGU-S17003</v>
          </cell>
          <cell r="E8892" t="str">
            <v>ESMALTE - APRISA</v>
          </cell>
        </row>
        <row r="8893">
          <cell r="A8893" t="str">
            <v>IGU-S17004</v>
          </cell>
          <cell r="E8893" t="str">
            <v>ESMALTE - APRISA</v>
          </cell>
        </row>
        <row r="8894">
          <cell r="A8894" t="str">
            <v>IGU-S17005</v>
          </cell>
          <cell r="E8894" t="str">
            <v>ESMALTE - APRISA</v>
          </cell>
        </row>
        <row r="8895">
          <cell r="A8895" t="str">
            <v>IGU-S17006</v>
          </cell>
          <cell r="E8895" t="str">
            <v>ESMALTE - APRISA</v>
          </cell>
        </row>
        <row r="8896">
          <cell r="A8896" t="str">
            <v>IMP321</v>
          </cell>
          <cell r="E8896" t="str">
            <v>IMPERM - PARAGUAS 3 AÑOS</v>
          </cell>
        </row>
        <row r="8897">
          <cell r="A8897" t="str">
            <v>IMP322</v>
          </cell>
          <cell r="E8897" t="str">
            <v>IMPERM - PARAGUAS 3 AÑOS</v>
          </cell>
        </row>
        <row r="8898">
          <cell r="A8898" t="str">
            <v>IT-102-51</v>
          </cell>
          <cell r="E8898" t="str">
            <v>FONDO DE NITROCELULOSA</v>
          </cell>
        </row>
        <row r="8899">
          <cell r="A8899" t="str">
            <v>IT-102-81</v>
          </cell>
          <cell r="E8899" t="str">
            <v>FONDO DE NITROCELULOSA</v>
          </cell>
        </row>
        <row r="8900">
          <cell r="A8900" t="str">
            <v>IT-102-83</v>
          </cell>
          <cell r="E8900" t="str">
            <v>FONDO DE NITROCELULOSA</v>
          </cell>
        </row>
        <row r="8901">
          <cell r="A8901" t="str">
            <v>IT-105-41</v>
          </cell>
          <cell r="E8901" t="str">
            <v>FONDO DE POLIURETANO</v>
          </cell>
        </row>
        <row r="8902">
          <cell r="A8902" t="str">
            <v>IT-105-81</v>
          </cell>
          <cell r="E8902" t="str">
            <v>FONDO DE POLIURETANO</v>
          </cell>
        </row>
        <row r="8903">
          <cell r="A8903" t="str">
            <v>IT-105-83</v>
          </cell>
          <cell r="E8903" t="str">
            <v>FONDO DE POLIURETANO</v>
          </cell>
        </row>
        <row r="8904">
          <cell r="A8904" t="str">
            <v>IT-105-84</v>
          </cell>
          <cell r="E8904" t="str">
            <v>FONDO DE POLIURETANO</v>
          </cell>
        </row>
        <row r="8905">
          <cell r="A8905" t="str">
            <v>IT-1276-81</v>
          </cell>
          <cell r="E8905" t="str">
            <v>SELLADORES DE NITROCELULOSA</v>
          </cell>
        </row>
        <row r="8906">
          <cell r="A8906" t="str">
            <v>IT-13-41</v>
          </cell>
          <cell r="E8906" t="str">
            <v>LACA NITRO INDUSTRIAL</v>
          </cell>
        </row>
        <row r="8907">
          <cell r="A8907" t="str">
            <v>IT-13-43</v>
          </cell>
          <cell r="E8907" t="str">
            <v>LACA NITRO INDUSTRIAL</v>
          </cell>
        </row>
        <row r="8908">
          <cell r="A8908" t="str">
            <v>IT-13-44</v>
          </cell>
          <cell r="E8908" t="str">
            <v>LACA NITRO INDUSTRIAL</v>
          </cell>
        </row>
        <row r="8909">
          <cell r="A8909" t="str">
            <v>IT-13-51</v>
          </cell>
          <cell r="E8909" t="str">
            <v>LACA NITRO INDUSTRIAL</v>
          </cell>
        </row>
        <row r="8910">
          <cell r="A8910" t="str">
            <v>IT-13-53</v>
          </cell>
          <cell r="E8910" t="str">
            <v>LACA NITRO INDUSTRIAL</v>
          </cell>
        </row>
        <row r="8911">
          <cell r="A8911" t="str">
            <v>IT-13-54</v>
          </cell>
          <cell r="E8911" t="str">
            <v>LACA NITRO INDUSTRIAL</v>
          </cell>
        </row>
        <row r="8912">
          <cell r="A8912" t="str">
            <v>IT-13-71</v>
          </cell>
          <cell r="E8912" t="str">
            <v>LACA NITRO INDUSTRIAL</v>
          </cell>
        </row>
        <row r="8913">
          <cell r="A8913" t="str">
            <v>IT-13-73</v>
          </cell>
          <cell r="E8913" t="str">
            <v>LACA NITRO INDUSTRIAL</v>
          </cell>
        </row>
        <row r="8914">
          <cell r="A8914" t="str">
            <v>IT-13-74</v>
          </cell>
          <cell r="E8914" t="str">
            <v>LACA NITRO INDUSTRIAL</v>
          </cell>
        </row>
        <row r="8915">
          <cell r="A8915" t="str">
            <v>IT-13-80</v>
          </cell>
          <cell r="E8915" t="str">
            <v>LACA NITRO INDUSTRIAL</v>
          </cell>
        </row>
        <row r="8916">
          <cell r="A8916" t="str">
            <v>IT-13-81</v>
          </cell>
          <cell r="E8916" t="str">
            <v>LACA NITRO INDUSTRIAL</v>
          </cell>
        </row>
        <row r="8917">
          <cell r="A8917" t="str">
            <v>IT-13-83</v>
          </cell>
          <cell r="E8917" t="str">
            <v>LACA NITRO INDUSTRIAL</v>
          </cell>
        </row>
        <row r="8918">
          <cell r="A8918" t="str">
            <v>IT-13-84</v>
          </cell>
          <cell r="E8918" t="str">
            <v>LACA NITRO INDUSTRIAL</v>
          </cell>
        </row>
        <row r="8919">
          <cell r="A8919" t="str">
            <v>IT-14-41</v>
          </cell>
          <cell r="E8919" t="str">
            <v>BARNIZ DE POLIURETANO SIGLO</v>
          </cell>
        </row>
        <row r="8920">
          <cell r="A8920" t="str">
            <v>IT-14-43</v>
          </cell>
          <cell r="E8920" t="str">
            <v>BARNIZ DE POLIURETANO SIGLO</v>
          </cell>
        </row>
        <row r="8921">
          <cell r="A8921" t="str">
            <v>IT-14-71</v>
          </cell>
          <cell r="E8921" t="str">
            <v>BARNIZ DE POLIURETANO SIGLO</v>
          </cell>
        </row>
        <row r="8922">
          <cell r="A8922" t="str">
            <v>IT-14-81</v>
          </cell>
          <cell r="E8922" t="str">
            <v>BARNIZ DE POLIURETANO SIGLO</v>
          </cell>
        </row>
        <row r="8923">
          <cell r="A8923" t="str">
            <v>IT-159-41</v>
          </cell>
          <cell r="E8923" t="str">
            <v>PRIMARIOS ESTRUCTURALES ALQUID</v>
          </cell>
        </row>
        <row r="8924">
          <cell r="A8924" t="str">
            <v>IT-16-40</v>
          </cell>
          <cell r="E8924" t="str">
            <v>ESMALTE DE HORNEO BASE SOLVENT</v>
          </cell>
        </row>
        <row r="8925">
          <cell r="A8925" t="str">
            <v>IT-16-41</v>
          </cell>
          <cell r="E8925" t="str">
            <v>ESMALTE DE HORNEO BASE SOLVENT</v>
          </cell>
        </row>
        <row r="8926">
          <cell r="A8926" t="str">
            <v>IT-16-43</v>
          </cell>
          <cell r="E8926" t="str">
            <v>ESMALTE DE HORNEO BASE SOLVENT</v>
          </cell>
        </row>
        <row r="8927">
          <cell r="A8927" t="str">
            <v>IT-16-44</v>
          </cell>
          <cell r="E8927" t="str">
            <v>ESMALTE DE HORNEO BASE SOLVENT</v>
          </cell>
        </row>
        <row r="8928">
          <cell r="A8928" t="str">
            <v>IT-16-51</v>
          </cell>
          <cell r="E8928" t="str">
            <v>ESMALTE DE HORNEO BASE SOLVENT</v>
          </cell>
        </row>
        <row r="8929">
          <cell r="A8929" t="str">
            <v>IT-16-71</v>
          </cell>
          <cell r="E8929" t="str">
            <v>ESMALTE DE HORNEO BASE SOLVENT</v>
          </cell>
        </row>
        <row r="8930">
          <cell r="A8930" t="str">
            <v>IT-16-73</v>
          </cell>
          <cell r="E8930" t="str">
            <v>ESMALTE DE HORNEO BASE SOLVENT</v>
          </cell>
        </row>
        <row r="8931">
          <cell r="A8931" t="str">
            <v>IT-16-80</v>
          </cell>
          <cell r="E8931" t="str">
            <v>ESMALTE DE HORNEO BASE SOLVENT</v>
          </cell>
        </row>
        <row r="8932">
          <cell r="A8932" t="str">
            <v>IT-16-81</v>
          </cell>
          <cell r="E8932" t="str">
            <v>ESMALTE DE HORNEO BASE SOLVENT</v>
          </cell>
        </row>
        <row r="8933">
          <cell r="A8933" t="str">
            <v>IT-16-83</v>
          </cell>
          <cell r="E8933" t="str">
            <v>ESMALTE DE HORNEO BASE SOLVENT</v>
          </cell>
        </row>
        <row r="8934">
          <cell r="A8934" t="str">
            <v>IT-16-84</v>
          </cell>
          <cell r="E8934" t="str">
            <v>ESMALTE DE HORNEO BASE SOLVENT</v>
          </cell>
        </row>
        <row r="8935">
          <cell r="A8935" t="str">
            <v>IT-17-40</v>
          </cell>
          <cell r="E8935" t="str">
            <v>ESM SECADO RAPIDO BASE SOLVENT</v>
          </cell>
        </row>
        <row r="8936">
          <cell r="A8936" t="str">
            <v>IT-17-41</v>
          </cell>
          <cell r="E8936" t="str">
            <v>ESM SECADO RAPIDO BASE SOLVENT</v>
          </cell>
        </row>
        <row r="8937">
          <cell r="A8937" t="str">
            <v>IT-17-43</v>
          </cell>
          <cell r="E8937" t="str">
            <v>ESM SECADO RAPIDO BASE SOLVENT</v>
          </cell>
        </row>
        <row r="8938">
          <cell r="A8938" t="str">
            <v>IT-17-44</v>
          </cell>
          <cell r="E8938" t="str">
            <v>ESM SECADO RAPIDO BASE SOLVENT</v>
          </cell>
        </row>
        <row r="8939">
          <cell r="A8939" t="str">
            <v>IT-17-50</v>
          </cell>
          <cell r="E8939" t="str">
            <v>ESM SECADO RAPIDO BASE SOLVENT</v>
          </cell>
        </row>
        <row r="8940">
          <cell r="A8940" t="str">
            <v>IT-17-51</v>
          </cell>
          <cell r="E8940" t="str">
            <v>ESM SECADO RAPIDO BASE SOLVENT</v>
          </cell>
        </row>
        <row r="8941">
          <cell r="A8941" t="str">
            <v>IT-17-53</v>
          </cell>
          <cell r="E8941" t="str">
            <v>ESM SECADO RAPIDO BASE SOLVENT</v>
          </cell>
        </row>
        <row r="8942">
          <cell r="A8942" t="str">
            <v>IT-17-54</v>
          </cell>
          <cell r="E8942" t="str">
            <v>ESM SECADO RAPIDO BASE SOLVENT</v>
          </cell>
        </row>
        <row r="8943">
          <cell r="A8943" t="str">
            <v>IT-17-70</v>
          </cell>
          <cell r="E8943" t="str">
            <v>ESM SECADO RAPIDO BASE SOLVENT</v>
          </cell>
        </row>
        <row r="8944">
          <cell r="A8944" t="str">
            <v>IT-17-71</v>
          </cell>
          <cell r="E8944" t="str">
            <v>ESM SECADO RAPIDO BASE SOLVENT</v>
          </cell>
        </row>
        <row r="8945">
          <cell r="A8945" t="str">
            <v>IT-17-73</v>
          </cell>
          <cell r="E8945" t="str">
            <v>ESM SECADO RAPIDO BASE SOLVENT</v>
          </cell>
        </row>
        <row r="8946">
          <cell r="A8946" t="str">
            <v>IT-17-74</v>
          </cell>
          <cell r="E8946" t="str">
            <v>ESM SECADO RAPIDO BASE SOLVENT</v>
          </cell>
        </row>
        <row r="8947">
          <cell r="A8947" t="str">
            <v>IT-17-80</v>
          </cell>
          <cell r="E8947" t="str">
            <v>ESM SECADO RAPIDO BASE SOLVENT</v>
          </cell>
        </row>
        <row r="8948">
          <cell r="A8948" t="str">
            <v>IT-17-81</v>
          </cell>
          <cell r="E8948" t="str">
            <v>ESM SECADO RAPIDO BASE SOLVENT</v>
          </cell>
        </row>
        <row r="8949">
          <cell r="A8949" t="str">
            <v>IT-17-83</v>
          </cell>
          <cell r="E8949" t="str">
            <v>ESM SECADO RAPIDO BASE SOLVENT</v>
          </cell>
        </row>
        <row r="8950">
          <cell r="A8950" t="str">
            <v>IT-17-84</v>
          </cell>
          <cell r="E8950" t="str">
            <v>ESM SECADO RAPIDO BASE SOLVENT</v>
          </cell>
        </row>
        <row r="8951">
          <cell r="A8951" t="str">
            <v>IT-19-81</v>
          </cell>
          <cell r="E8951" t="str">
            <v>ACABADO MARTILLADO  SR</v>
          </cell>
        </row>
        <row r="8952">
          <cell r="A8952" t="str">
            <v>IT-19-84</v>
          </cell>
          <cell r="E8952" t="str">
            <v>ACABADO MARTILLADO  SR</v>
          </cell>
        </row>
        <row r="8953">
          <cell r="A8953" t="str">
            <v>IT-20-41</v>
          </cell>
          <cell r="E8953" t="str">
            <v>ESMALTE - COLOREX</v>
          </cell>
        </row>
        <row r="8954">
          <cell r="A8954" t="str">
            <v>IT-20-43</v>
          </cell>
          <cell r="E8954" t="str">
            <v>ESMALTE - COLOREX</v>
          </cell>
        </row>
        <row r="8955">
          <cell r="A8955" t="str">
            <v>IT-20-53</v>
          </cell>
          <cell r="E8955" t="str">
            <v>ESMALTE - COLOREX</v>
          </cell>
        </row>
        <row r="8956">
          <cell r="A8956" t="str">
            <v>IT-20-71</v>
          </cell>
          <cell r="E8956" t="str">
            <v>ESMALTE - COLOREX</v>
          </cell>
        </row>
        <row r="8957">
          <cell r="A8957" t="str">
            <v>IT-20-73</v>
          </cell>
          <cell r="E8957" t="str">
            <v>ESMALTE - COLOREX</v>
          </cell>
        </row>
        <row r="8958">
          <cell r="A8958" t="str">
            <v>IT-20-81</v>
          </cell>
          <cell r="E8958" t="str">
            <v>ESMALTE - COLOREX</v>
          </cell>
        </row>
        <row r="8959">
          <cell r="A8959" t="str">
            <v>IT-20-83</v>
          </cell>
          <cell r="E8959" t="str">
            <v>ESMALTE - COLOREX</v>
          </cell>
        </row>
        <row r="8960">
          <cell r="A8960" t="str">
            <v>IT-20-84</v>
          </cell>
          <cell r="E8960" t="str">
            <v>ESMALTE - COLOREX</v>
          </cell>
        </row>
        <row r="8961">
          <cell r="A8961" t="str">
            <v>IT-21-40</v>
          </cell>
          <cell r="E8961" t="str">
            <v>ESMALTE - MILCO</v>
          </cell>
        </row>
        <row r="8962">
          <cell r="A8962" t="str">
            <v>IT-21-41</v>
          </cell>
          <cell r="E8962" t="str">
            <v>ESMALTE - MILCO</v>
          </cell>
        </row>
        <row r="8963">
          <cell r="A8963" t="str">
            <v>IT-21-43</v>
          </cell>
          <cell r="E8963" t="str">
            <v>ESMALTE - MILCO</v>
          </cell>
        </row>
        <row r="8964">
          <cell r="A8964" t="str">
            <v>IT-21-44</v>
          </cell>
          <cell r="E8964" t="str">
            <v>ESMALTE - MILCO</v>
          </cell>
        </row>
        <row r="8965">
          <cell r="A8965" t="str">
            <v>IT-21-51</v>
          </cell>
          <cell r="E8965" t="str">
            <v>ESMALTE - MILCO</v>
          </cell>
        </row>
        <row r="8966">
          <cell r="A8966" t="str">
            <v>IT-21-53</v>
          </cell>
          <cell r="E8966" t="str">
            <v>ESMALTE - MILCO</v>
          </cell>
        </row>
        <row r="8967">
          <cell r="A8967" t="str">
            <v>IT-21-54</v>
          </cell>
          <cell r="E8967" t="str">
            <v>ESMALTE - MILCO</v>
          </cell>
        </row>
        <row r="8968">
          <cell r="A8968" t="str">
            <v>IT-21-71</v>
          </cell>
          <cell r="E8968" t="str">
            <v>ESMALTE - MILCO</v>
          </cell>
        </row>
        <row r="8969">
          <cell r="A8969" t="str">
            <v>IT-21-73</v>
          </cell>
          <cell r="E8969" t="str">
            <v>ESMALTE - MILCO</v>
          </cell>
        </row>
        <row r="8970">
          <cell r="A8970" t="str">
            <v>IT-21-74</v>
          </cell>
          <cell r="E8970" t="str">
            <v>ESMALTE - MILCO</v>
          </cell>
        </row>
        <row r="8971">
          <cell r="A8971" t="str">
            <v>IT-21-80</v>
          </cell>
          <cell r="E8971" t="str">
            <v>ESMALTE - MILCO</v>
          </cell>
        </row>
        <row r="8972">
          <cell r="A8972" t="str">
            <v>IT-21-81</v>
          </cell>
          <cell r="E8972" t="str">
            <v>ESMALTE - MILCO</v>
          </cell>
        </row>
        <row r="8973">
          <cell r="A8973" t="str">
            <v>IT-21-83</v>
          </cell>
          <cell r="E8973" t="str">
            <v>ESMALTE - MILCO</v>
          </cell>
        </row>
        <row r="8974">
          <cell r="A8974" t="str">
            <v>IT-21-84</v>
          </cell>
          <cell r="E8974" t="str">
            <v>ESMALTE - MILCO</v>
          </cell>
        </row>
        <row r="8975">
          <cell r="A8975" t="str">
            <v>IT-22-40</v>
          </cell>
          <cell r="E8975" t="str">
            <v>ESMALTE - KITOX</v>
          </cell>
        </row>
        <row r="8976">
          <cell r="A8976" t="str">
            <v>IT-22-41</v>
          </cell>
          <cell r="E8976" t="str">
            <v>ESMALTE - KITOX</v>
          </cell>
        </row>
        <row r="8977">
          <cell r="A8977" t="str">
            <v>IT-22-43</v>
          </cell>
          <cell r="E8977" t="str">
            <v>ESMALTE - KITOX</v>
          </cell>
        </row>
        <row r="8978">
          <cell r="A8978" t="str">
            <v>IT-22-44</v>
          </cell>
          <cell r="E8978" t="str">
            <v>ESMALTE - KITOX</v>
          </cell>
        </row>
        <row r="8979">
          <cell r="A8979" t="str">
            <v>IT-22-50</v>
          </cell>
          <cell r="E8979" t="str">
            <v>ESMALTE - KITOX</v>
          </cell>
        </row>
        <row r="8980">
          <cell r="A8980" t="str">
            <v>IT-22-51</v>
          </cell>
          <cell r="E8980" t="str">
            <v>ESMALTE - KITOX</v>
          </cell>
        </row>
        <row r="8981">
          <cell r="A8981" t="str">
            <v>IT-22-53</v>
          </cell>
          <cell r="E8981" t="str">
            <v>ESMALTE - KITOX</v>
          </cell>
        </row>
        <row r="8982">
          <cell r="A8982" t="str">
            <v>IT-22-71</v>
          </cell>
          <cell r="E8982" t="str">
            <v>ESMALTE - KITOX</v>
          </cell>
        </row>
        <row r="8983">
          <cell r="A8983" t="str">
            <v>IT-22-73</v>
          </cell>
          <cell r="E8983" t="str">
            <v>ESMALTE - KITOX</v>
          </cell>
        </row>
        <row r="8984">
          <cell r="A8984" t="str">
            <v>IT-22-74</v>
          </cell>
          <cell r="E8984" t="str">
            <v>ESMALTE - KITOX</v>
          </cell>
        </row>
        <row r="8985">
          <cell r="A8985" t="str">
            <v>IT-22-80</v>
          </cell>
          <cell r="E8985" t="str">
            <v>ESMALTE - KITOX</v>
          </cell>
        </row>
        <row r="8986">
          <cell r="A8986" t="str">
            <v>IT-22-81</v>
          </cell>
          <cell r="E8986" t="str">
            <v>ESMALTE - KITOX</v>
          </cell>
        </row>
        <row r="8987">
          <cell r="A8987" t="str">
            <v>IT-22-83</v>
          </cell>
          <cell r="E8987" t="str">
            <v>ESMALTE - KITOX</v>
          </cell>
        </row>
        <row r="8988">
          <cell r="A8988" t="str">
            <v>IT-22-84</v>
          </cell>
          <cell r="E8988" t="str">
            <v>ESMALTE - KITOX</v>
          </cell>
        </row>
        <row r="8989">
          <cell r="A8989" t="str">
            <v>IT-25-41</v>
          </cell>
          <cell r="E8989" t="str">
            <v>ESMALTE ACRILICO</v>
          </cell>
        </row>
        <row r="8990">
          <cell r="A8990" t="str">
            <v>IT-25-43</v>
          </cell>
          <cell r="E8990" t="str">
            <v>ESMALTE ACRILICO</v>
          </cell>
        </row>
        <row r="8991">
          <cell r="A8991" t="str">
            <v>IT-25-44</v>
          </cell>
          <cell r="E8991" t="str">
            <v>ESMALTE ACRILICO</v>
          </cell>
        </row>
        <row r="8992">
          <cell r="A8992" t="str">
            <v>IT-25-51</v>
          </cell>
          <cell r="E8992" t="str">
            <v>ESMALTE ACRILICO</v>
          </cell>
        </row>
        <row r="8993">
          <cell r="A8993" t="str">
            <v>IT-25-53</v>
          </cell>
          <cell r="E8993" t="str">
            <v>ESMALTE ACRILICO</v>
          </cell>
        </row>
        <row r="8994">
          <cell r="A8994" t="str">
            <v>IT-25-54</v>
          </cell>
          <cell r="E8994" t="str">
            <v>ESMALTE ACRILICO</v>
          </cell>
        </row>
        <row r="8995">
          <cell r="A8995" t="str">
            <v>IT-25-71</v>
          </cell>
          <cell r="E8995" t="str">
            <v>ESMALTE ACRILICO</v>
          </cell>
        </row>
        <row r="8996">
          <cell r="A8996" t="str">
            <v>IT-25-73</v>
          </cell>
          <cell r="E8996" t="str">
            <v>ESMALTE ACRILICO</v>
          </cell>
        </row>
        <row r="8997">
          <cell r="A8997" t="str">
            <v>IT-25-74</v>
          </cell>
          <cell r="E8997" t="str">
            <v>ESMALTE ACRILICO</v>
          </cell>
        </row>
        <row r="8998">
          <cell r="A8998" t="str">
            <v>IT-25-81</v>
          </cell>
          <cell r="E8998" t="str">
            <v>ESMALTE ACRILICO</v>
          </cell>
        </row>
        <row r="8999">
          <cell r="A8999" t="str">
            <v>IT-25-83</v>
          </cell>
          <cell r="E8999" t="str">
            <v>ESMALTE ACRILICO</v>
          </cell>
        </row>
        <row r="9000">
          <cell r="A9000" t="str">
            <v>IT-25-84</v>
          </cell>
          <cell r="E9000" t="str">
            <v>ESMALTE ACRILICO</v>
          </cell>
        </row>
        <row r="9001">
          <cell r="A9001" t="str">
            <v>IT-30-40</v>
          </cell>
          <cell r="E9001" t="str">
            <v>VINILICA - POLIPRISA</v>
          </cell>
        </row>
        <row r="9002">
          <cell r="A9002" t="str">
            <v>IT-30-41</v>
          </cell>
          <cell r="E9002" t="str">
            <v>VINILICA - POLIPRISA</v>
          </cell>
        </row>
        <row r="9003">
          <cell r="A9003" t="str">
            <v>IT-30-43</v>
          </cell>
          <cell r="E9003" t="str">
            <v>VINILICA - POLIPRISA</v>
          </cell>
        </row>
        <row r="9004">
          <cell r="A9004" t="str">
            <v>IT-30-44</v>
          </cell>
          <cell r="E9004" t="str">
            <v>VINILICA - POLIPRISA</v>
          </cell>
        </row>
        <row r="9005">
          <cell r="A9005" t="str">
            <v>IT-30-51</v>
          </cell>
          <cell r="E9005" t="str">
            <v>VINILICA - POLIPRISA</v>
          </cell>
        </row>
        <row r="9006">
          <cell r="A9006" t="str">
            <v>IT-30-53</v>
          </cell>
          <cell r="E9006" t="str">
            <v>VINILICA - POLIPRISA</v>
          </cell>
        </row>
        <row r="9007">
          <cell r="A9007" t="str">
            <v>IT-30-54</v>
          </cell>
          <cell r="E9007" t="str">
            <v>VINILICA - POLIPRISA</v>
          </cell>
        </row>
        <row r="9008">
          <cell r="A9008" t="str">
            <v>IT-30-71</v>
          </cell>
          <cell r="E9008" t="str">
            <v>VINILICA - POLIPRISA</v>
          </cell>
        </row>
        <row r="9009">
          <cell r="A9009" t="str">
            <v>IT-30-73</v>
          </cell>
          <cell r="E9009" t="str">
            <v>VINILICA - POLIPRISA</v>
          </cell>
        </row>
        <row r="9010">
          <cell r="A9010" t="str">
            <v>IT-30-74</v>
          </cell>
          <cell r="E9010" t="str">
            <v>VINILICA - POLIPRISA</v>
          </cell>
        </row>
        <row r="9011">
          <cell r="A9011" t="str">
            <v>IT-30-80</v>
          </cell>
          <cell r="E9011" t="str">
            <v>VINILICA - POLIPRISA</v>
          </cell>
        </row>
        <row r="9012">
          <cell r="A9012" t="str">
            <v>IT-30-81</v>
          </cell>
          <cell r="E9012" t="str">
            <v>VINILICA - POLIPRISA</v>
          </cell>
        </row>
        <row r="9013">
          <cell r="A9013" t="str">
            <v>IT-30-83</v>
          </cell>
          <cell r="E9013" t="str">
            <v>VINILICA - POLIPRISA</v>
          </cell>
        </row>
        <row r="9014">
          <cell r="A9014" t="str">
            <v>IT-30-84</v>
          </cell>
          <cell r="E9014" t="str">
            <v>VINILICA - POLIPRISA</v>
          </cell>
        </row>
        <row r="9015">
          <cell r="A9015" t="str">
            <v>IT-32-40</v>
          </cell>
          <cell r="E9015" t="str">
            <v>VINILICA - RIVINOL</v>
          </cell>
        </row>
        <row r="9016">
          <cell r="A9016" t="str">
            <v>IT-32-41</v>
          </cell>
          <cell r="E9016" t="str">
            <v>VINILICA - RIVINOL</v>
          </cell>
        </row>
        <row r="9017">
          <cell r="A9017" t="str">
            <v>IT-32-43</v>
          </cell>
          <cell r="E9017" t="str">
            <v>VINILICA - RIVINOL</v>
          </cell>
        </row>
        <row r="9018">
          <cell r="A9018" t="str">
            <v>IT-32-44</v>
          </cell>
          <cell r="E9018" t="str">
            <v>VINILICA - RIVINOL</v>
          </cell>
        </row>
        <row r="9019">
          <cell r="A9019" t="str">
            <v>IT-32-51</v>
          </cell>
          <cell r="E9019" t="str">
            <v>VINILICA - RIVINOL</v>
          </cell>
        </row>
        <row r="9020">
          <cell r="A9020" t="str">
            <v>IT-32-53</v>
          </cell>
          <cell r="E9020" t="str">
            <v>VINILICA - RIVINOL</v>
          </cell>
        </row>
        <row r="9021">
          <cell r="A9021" t="str">
            <v>IT-32-54</v>
          </cell>
          <cell r="E9021" t="str">
            <v>VINILICA - RIVINOL</v>
          </cell>
        </row>
        <row r="9022">
          <cell r="A9022" t="str">
            <v>IT-32-71</v>
          </cell>
          <cell r="E9022" t="str">
            <v>VINILICA - RIVINOL</v>
          </cell>
        </row>
        <row r="9023">
          <cell r="A9023" t="str">
            <v>IT-32-73</v>
          </cell>
          <cell r="E9023" t="str">
            <v>VINILICA - RIVINOL</v>
          </cell>
        </row>
        <row r="9024">
          <cell r="A9024" t="str">
            <v>IT-32-74</v>
          </cell>
          <cell r="E9024" t="str">
            <v>VINILICA - RIVINOL</v>
          </cell>
        </row>
        <row r="9025">
          <cell r="A9025" t="str">
            <v>IT-32-80</v>
          </cell>
          <cell r="E9025" t="str">
            <v>VINILICA - RIVINOL</v>
          </cell>
        </row>
        <row r="9026">
          <cell r="A9026" t="str">
            <v>IT-32-81</v>
          </cell>
          <cell r="E9026" t="str">
            <v>VINILICA - RIVINOL</v>
          </cell>
        </row>
        <row r="9027">
          <cell r="A9027" t="str">
            <v>IT-32-83</v>
          </cell>
          <cell r="E9027" t="str">
            <v>VINILICA - RIVINOL</v>
          </cell>
        </row>
        <row r="9028">
          <cell r="A9028" t="str">
            <v>IT-32-84</v>
          </cell>
          <cell r="E9028" t="str">
            <v>VINILICA - RIVINOL</v>
          </cell>
        </row>
        <row r="9029">
          <cell r="A9029" t="str">
            <v>IT-33-41</v>
          </cell>
          <cell r="E9029" t="str">
            <v>VINILICA - PINTAVIN</v>
          </cell>
        </row>
        <row r="9030">
          <cell r="A9030" t="str">
            <v>IT-33-43</v>
          </cell>
          <cell r="E9030" t="str">
            <v>VINILICA - PINTAVIN</v>
          </cell>
        </row>
        <row r="9031">
          <cell r="A9031" t="str">
            <v>IT-33-44</v>
          </cell>
          <cell r="E9031" t="str">
            <v>VINILICA - PINTAVIN</v>
          </cell>
        </row>
        <row r="9032">
          <cell r="A9032" t="str">
            <v>IT-33-51</v>
          </cell>
          <cell r="E9032" t="str">
            <v>VINILICA - PINTAVIN</v>
          </cell>
        </row>
        <row r="9033">
          <cell r="A9033" t="str">
            <v>IT-33-71</v>
          </cell>
          <cell r="E9033" t="str">
            <v>VINILICA - PINTAVIN</v>
          </cell>
        </row>
        <row r="9034">
          <cell r="A9034" t="str">
            <v>IT-33-74</v>
          </cell>
          <cell r="E9034" t="str">
            <v>VINILICA - PINTAVIN</v>
          </cell>
        </row>
        <row r="9035">
          <cell r="A9035" t="str">
            <v>IT-33-81</v>
          </cell>
          <cell r="E9035" t="str">
            <v>VINILICA - PINTAVIN</v>
          </cell>
        </row>
        <row r="9036">
          <cell r="A9036" t="str">
            <v>IT-33-84</v>
          </cell>
          <cell r="E9036" t="str">
            <v>VINILICA - PINTAVIN</v>
          </cell>
        </row>
        <row r="9037">
          <cell r="A9037" t="str">
            <v>IT-34-41</v>
          </cell>
          <cell r="E9037" t="str">
            <v>VINILICA - VINIBAR</v>
          </cell>
        </row>
        <row r="9038">
          <cell r="A9038" t="str">
            <v>IT-34-43</v>
          </cell>
          <cell r="E9038" t="str">
            <v>VINILICA - VINIBAR</v>
          </cell>
        </row>
        <row r="9039">
          <cell r="A9039" t="str">
            <v>IT-34-51</v>
          </cell>
          <cell r="E9039" t="str">
            <v>VINILICA - VINIBAR</v>
          </cell>
        </row>
        <row r="9040">
          <cell r="A9040" t="str">
            <v>IT-34-53</v>
          </cell>
          <cell r="E9040" t="str">
            <v>VINILICA - VINIBAR</v>
          </cell>
        </row>
        <row r="9041">
          <cell r="A9041" t="str">
            <v>IT-34-71</v>
          </cell>
          <cell r="E9041" t="str">
            <v>VINILICA - VINIBAR</v>
          </cell>
        </row>
        <row r="9042">
          <cell r="A9042" t="str">
            <v>IT-35-41</v>
          </cell>
          <cell r="E9042" t="str">
            <v>VINILICA - PRISASPORT</v>
          </cell>
        </row>
        <row r="9043">
          <cell r="A9043" t="str">
            <v>IT-35-43</v>
          </cell>
          <cell r="E9043" t="str">
            <v>VINILICA - PRISASPORT</v>
          </cell>
        </row>
        <row r="9044">
          <cell r="A9044" t="str">
            <v>IT-35-51</v>
          </cell>
          <cell r="E9044" t="str">
            <v>VINILICA - PRISASPORT</v>
          </cell>
        </row>
        <row r="9045">
          <cell r="A9045" t="str">
            <v>IT-35-71</v>
          </cell>
          <cell r="E9045" t="str">
            <v>VINILICA - PRISASPORT</v>
          </cell>
        </row>
        <row r="9046">
          <cell r="A9046" t="str">
            <v>IT-35-81</v>
          </cell>
          <cell r="E9046" t="str">
            <v>VINILICA - PRISASPORT</v>
          </cell>
        </row>
        <row r="9047">
          <cell r="A9047" t="str">
            <v>IT-35-83</v>
          </cell>
          <cell r="E9047" t="str">
            <v>VINILICA - PRISASPORT</v>
          </cell>
        </row>
        <row r="9048">
          <cell r="A9048" t="str">
            <v>IT-38-51</v>
          </cell>
          <cell r="E9048" t="str">
            <v>IMPERM - PARAGUAS 3 AÑOS</v>
          </cell>
        </row>
        <row r="9049">
          <cell r="A9049" t="str">
            <v>IT-385-71</v>
          </cell>
          <cell r="E9049" t="str">
            <v>IMPERM - PARAGUAS 5 AÑOS</v>
          </cell>
        </row>
        <row r="9050">
          <cell r="A9050" t="str">
            <v>IT-387-81</v>
          </cell>
          <cell r="E9050" t="str">
            <v>IMPERM - PARAGUAS 7 AÑOS</v>
          </cell>
        </row>
        <row r="9051">
          <cell r="A9051" t="str">
            <v>IT-387-83</v>
          </cell>
          <cell r="E9051" t="str">
            <v>IMPERM - PARAGUAS 7 AÑOS</v>
          </cell>
        </row>
        <row r="9052">
          <cell r="A9052" t="str">
            <v>IT-38-81</v>
          </cell>
          <cell r="E9052" t="str">
            <v>IMPERM - PARAGUAS 3 AÑOS</v>
          </cell>
        </row>
        <row r="9053">
          <cell r="A9053" t="str">
            <v>IT-401-41</v>
          </cell>
          <cell r="E9053" t="str">
            <v>LINEA PARA PISOS</v>
          </cell>
        </row>
        <row r="9054">
          <cell r="A9054" t="str">
            <v>IT-401-43</v>
          </cell>
          <cell r="E9054" t="str">
            <v>LINEA PARA PISOS</v>
          </cell>
        </row>
        <row r="9055">
          <cell r="A9055" t="str">
            <v>IT-430-41</v>
          </cell>
          <cell r="E9055" t="str">
            <v>PRIMARIOS EPOXICOS</v>
          </cell>
        </row>
        <row r="9056">
          <cell r="A9056" t="str">
            <v>IT-430-43</v>
          </cell>
          <cell r="E9056" t="str">
            <v>PRIMARIOS EPOXICOS</v>
          </cell>
        </row>
        <row r="9057">
          <cell r="A9057" t="str">
            <v>IT-430-51</v>
          </cell>
          <cell r="E9057" t="str">
            <v>PRIMARIOS EPOXICOS</v>
          </cell>
        </row>
        <row r="9058">
          <cell r="A9058" t="str">
            <v>IT-430-81</v>
          </cell>
          <cell r="E9058" t="str">
            <v>PRIMARIOS EPOXICOS</v>
          </cell>
        </row>
        <row r="9059">
          <cell r="A9059" t="str">
            <v>IT-431-53</v>
          </cell>
          <cell r="E9059" t="str">
            <v>PRIMARIOS EPOXICOS</v>
          </cell>
        </row>
        <row r="9060">
          <cell r="A9060" t="str">
            <v>IT-50-41</v>
          </cell>
          <cell r="E9060" t="str">
            <v>LINEA PARA PISOS</v>
          </cell>
        </row>
        <row r="9061">
          <cell r="A9061" t="str">
            <v>IT-50-43</v>
          </cell>
          <cell r="E9061" t="str">
            <v>LINEA PARA PISOS</v>
          </cell>
        </row>
        <row r="9062">
          <cell r="A9062" t="str">
            <v>IT-50-73</v>
          </cell>
          <cell r="E9062" t="str">
            <v>LINEA PARA PISOS</v>
          </cell>
        </row>
        <row r="9063">
          <cell r="A9063" t="str">
            <v>IT-50-81</v>
          </cell>
          <cell r="E9063" t="str">
            <v>LINEA PARA PISOS</v>
          </cell>
        </row>
        <row r="9064">
          <cell r="A9064" t="str">
            <v>IT-50-83</v>
          </cell>
          <cell r="E9064" t="str">
            <v>LINEA PARA PISOS</v>
          </cell>
        </row>
        <row r="9065">
          <cell r="A9065" t="str">
            <v>IT-53-41</v>
          </cell>
          <cell r="E9065" t="str">
            <v>ACABADOS EPOXICOS</v>
          </cell>
        </row>
        <row r="9066">
          <cell r="A9066" t="str">
            <v>IT-53-43</v>
          </cell>
          <cell r="E9066" t="str">
            <v>ACABADOS EPOXICOS</v>
          </cell>
        </row>
        <row r="9067">
          <cell r="A9067" t="str">
            <v>IT-53-73</v>
          </cell>
          <cell r="E9067" t="str">
            <v>ACABADOS EPOXICOS</v>
          </cell>
        </row>
        <row r="9068">
          <cell r="A9068" t="str">
            <v>IT-55-41</v>
          </cell>
          <cell r="E9068" t="str">
            <v>ACABADOS DE PU</v>
          </cell>
        </row>
        <row r="9069">
          <cell r="A9069" t="str">
            <v>IT-55-43</v>
          </cell>
          <cell r="E9069" t="str">
            <v>ACABADOS DE PU</v>
          </cell>
        </row>
        <row r="9070">
          <cell r="A9070" t="str">
            <v>IT-55-51</v>
          </cell>
          <cell r="E9070" t="str">
            <v>ACABADOS DE PU</v>
          </cell>
        </row>
        <row r="9071">
          <cell r="A9071" t="str">
            <v>IT-55-53</v>
          </cell>
          <cell r="E9071" t="str">
            <v>ACABADOS DE PU</v>
          </cell>
        </row>
        <row r="9072">
          <cell r="A9072" t="str">
            <v>IT-55-71</v>
          </cell>
          <cell r="E9072" t="str">
            <v>ACABADOS DE PU</v>
          </cell>
        </row>
        <row r="9073">
          <cell r="A9073" t="str">
            <v>IT-55-73</v>
          </cell>
          <cell r="E9073" t="str">
            <v>ACABADOS DE PU</v>
          </cell>
        </row>
        <row r="9074">
          <cell r="A9074" t="str">
            <v>IT-55-81</v>
          </cell>
          <cell r="E9074" t="str">
            <v>ACABADOS DE PU</v>
          </cell>
        </row>
        <row r="9075">
          <cell r="A9075" t="str">
            <v>IT-55-83</v>
          </cell>
          <cell r="E9075" t="str">
            <v>ACABADOS DE PU</v>
          </cell>
        </row>
        <row r="9076">
          <cell r="A9076" t="str">
            <v>IT-55-84</v>
          </cell>
          <cell r="E9076" t="str">
            <v>ACABADOS DE PU</v>
          </cell>
        </row>
        <row r="9077">
          <cell r="A9077" t="str">
            <v>IT-56-41</v>
          </cell>
          <cell r="E9077" t="str">
            <v>LINEA PARA PISOS</v>
          </cell>
        </row>
        <row r="9078">
          <cell r="A9078" t="str">
            <v>IT-56-43</v>
          </cell>
          <cell r="E9078" t="str">
            <v>LINEA PARA PISOS</v>
          </cell>
        </row>
        <row r="9079">
          <cell r="A9079" t="str">
            <v>IT-56-71</v>
          </cell>
          <cell r="E9079" t="str">
            <v>LINEA PARA PISOS</v>
          </cell>
        </row>
        <row r="9080">
          <cell r="A9080" t="str">
            <v>IT-57-43</v>
          </cell>
          <cell r="E9080" t="str">
            <v>LINEA PARA PISOS</v>
          </cell>
        </row>
        <row r="9081">
          <cell r="A9081" t="str">
            <v>IT-59-40</v>
          </cell>
          <cell r="E9081" t="str">
            <v>ACABADOS EPOXICOS</v>
          </cell>
        </row>
        <row r="9082">
          <cell r="A9082" t="str">
            <v>IT-59-41</v>
          </cell>
          <cell r="E9082" t="str">
            <v>ACABADOS EPOXICOS</v>
          </cell>
        </row>
        <row r="9083">
          <cell r="A9083" t="str">
            <v>IT-59-43</v>
          </cell>
          <cell r="E9083" t="str">
            <v>ACABADOS EPOXICOS</v>
          </cell>
        </row>
        <row r="9084">
          <cell r="A9084" t="str">
            <v>IT-59-44</v>
          </cell>
          <cell r="E9084" t="str">
            <v>ACABADOS EPOXICOS</v>
          </cell>
        </row>
        <row r="9085">
          <cell r="A9085" t="str">
            <v>IT-59-51</v>
          </cell>
          <cell r="E9085" t="str">
            <v>ACABADOS EPOXICOS</v>
          </cell>
        </row>
        <row r="9086">
          <cell r="A9086" t="str">
            <v>IT-59-53</v>
          </cell>
          <cell r="E9086" t="str">
            <v>ACABADOS EPOXICOS</v>
          </cell>
        </row>
        <row r="9087">
          <cell r="A9087" t="str">
            <v>IT-59-71</v>
          </cell>
          <cell r="E9087" t="str">
            <v>ACABADOS EPOXICOS</v>
          </cell>
        </row>
        <row r="9088">
          <cell r="A9088" t="str">
            <v>IT-59-73</v>
          </cell>
          <cell r="E9088" t="str">
            <v>ACABADOS EPOXICOS</v>
          </cell>
        </row>
        <row r="9089">
          <cell r="A9089" t="str">
            <v>IT-59-81</v>
          </cell>
          <cell r="E9089" t="str">
            <v>ACABADOS EPOXICOS</v>
          </cell>
        </row>
        <row r="9090">
          <cell r="A9090" t="str">
            <v>IT-59-83</v>
          </cell>
          <cell r="E9090" t="str">
            <v>ACABADOS EPOXICOS</v>
          </cell>
        </row>
        <row r="9091">
          <cell r="A9091" t="str">
            <v>IT-59-84</v>
          </cell>
          <cell r="E9091" t="str">
            <v>ACABADOS EPOXICOS</v>
          </cell>
        </row>
        <row r="9092">
          <cell r="A9092" t="str">
            <v>IT-AF-40</v>
          </cell>
          <cell r="E9092" t="str">
            <v>OTROS ACABADOS INDUSTRIALES</v>
          </cell>
        </row>
        <row r="9093">
          <cell r="A9093" t="str">
            <v>IT-AF-41</v>
          </cell>
          <cell r="E9093" t="str">
            <v>OTROS ACABADOS INDUSTRIALES</v>
          </cell>
        </row>
        <row r="9094">
          <cell r="A9094" t="str">
            <v>IT-DF-40</v>
          </cell>
          <cell r="E9094" t="str">
            <v>ACABADOS ALQUIDALICOS</v>
          </cell>
        </row>
        <row r="9095">
          <cell r="A9095" t="str">
            <v>IT-DF-41</v>
          </cell>
          <cell r="E9095" t="str">
            <v>ACABADOS ALQUIDALICOS</v>
          </cell>
        </row>
        <row r="9096">
          <cell r="A9096" t="str">
            <v>IT-DR-41</v>
          </cell>
          <cell r="E9096" t="str">
            <v>ACABADOS ALQUIDALICOS</v>
          </cell>
        </row>
        <row r="9097">
          <cell r="A9097" t="str">
            <v>IT-E29A-41</v>
          </cell>
          <cell r="E9097" t="str">
            <v>ACABADOS EPOXICOS</v>
          </cell>
        </row>
        <row r="9098">
          <cell r="A9098" t="str">
            <v>IT-E83-41</v>
          </cell>
          <cell r="E9098" t="str">
            <v>FONDOS ARQUITECTONICOS</v>
          </cell>
        </row>
        <row r="9099">
          <cell r="A9099" t="str">
            <v>IT-ES76-41</v>
          </cell>
          <cell r="E9099" t="str">
            <v>ESMALTE - COLOREX BASE AGUA</v>
          </cell>
        </row>
        <row r="9100">
          <cell r="A9100" t="str">
            <v>IT-ES76-43</v>
          </cell>
          <cell r="E9100" t="str">
            <v>ESMALTE - COLOREX BASE AGUA</v>
          </cell>
        </row>
        <row r="9101">
          <cell r="A9101" t="str">
            <v>IT-ES76-44</v>
          </cell>
          <cell r="E9101" t="str">
            <v>ESMALTE - COLOREX BASE AGUA</v>
          </cell>
        </row>
        <row r="9102">
          <cell r="A9102" t="str">
            <v>IT-ES76-51</v>
          </cell>
          <cell r="E9102" t="str">
            <v>ESMALTE - COLOREX BASE AGUA</v>
          </cell>
        </row>
        <row r="9103">
          <cell r="A9103" t="str">
            <v>IT-ES76-53</v>
          </cell>
          <cell r="E9103" t="str">
            <v>ESMALTE - COLOREX BASE AGUA</v>
          </cell>
        </row>
        <row r="9104">
          <cell r="A9104" t="str">
            <v>IT-ES76-71</v>
          </cell>
          <cell r="E9104" t="str">
            <v>ESMALTE - COLOREX BASE AGUA</v>
          </cell>
        </row>
        <row r="9105">
          <cell r="A9105" t="str">
            <v>IT-ES76-81</v>
          </cell>
          <cell r="E9105" t="str">
            <v>ESMALTE - COLOREX BASE AGUA</v>
          </cell>
        </row>
        <row r="9106">
          <cell r="A9106" t="str">
            <v>IT-ES76-83</v>
          </cell>
          <cell r="E9106" t="str">
            <v>ESMALTE - COLOREX BASE AGUA</v>
          </cell>
        </row>
        <row r="9107">
          <cell r="A9107" t="str">
            <v>IT-ES76-84</v>
          </cell>
          <cell r="E9107" t="str">
            <v>ESMALTE - COLOREX BASE AGUA</v>
          </cell>
        </row>
        <row r="9108">
          <cell r="A9108" t="str">
            <v>IT-M30-41</v>
          </cell>
          <cell r="E9108" t="str">
            <v>VINILICA - POLIPRISA</v>
          </cell>
        </row>
        <row r="9109">
          <cell r="A9109" t="str">
            <v>IT-M30-43</v>
          </cell>
          <cell r="E9109" t="str">
            <v>VINILICA - POLIPRISA</v>
          </cell>
        </row>
        <row r="9110">
          <cell r="A9110" t="str">
            <v>IT-M30-44</v>
          </cell>
          <cell r="E9110" t="str">
            <v>VINILICA - POLIPRISA</v>
          </cell>
        </row>
        <row r="9111">
          <cell r="A9111" t="str">
            <v>IT-M30-50</v>
          </cell>
          <cell r="E9111" t="str">
            <v>VINILICA - POLIPRISA</v>
          </cell>
        </row>
        <row r="9112">
          <cell r="A9112" t="str">
            <v>IT-M30-51</v>
          </cell>
          <cell r="E9112" t="str">
            <v>VINILICA - POLIPRISA</v>
          </cell>
        </row>
        <row r="9113">
          <cell r="A9113" t="str">
            <v>IT-M30-54</v>
          </cell>
          <cell r="E9113" t="str">
            <v>VINILICA - POLIPRISA</v>
          </cell>
        </row>
        <row r="9114">
          <cell r="A9114" t="str">
            <v>IT-M30-71</v>
          </cell>
          <cell r="E9114" t="str">
            <v>VINILICA - POLIPRISA</v>
          </cell>
        </row>
        <row r="9115">
          <cell r="A9115" t="str">
            <v>IT-M30-73</v>
          </cell>
          <cell r="E9115" t="str">
            <v>VINILICA - POLIPRISA</v>
          </cell>
        </row>
        <row r="9116">
          <cell r="A9116" t="str">
            <v>IT-M30-74</v>
          </cell>
          <cell r="E9116" t="str">
            <v>VINILICA - POLIPRISA</v>
          </cell>
        </row>
        <row r="9117">
          <cell r="A9117" t="str">
            <v>IT-M30-81</v>
          </cell>
          <cell r="E9117" t="str">
            <v>VINILICA - POLIPRISA</v>
          </cell>
        </row>
        <row r="9118">
          <cell r="A9118" t="str">
            <v>IT-M30-83</v>
          </cell>
          <cell r="E9118" t="str">
            <v>VINILICA - POLIPRISA</v>
          </cell>
        </row>
        <row r="9119">
          <cell r="A9119" t="str">
            <v>IT-M30-84</v>
          </cell>
          <cell r="E9119" t="str">
            <v>VINILICA - POLIPRISA</v>
          </cell>
        </row>
        <row r="9120">
          <cell r="A9120" t="str">
            <v>IT-P180-50</v>
          </cell>
          <cell r="E9120" t="str">
            <v>PRIMARIOS ESTRUCTURALES ALQUID</v>
          </cell>
        </row>
        <row r="9121">
          <cell r="A9121" t="str">
            <v>IT-PPS-41</v>
          </cell>
          <cell r="E9121" t="str">
            <v>VINILICA - POLIPRISA PREMIUM</v>
          </cell>
        </row>
        <row r="9122">
          <cell r="A9122" t="str">
            <v>IT-PPS-43</v>
          </cell>
          <cell r="E9122" t="str">
            <v>VINILICA - POLIPRISA PREMIUM</v>
          </cell>
        </row>
        <row r="9123">
          <cell r="A9123" t="str">
            <v>IT-PPS-51</v>
          </cell>
          <cell r="E9123" t="str">
            <v>VINILICA - POLIPRISA PREMIUM</v>
          </cell>
        </row>
        <row r="9124">
          <cell r="A9124" t="str">
            <v>IT-PPS-53</v>
          </cell>
          <cell r="E9124" t="str">
            <v>VINILICA - POLIPRISA PREMIUM</v>
          </cell>
        </row>
        <row r="9125">
          <cell r="A9125" t="str">
            <v>IT-PPS-71</v>
          </cell>
          <cell r="E9125" t="str">
            <v>VINILICA - POLIPRISA PREMIUM</v>
          </cell>
        </row>
        <row r="9126">
          <cell r="A9126" t="str">
            <v>IT-PPS-81</v>
          </cell>
          <cell r="E9126" t="str">
            <v>VINILICA - POLIPRISA PREMIUM</v>
          </cell>
        </row>
        <row r="9127">
          <cell r="A9127" t="str">
            <v>IT-PPS-83</v>
          </cell>
          <cell r="E9127" t="str">
            <v>VINILICA - POLIPRISA PREMIUM</v>
          </cell>
        </row>
        <row r="9128">
          <cell r="A9128" t="str">
            <v>IT-R32-40</v>
          </cell>
          <cell r="E9128" t="str">
            <v>VINILICA - RIVINOL 5</v>
          </cell>
        </row>
        <row r="9129">
          <cell r="A9129" t="str">
            <v>IT-R32-41</v>
          </cell>
          <cell r="E9129" t="str">
            <v>VINILICA - RIVINOL 5</v>
          </cell>
        </row>
        <row r="9130">
          <cell r="A9130" t="str">
            <v>IT-R32-43</v>
          </cell>
          <cell r="E9130" t="str">
            <v>VINILICA - RIVINOL 5</v>
          </cell>
        </row>
        <row r="9131">
          <cell r="A9131" t="str">
            <v>IT-R32-44</v>
          </cell>
          <cell r="E9131" t="str">
            <v>VINILICA - RIVINOL 5</v>
          </cell>
        </row>
        <row r="9132">
          <cell r="A9132" t="str">
            <v>IT-R32-51</v>
          </cell>
          <cell r="E9132" t="str">
            <v>VINILICA - RIVINOL 5</v>
          </cell>
        </row>
        <row r="9133">
          <cell r="A9133" t="str">
            <v>IT-R32-53</v>
          </cell>
          <cell r="E9133" t="str">
            <v>VINILICA - RIVINOL 5</v>
          </cell>
        </row>
        <row r="9134">
          <cell r="A9134" t="str">
            <v>IT-R32-54</v>
          </cell>
          <cell r="E9134" t="str">
            <v>VINILICA - RIVINOL 5</v>
          </cell>
        </row>
        <row r="9135">
          <cell r="A9135" t="str">
            <v>IT-R32-71</v>
          </cell>
          <cell r="E9135" t="str">
            <v>VINILICA - RIVINOL 5</v>
          </cell>
        </row>
        <row r="9136">
          <cell r="A9136" t="str">
            <v>IT-R32-73</v>
          </cell>
          <cell r="E9136" t="str">
            <v>VINILICA - RIVINOL 5</v>
          </cell>
        </row>
        <row r="9137">
          <cell r="A9137" t="str">
            <v>IT-R32-74</v>
          </cell>
          <cell r="E9137" t="str">
            <v>VINILICA - RIVINOL 5</v>
          </cell>
        </row>
        <row r="9138">
          <cell r="A9138" t="str">
            <v>IT-R32-80</v>
          </cell>
          <cell r="E9138" t="str">
            <v>VINILICA - RIVINOL 5</v>
          </cell>
        </row>
        <row r="9139">
          <cell r="A9139" t="str">
            <v>IT-R32-81</v>
          </cell>
          <cell r="E9139" t="str">
            <v>VINILICA - RIVINOL 5</v>
          </cell>
        </row>
        <row r="9140">
          <cell r="A9140" t="str">
            <v>IT-R32-83</v>
          </cell>
          <cell r="E9140" t="str">
            <v>VINILICA - RIVINOL 5</v>
          </cell>
        </row>
        <row r="9141">
          <cell r="A9141" t="str">
            <v>IT-R32-84</v>
          </cell>
          <cell r="E9141" t="str">
            <v>VINILICA - RIVINOL 5</v>
          </cell>
        </row>
        <row r="9142">
          <cell r="A9142" t="str">
            <v>IT-S32-40</v>
          </cell>
          <cell r="E9142" t="str">
            <v>VINILICA - RIVINOL  7 SATINADO</v>
          </cell>
        </row>
        <row r="9143">
          <cell r="A9143" t="str">
            <v>IT-S32-41</v>
          </cell>
          <cell r="E9143" t="str">
            <v>VINILICA - RIVINOL  7 SATINADO</v>
          </cell>
        </row>
        <row r="9144">
          <cell r="A9144" t="str">
            <v>IT-S32-43</v>
          </cell>
          <cell r="E9144" t="str">
            <v>VINILICA - RIVINOL  7 SATINADO</v>
          </cell>
        </row>
        <row r="9145">
          <cell r="A9145" t="str">
            <v>IT-S32-44</v>
          </cell>
          <cell r="E9145" t="str">
            <v>VINILICA - RIVINOL  7 SATINADO</v>
          </cell>
        </row>
        <row r="9146">
          <cell r="A9146" t="str">
            <v>IT-S32-51</v>
          </cell>
          <cell r="E9146" t="str">
            <v>VINILICA - RIVINOL  7 SATINADO</v>
          </cell>
        </row>
        <row r="9147">
          <cell r="A9147" t="str">
            <v>IT-S32-53</v>
          </cell>
          <cell r="E9147" t="str">
            <v>VINILICA - RIVINOL  7 SATINADO</v>
          </cell>
        </row>
        <row r="9148">
          <cell r="A9148" t="str">
            <v>IT-S32-71</v>
          </cell>
          <cell r="E9148" t="str">
            <v>VINILICA - RIVINOL  7 SATINADO</v>
          </cell>
        </row>
        <row r="9149">
          <cell r="A9149" t="str">
            <v>IT-S32-73</v>
          </cell>
          <cell r="E9149" t="str">
            <v>VINILICA - RIVINOL  7 SATINADO</v>
          </cell>
        </row>
        <row r="9150">
          <cell r="A9150" t="str">
            <v>IT-S32-81</v>
          </cell>
          <cell r="E9150" t="str">
            <v>VINILICA - RIVINOL  7 SATINADO</v>
          </cell>
        </row>
        <row r="9151">
          <cell r="A9151" t="str">
            <v>IT-VIM-41</v>
          </cell>
          <cell r="E9151" t="str">
            <v>VINILICA - OTRAS</v>
          </cell>
        </row>
        <row r="9152">
          <cell r="A9152" t="str">
            <v>IT-VIM-51</v>
          </cell>
          <cell r="E9152" t="str">
            <v>VINILICA - OTRAS</v>
          </cell>
        </row>
        <row r="9153">
          <cell r="A9153" t="str">
            <v>IT-VIM-71</v>
          </cell>
          <cell r="E9153" t="str">
            <v>VINILICA - OTRAS</v>
          </cell>
        </row>
        <row r="9154">
          <cell r="A9154" t="str">
            <v>K29501*****</v>
          </cell>
          <cell r="E9154" t="str">
            <v>ESTETICA AUTOMOTRIZ</v>
          </cell>
        </row>
        <row r="9155">
          <cell r="A9155" t="str">
            <v>KES-63051******</v>
          </cell>
          <cell r="E9155" t="str">
            <v>ACABADOS EPOXICOS</v>
          </cell>
        </row>
        <row r="9156">
          <cell r="A9156" t="str">
            <v>KES-63061******</v>
          </cell>
          <cell r="E9156" t="str">
            <v>ACABADOS EPOXICOS</v>
          </cell>
        </row>
        <row r="9157">
          <cell r="A9157" t="str">
            <v>LE-05111</v>
          </cell>
          <cell r="E9157" t="str">
            <v>PINTURA PARA TRAFICO</v>
          </cell>
        </row>
        <row r="9158">
          <cell r="A9158" t="str">
            <v>LE-10991</v>
          </cell>
          <cell r="E9158" t="str">
            <v>ESMALTE - KITOX</v>
          </cell>
        </row>
        <row r="9159">
          <cell r="A9159" t="str">
            <v>LE-11841</v>
          </cell>
          <cell r="E9159" t="str">
            <v>VINILICA - MAXIPRISA</v>
          </cell>
        </row>
        <row r="9160">
          <cell r="A9160" t="str">
            <v>LE-12571</v>
          </cell>
          <cell r="E9160" t="str">
            <v>VINILICA - VINIBAR</v>
          </cell>
        </row>
        <row r="9161">
          <cell r="A9161" t="str">
            <v>LE-12591</v>
          </cell>
          <cell r="E9161" t="str">
            <v>VINILICA - PINTAVIN</v>
          </cell>
        </row>
        <row r="9162">
          <cell r="A9162" t="str">
            <v>LE-12661</v>
          </cell>
          <cell r="E9162" t="str">
            <v>VINILICA - RIVINOL</v>
          </cell>
        </row>
        <row r="9163">
          <cell r="A9163" t="str">
            <v>LE-12871</v>
          </cell>
          <cell r="E9163" t="str">
            <v>VINILICA - MAXIPRISA</v>
          </cell>
        </row>
        <row r="9164">
          <cell r="A9164" t="str">
            <v>LE-12881</v>
          </cell>
          <cell r="E9164" t="str">
            <v>VINILICA LICITACIONES</v>
          </cell>
        </row>
        <row r="9165">
          <cell r="A9165" t="str">
            <v>LE-13291</v>
          </cell>
          <cell r="E9165" t="str">
            <v>VINILICA - PRISASPORT</v>
          </cell>
        </row>
        <row r="9166">
          <cell r="A9166" t="str">
            <v>LE-13471</v>
          </cell>
          <cell r="E9166" t="str">
            <v>ESMALTE LICITACIONES</v>
          </cell>
        </row>
        <row r="9167">
          <cell r="A9167" t="str">
            <v>LE-14361</v>
          </cell>
          <cell r="E9167" t="str">
            <v>VINILICA - MAXIPRISA</v>
          </cell>
        </row>
        <row r="9168">
          <cell r="A9168" t="str">
            <v>LE-14421</v>
          </cell>
          <cell r="E9168" t="str">
            <v>VINILICA - PINTAVIN</v>
          </cell>
        </row>
        <row r="9169">
          <cell r="A9169" t="str">
            <v>LE-14431</v>
          </cell>
          <cell r="E9169" t="str">
            <v>VINILICA - PINTAVIN</v>
          </cell>
        </row>
        <row r="9170">
          <cell r="A9170" t="str">
            <v>LE-14441</v>
          </cell>
          <cell r="E9170" t="str">
            <v>ESMALTE - KITOX</v>
          </cell>
        </row>
        <row r="9171">
          <cell r="A9171" t="str">
            <v>LE-14450</v>
          </cell>
          <cell r="E9171" t="str">
            <v>VINILICA - RIVINOL</v>
          </cell>
        </row>
        <row r="9172">
          <cell r="A9172" t="str">
            <v>LE-14461</v>
          </cell>
          <cell r="E9172" t="str">
            <v>VINILICA - RIVINOL</v>
          </cell>
        </row>
        <row r="9173">
          <cell r="A9173" t="str">
            <v>LE-14471</v>
          </cell>
          <cell r="E9173" t="str">
            <v>ESMALTE - MILCO</v>
          </cell>
        </row>
        <row r="9174">
          <cell r="A9174" t="str">
            <v>LE-14481</v>
          </cell>
          <cell r="E9174" t="str">
            <v>ESMALTE - MILCO</v>
          </cell>
        </row>
        <row r="9175">
          <cell r="A9175" t="str">
            <v>LE-14491</v>
          </cell>
          <cell r="E9175" t="str">
            <v>ESMALTE - MILCO</v>
          </cell>
        </row>
        <row r="9176">
          <cell r="A9176" t="str">
            <v>LE-14501</v>
          </cell>
          <cell r="E9176" t="str">
            <v>ESMALTE - MILCO</v>
          </cell>
        </row>
        <row r="9177">
          <cell r="A9177" t="str">
            <v>LE-14511</v>
          </cell>
          <cell r="E9177" t="str">
            <v>VINILICA - POLIPRISA</v>
          </cell>
        </row>
        <row r="9178">
          <cell r="A9178" t="str">
            <v>LE-14521</v>
          </cell>
          <cell r="E9178" t="str">
            <v>VINILICA - POLIPRISA</v>
          </cell>
        </row>
        <row r="9179">
          <cell r="A9179" t="str">
            <v>LE-14531</v>
          </cell>
          <cell r="E9179" t="str">
            <v>VINILICA - POLIPRISA</v>
          </cell>
        </row>
        <row r="9180">
          <cell r="A9180" t="str">
            <v>LE-14541</v>
          </cell>
          <cell r="E9180" t="str">
            <v>ESMALTE - MILCO</v>
          </cell>
        </row>
        <row r="9181">
          <cell r="A9181" t="str">
            <v>LE-14551</v>
          </cell>
          <cell r="E9181" t="str">
            <v>VINILICA - POLIPRISA</v>
          </cell>
        </row>
        <row r="9182">
          <cell r="A9182" t="str">
            <v>LE-14561</v>
          </cell>
          <cell r="E9182" t="str">
            <v>ESM SECADO RAPIDO BASE SOLVENT</v>
          </cell>
        </row>
        <row r="9183">
          <cell r="A9183" t="str">
            <v>LE-14571</v>
          </cell>
          <cell r="E9183" t="str">
            <v>ESM SECADO RAPIDO BASE SOLVENT</v>
          </cell>
        </row>
        <row r="9184">
          <cell r="A9184" t="str">
            <v>LE-14581</v>
          </cell>
          <cell r="E9184" t="str">
            <v>ESM SECADO RAPIDO BASE SOLVENT</v>
          </cell>
        </row>
        <row r="9185">
          <cell r="A9185" t="str">
            <v>LE-14591</v>
          </cell>
          <cell r="E9185" t="str">
            <v>ESM SECADO RAPIDO BASE SOLVENT</v>
          </cell>
        </row>
        <row r="9186">
          <cell r="A9186" t="str">
            <v>LE-14601</v>
          </cell>
          <cell r="E9186" t="str">
            <v>ESM SECADO RAPIDO BASE SOLVENT</v>
          </cell>
        </row>
        <row r="9187">
          <cell r="A9187" t="str">
            <v>LE-14611</v>
          </cell>
          <cell r="E9187" t="str">
            <v>ESM SECADO RAPIDO BASE SOLVENT</v>
          </cell>
        </row>
        <row r="9188">
          <cell r="A9188" t="str">
            <v>LE-14621</v>
          </cell>
          <cell r="E9188" t="str">
            <v>ESM SECADO RAPIDO BASE SOLVENT</v>
          </cell>
        </row>
        <row r="9189">
          <cell r="A9189" t="str">
            <v>LE-14631</v>
          </cell>
          <cell r="E9189" t="str">
            <v>ESM SECADO RAPIDO BASE SOLVENT</v>
          </cell>
        </row>
        <row r="9190">
          <cell r="A9190" t="str">
            <v>LE-14641</v>
          </cell>
          <cell r="E9190" t="str">
            <v>ESM SECADO RAPIDO BASE SOLVENT</v>
          </cell>
        </row>
        <row r="9191">
          <cell r="A9191" t="str">
            <v>LE-14651</v>
          </cell>
          <cell r="E9191" t="str">
            <v>ESM SECADO RAPIDO BASE SOLVENT</v>
          </cell>
        </row>
        <row r="9192">
          <cell r="A9192" t="str">
            <v>LE-14661</v>
          </cell>
          <cell r="E9192" t="str">
            <v>ESM SECADO RAPIDO BASE SOLVENT</v>
          </cell>
        </row>
        <row r="9193">
          <cell r="A9193" t="str">
            <v>LE-14671</v>
          </cell>
          <cell r="E9193" t="str">
            <v>ESM SECADO RAPIDO BASE SOLVENT</v>
          </cell>
        </row>
        <row r="9194">
          <cell r="A9194" t="str">
            <v>LE-14681</v>
          </cell>
          <cell r="E9194" t="str">
            <v>ESM SECADO RAPIDO BASE SOLVENT</v>
          </cell>
        </row>
        <row r="9195">
          <cell r="A9195" t="str">
            <v>LE-14691</v>
          </cell>
          <cell r="E9195" t="str">
            <v>VINILICA LICITACIONES</v>
          </cell>
        </row>
        <row r="9196">
          <cell r="A9196" t="str">
            <v>LE-14701</v>
          </cell>
          <cell r="E9196" t="str">
            <v>VINILICA LICITACIONES</v>
          </cell>
        </row>
        <row r="9197">
          <cell r="A9197" t="str">
            <v>LE-14711</v>
          </cell>
          <cell r="E9197" t="str">
            <v>VINILICA LICITACIONES</v>
          </cell>
        </row>
        <row r="9198">
          <cell r="A9198" t="str">
            <v>LE-14721</v>
          </cell>
          <cell r="E9198" t="str">
            <v>VINILICA - PINTAVIN</v>
          </cell>
        </row>
        <row r="9199">
          <cell r="A9199" t="str">
            <v>LE-14731</v>
          </cell>
          <cell r="E9199" t="str">
            <v>VINILICA LICITACIONES</v>
          </cell>
        </row>
        <row r="9200">
          <cell r="A9200" t="str">
            <v>LE-14741</v>
          </cell>
          <cell r="E9200" t="str">
            <v>VINILICA LICITACIONES</v>
          </cell>
        </row>
        <row r="9201">
          <cell r="A9201" t="str">
            <v>LE-14751</v>
          </cell>
          <cell r="E9201" t="str">
            <v>VINILICA LICITACIONES</v>
          </cell>
        </row>
        <row r="9202">
          <cell r="A9202" t="str">
            <v>LE-14761</v>
          </cell>
          <cell r="E9202" t="str">
            <v>VINILICA - PINTAVIN</v>
          </cell>
        </row>
        <row r="9203">
          <cell r="A9203" t="str">
            <v>LE-14771</v>
          </cell>
          <cell r="E9203" t="str">
            <v>VINILICA - PINTAVIN</v>
          </cell>
        </row>
        <row r="9204">
          <cell r="A9204" t="str">
            <v>LE-14781</v>
          </cell>
          <cell r="E9204" t="str">
            <v>VINILICA - PINTAVIN</v>
          </cell>
        </row>
        <row r="9205">
          <cell r="A9205" t="str">
            <v>LE-14791</v>
          </cell>
          <cell r="E9205" t="str">
            <v>VINILICA LICITACIONES</v>
          </cell>
        </row>
        <row r="9206">
          <cell r="A9206" t="str">
            <v>LE-14801</v>
          </cell>
          <cell r="E9206" t="str">
            <v>VINILICA - PINTAVIN</v>
          </cell>
        </row>
        <row r="9207">
          <cell r="A9207" t="str">
            <v>LE-14811</v>
          </cell>
          <cell r="E9207" t="str">
            <v>VINILICA - PINTAVIN</v>
          </cell>
        </row>
        <row r="9208">
          <cell r="A9208" t="str">
            <v>LE-14820</v>
          </cell>
          <cell r="E9208" t="str">
            <v>ESM SECADO RAPIDO BASE SOLVENT</v>
          </cell>
        </row>
        <row r="9209">
          <cell r="A9209" t="str">
            <v>LE-15051</v>
          </cell>
          <cell r="E9209" t="str">
            <v>ESMALTE - KITOX</v>
          </cell>
        </row>
        <row r="9210">
          <cell r="A9210" t="str">
            <v>LE-15061</v>
          </cell>
          <cell r="E9210" t="str">
            <v>VINILICA - POLIPRISA</v>
          </cell>
        </row>
        <row r="9211">
          <cell r="A9211" t="str">
            <v>LE-15071</v>
          </cell>
          <cell r="E9211" t="str">
            <v>VINILICA - POLIPRISA</v>
          </cell>
        </row>
        <row r="9212">
          <cell r="A9212" t="str">
            <v>LE-15081</v>
          </cell>
          <cell r="E9212" t="str">
            <v>VINILICA - PINTAVIN</v>
          </cell>
        </row>
        <row r="9213">
          <cell r="A9213" t="str">
            <v>LE-15221</v>
          </cell>
          <cell r="E9213" t="str">
            <v>ESMALTE - KITOX</v>
          </cell>
        </row>
        <row r="9214">
          <cell r="A9214" t="str">
            <v>LE-15224</v>
          </cell>
          <cell r="E9214" t="str">
            <v>ESMALTE - KITOX</v>
          </cell>
        </row>
        <row r="9215">
          <cell r="A9215" t="str">
            <v>LE-15231</v>
          </cell>
          <cell r="E9215" t="str">
            <v>ESMALTE - KITOX</v>
          </cell>
        </row>
        <row r="9216">
          <cell r="A9216" t="str">
            <v>LE-15234</v>
          </cell>
          <cell r="E9216" t="str">
            <v>ESMALTE - KITOX</v>
          </cell>
        </row>
        <row r="9217">
          <cell r="A9217" t="str">
            <v>LE-15241</v>
          </cell>
          <cell r="E9217" t="str">
            <v>PINTURA PARA ALBERCAS</v>
          </cell>
        </row>
        <row r="9218">
          <cell r="A9218" t="str">
            <v>LE-15351</v>
          </cell>
          <cell r="E9218" t="str">
            <v>ESMALTE - KITOX</v>
          </cell>
        </row>
        <row r="9219">
          <cell r="A9219" t="str">
            <v>LE-15384</v>
          </cell>
          <cell r="E9219" t="str">
            <v>ESMALTE - KITOX</v>
          </cell>
        </row>
        <row r="9220">
          <cell r="A9220" t="str">
            <v>LE-15394</v>
          </cell>
          <cell r="E9220" t="str">
            <v>ESMALTE - KITOX</v>
          </cell>
        </row>
        <row r="9221">
          <cell r="A9221" t="str">
            <v>LE-15401</v>
          </cell>
          <cell r="E9221" t="str">
            <v>ESMALTE - KITOX</v>
          </cell>
        </row>
        <row r="9222">
          <cell r="A9222" t="str">
            <v>LE-15411</v>
          </cell>
          <cell r="E9222" t="str">
            <v>ESMALTE - KITOX</v>
          </cell>
        </row>
        <row r="9223">
          <cell r="A9223" t="str">
            <v>LE-15421</v>
          </cell>
          <cell r="E9223" t="str">
            <v>VINILICA - PINTAVIN</v>
          </cell>
        </row>
        <row r="9224">
          <cell r="A9224" t="str">
            <v>LE-15471</v>
          </cell>
          <cell r="E9224" t="str">
            <v>ESM SECADO RAPIDO BASE SOLVENT</v>
          </cell>
        </row>
        <row r="9225">
          <cell r="A9225" t="str">
            <v>LE-15480</v>
          </cell>
          <cell r="E9225" t="str">
            <v>VINILICA - RIVINOL</v>
          </cell>
        </row>
        <row r="9226">
          <cell r="A9226" t="str">
            <v>LE-15490</v>
          </cell>
          <cell r="E9226" t="str">
            <v>VINILICA - RIVINOL</v>
          </cell>
        </row>
        <row r="9227">
          <cell r="A9227" t="str">
            <v>LE-15500</v>
          </cell>
          <cell r="E9227" t="str">
            <v>VINILICA - RIVINOL</v>
          </cell>
        </row>
        <row r="9228">
          <cell r="A9228" t="str">
            <v>LE-15510</v>
          </cell>
          <cell r="E9228" t="str">
            <v>VINILICA - RIVINOL</v>
          </cell>
        </row>
        <row r="9229">
          <cell r="A9229" t="str">
            <v>LE-15520</v>
          </cell>
          <cell r="E9229" t="str">
            <v>VINILICA - RIVINOL</v>
          </cell>
        </row>
        <row r="9230">
          <cell r="A9230" t="str">
            <v>LE-15530</v>
          </cell>
          <cell r="E9230" t="str">
            <v>VINILICA - RIVINOL</v>
          </cell>
        </row>
        <row r="9231">
          <cell r="A9231" t="str">
            <v>LE-15540</v>
          </cell>
          <cell r="E9231" t="str">
            <v>VINILICA - RIVINOL</v>
          </cell>
        </row>
        <row r="9232">
          <cell r="A9232" t="str">
            <v>LE-15550</v>
          </cell>
          <cell r="E9232" t="str">
            <v>VINILICA - RIVINOL</v>
          </cell>
        </row>
        <row r="9233">
          <cell r="A9233" t="str">
            <v>LE-15560</v>
          </cell>
          <cell r="E9233" t="str">
            <v>VINILICA - RIVINOL</v>
          </cell>
        </row>
        <row r="9234">
          <cell r="A9234" t="str">
            <v>LE-15570</v>
          </cell>
          <cell r="E9234" t="str">
            <v>VINILICA - RIVINOL</v>
          </cell>
        </row>
        <row r="9235">
          <cell r="A9235" t="str">
            <v>LE-15580</v>
          </cell>
          <cell r="E9235" t="str">
            <v>VINILICA - RIVINOL</v>
          </cell>
        </row>
        <row r="9236">
          <cell r="A9236" t="str">
            <v>LE-15590</v>
          </cell>
          <cell r="E9236" t="str">
            <v>VINILICA - RIVINOL</v>
          </cell>
        </row>
        <row r="9237">
          <cell r="A9237" t="str">
            <v>LE-15600</v>
          </cell>
          <cell r="E9237" t="str">
            <v>VINILICA - RIVINOL</v>
          </cell>
        </row>
        <row r="9238">
          <cell r="A9238" t="str">
            <v>LE-15610</v>
          </cell>
          <cell r="E9238" t="str">
            <v>VINILICA - RIVINOL</v>
          </cell>
        </row>
        <row r="9239">
          <cell r="A9239" t="str">
            <v>LE-15620</v>
          </cell>
          <cell r="E9239" t="str">
            <v>VINILICA - RIVINOL</v>
          </cell>
        </row>
        <row r="9240">
          <cell r="A9240" t="str">
            <v>LE-15630</v>
          </cell>
          <cell r="E9240" t="str">
            <v>VINILICA - RIVINOL</v>
          </cell>
        </row>
        <row r="9241">
          <cell r="A9241" t="str">
            <v>LE-15640</v>
          </cell>
          <cell r="E9241" t="str">
            <v>VINILICA - RIVINOL</v>
          </cell>
        </row>
        <row r="9242">
          <cell r="A9242" t="str">
            <v>LE-15650</v>
          </cell>
          <cell r="E9242" t="str">
            <v>VINILICA - RIVINOL</v>
          </cell>
        </row>
        <row r="9243">
          <cell r="A9243" t="str">
            <v>LE-15661</v>
          </cell>
          <cell r="E9243" t="str">
            <v>VINILICA - POLIPRISA</v>
          </cell>
        </row>
        <row r="9244">
          <cell r="A9244" t="str">
            <v>LE-15671</v>
          </cell>
          <cell r="E9244" t="str">
            <v>VINILICA - POLIPRISA</v>
          </cell>
        </row>
        <row r="9245">
          <cell r="A9245" t="str">
            <v>LE-15681</v>
          </cell>
          <cell r="E9245" t="str">
            <v>ESM SECADO RAPIDO BASE SOLVENT</v>
          </cell>
        </row>
        <row r="9246">
          <cell r="A9246" t="str">
            <v>LE-15691</v>
          </cell>
          <cell r="E9246" t="str">
            <v>ESM SECADO RAPIDO BASE SOLVENT</v>
          </cell>
        </row>
        <row r="9247">
          <cell r="A9247" t="str">
            <v>LE-15700</v>
          </cell>
          <cell r="E9247" t="str">
            <v>ESM SECADO RAPIDO BASE SOLVENT</v>
          </cell>
        </row>
        <row r="9248">
          <cell r="A9248" t="str">
            <v>LE-15710</v>
          </cell>
          <cell r="E9248" t="str">
            <v>VINILICA - RIVINOL 5</v>
          </cell>
        </row>
        <row r="9249">
          <cell r="A9249" t="str">
            <v>LE-15720</v>
          </cell>
          <cell r="E9249" t="str">
            <v>VINILICA - RIVINOL 5</v>
          </cell>
        </row>
        <row r="9250">
          <cell r="A9250" t="str">
            <v>LE-15730</v>
          </cell>
          <cell r="E9250" t="str">
            <v>VINILICA - RIVINOL 5</v>
          </cell>
        </row>
        <row r="9251">
          <cell r="A9251" t="str">
            <v>LE-15740</v>
          </cell>
          <cell r="E9251" t="str">
            <v>VINILICA - RIVINOL 5</v>
          </cell>
        </row>
        <row r="9252">
          <cell r="A9252" t="str">
            <v>LE-15750</v>
          </cell>
          <cell r="E9252" t="str">
            <v>VINILICA - RIVINOL 5</v>
          </cell>
        </row>
        <row r="9253">
          <cell r="A9253" t="str">
            <v>LE-15761</v>
          </cell>
          <cell r="E9253" t="str">
            <v>ESMALTE - KITOX</v>
          </cell>
        </row>
        <row r="9254">
          <cell r="A9254" t="str">
            <v>LE-15770</v>
          </cell>
          <cell r="E9254" t="str">
            <v>VINILICA - RIVINOL 5</v>
          </cell>
        </row>
        <row r="9255">
          <cell r="A9255" t="str">
            <v>LE-15771</v>
          </cell>
          <cell r="E9255" t="str">
            <v>VINILICA - RIVINOL 5</v>
          </cell>
        </row>
        <row r="9256">
          <cell r="A9256" t="str">
            <v>LE-15781</v>
          </cell>
          <cell r="E9256" t="str">
            <v>VINILICA - RIVINOL 5</v>
          </cell>
        </row>
        <row r="9257">
          <cell r="A9257" t="str">
            <v>LE-15791</v>
          </cell>
          <cell r="E9257" t="str">
            <v>ESMALTE - MILCO</v>
          </cell>
        </row>
        <row r="9258">
          <cell r="A9258" t="str">
            <v>LE-15801</v>
          </cell>
          <cell r="E9258" t="str">
            <v>ESMALTE - MILCO</v>
          </cell>
        </row>
        <row r="9259">
          <cell r="A9259" t="str">
            <v>LE-15811</v>
          </cell>
          <cell r="E9259" t="str">
            <v>VINILICA - RIVINOL 5</v>
          </cell>
        </row>
        <row r="9260">
          <cell r="A9260" t="str">
            <v>LE-15821</v>
          </cell>
          <cell r="E9260" t="str">
            <v>VINILICA - RIVINOL</v>
          </cell>
        </row>
        <row r="9261">
          <cell r="A9261" t="str">
            <v>LE-15823</v>
          </cell>
          <cell r="E9261" t="str">
            <v>VINILICA - RIVINOL</v>
          </cell>
        </row>
        <row r="9262">
          <cell r="A9262" t="str">
            <v>LE-15824</v>
          </cell>
          <cell r="E9262" t="str">
            <v>VINILICA - RIVINOL</v>
          </cell>
        </row>
        <row r="9263">
          <cell r="A9263" t="str">
            <v>LE-15831</v>
          </cell>
          <cell r="E9263" t="str">
            <v>VINILICA - RIVINOL</v>
          </cell>
        </row>
        <row r="9264">
          <cell r="A9264" t="str">
            <v>LE-15833</v>
          </cell>
          <cell r="E9264" t="str">
            <v>VINILICA - RIVINOL</v>
          </cell>
        </row>
        <row r="9265">
          <cell r="A9265" t="str">
            <v>LE-15834</v>
          </cell>
          <cell r="E9265" t="str">
            <v>VINILICA - RIVINOL</v>
          </cell>
        </row>
        <row r="9266">
          <cell r="A9266" t="str">
            <v>LE-15850</v>
          </cell>
          <cell r="E9266" t="str">
            <v>VINILICA - RIVINOL</v>
          </cell>
        </row>
        <row r="9267">
          <cell r="A9267" t="str">
            <v>LE-15860</v>
          </cell>
          <cell r="E9267" t="str">
            <v>ESM SECADO RAPIDO BASE SOLVENT</v>
          </cell>
        </row>
        <row r="9268">
          <cell r="A9268" t="str">
            <v>LE-15871</v>
          </cell>
          <cell r="E9268" t="str">
            <v>VINILICA - RIVINOL</v>
          </cell>
        </row>
        <row r="9269">
          <cell r="A9269" t="str">
            <v>LE-15881</v>
          </cell>
          <cell r="E9269" t="str">
            <v>VINILICA - PINTAVIN</v>
          </cell>
        </row>
        <row r="9270">
          <cell r="A9270" t="str">
            <v>LE-15891</v>
          </cell>
          <cell r="E9270" t="str">
            <v>VINILICA - RIVINOL</v>
          </cell>
        </row>
        <row r="9271">
          <cell r="A9271" t="str">
            <v>LE-15901</v>
          </cell>
          <cell r="E9271" t="str">
            <v>VINILICA - PINTAVIN</v>
          </cell>
        </row>
        <row r="9272">
          <cell r="A9272" t="str">
            <v>LE-15911</v>
          </cell>
          <cell r="E9272" t="str">
            <v>ESMALTE - KITOX</v>
          </cell>
        </row>
        <row r="9273">
          <cell r="A9273" t="str">
            <v>LE-15921</v>
          </cell>
          <cell r="E9273" t="str">
            <v>ESMALTE - KITOX</v>
          </cell>
        </row>
        <row r="9274">
          <cell r="A9274" t="str">
            <v>LE-15931</v>
          </cell>
          <cell r="E9274" t="str">
            <v>ESMALTE - KITOX</v>
          </cell>
        </row>
        <row r="9275">
          <cell r="A9275" t="str">
            <v>LE-15941</v>
          </cell>
          <cell r="E9275" t="str">
            <v>VINILICA - PINTAVIN</v>
          </cell>
        </row>
        <row r="9276">
          <cell r="A9276" t="str">
            <v>LE-15951</v>
          </cell>
          <cell r="E9276" t="str">
            <v>ESMALTE - KITOX</v>
          </cell>
        </row>
        <row r="9277">
          <cell r="A9277" t="str">
            <v>LE-15960</v>
          </cell>
          <cell r="E9277" t="str">
            <v>ESM SECADO RAPIDO BASE SOLVENT</v>
          </cell>
        </row>
        <row r="9278">
          <cell r="A9278" t="str">
            <v>LE-15970</v>
          </cell>
          <cell r="E9278" t="str">
            <v>ESM SECADO RAPIDO BASE SOLVENT</v>
          </cell>
        </row>
        <row r="9279">
          <cell r="A9279" t="str">
            <v>LE-15980</v>
          </cell>
          <cell r="E9279" t="str">
            <v>ESM SECADO RAPIDO BASE SOLVENT</v>
          </cell>
        </row>
        <row r="9280">
          <cell r="A9280" t="str">
            <v>LE-16011</v>
          </cell>
          <cell r="E9280" t="str">
            <v>VINILICA - RIVINOL</v>
          </cell>
        </row>
        <row r="9281">
          <cell r="A9281" t="str">
            <v>LE-16121</v>
          </cell>
          <cell r="E9281" t="str">
            <v>ESM SECADO RAPIDO BASE SOLVENT</v>
          </cell>
        </row>
        <row r="9282">
          <cell r="A9282" t="str">
            <v>LE-16131</v>
          </cell>
          <cell r="E9282" t="str">
            <v>ESMALTE - KITOX</v>
          </cell>
        </row>
        <row r="9283">
          <cell r="A9283" t="str">
            <v>LE-16141</v>
          </cell>
          <cell r="E9283" t="str">
            <v>ESMALTE - KITOX</v>
          </cell>
        </row>
        <row r="9284">
          <cell r="A9284" t="str">
            <v>LE-16150</v>
          </cell>
          <cell r="E9284" t="str">
            <v>VINILICA - RIVINOL  7 SATINADO</v>
          </cell>
        </row>
        <row r="9285">
          <cell r="A9285" t="str">
            <v>LE-16160</v>
          </cell>
          <cell r="E9285" t="str">
            <v>VINILICA - RIVINOL  7 SATINADO</v>
          </cell>
        </row>
        <row r="9286">
          <cell r="A9286" t="str">
            <v>LE-16170</v>
          </cell>
          <cell r="E9286" t="str">
            <v>VINILICA - RIVINOL  7 SATINADO</v>
          </cell>
        </row>
        <row r="9287">
          <cell r="A9287" t="str">
            <v>LE-16180</v>
          </cell>
          <cell r="E9287" t="str">
            <v>VINILICA - RIVINOL  7 SATINADO</v>
          </cell>
        </row>
        <row r="9288">
          <cell r="A9288" t="str">
            <v>LE-16281</v>
          </cell>
          <cell r="E9288" t="str">
            <v>ESMALTE - COLOREX</v>
          </cell>
        </row>
        <row r="9289">
          <cell r="A9289" t="str">
            <v>LE-16291</v>
          </cell>
          <cell r="E9289" t="str">
            <v>VINILICA - PRISASPORT</v>
          </cell>
        </row>
        <row r="9290">
          <cell r="A9290" t="str">
            <v>LE-16370</v>
          </cell>
          <cell r="E9290" t="str">
            <v>VINILICA - RIVINOL</v>
          </cell>
        </row>
        <row r="9291">
          <cell r="A9291" t="str">
            <v>LE-16381</v>
          </cell>
          <cell r="E9291" t="str">
            <v>IMPERM - PARAGUAS 5 AÑOS FIBRA</v>
          </cell>
        </row>
        <row r="9292">
          <cell r="A9292" t="str">
            <v>LE-16391</v>
          </cell>
          <cell r="E9292" t="str">
            <v>VINILICA - RIVINOL  7 SATINADO</v>
          </cell>
        </row>
        <row r="9293">
          <cell r="A9293" t="str">
            <v>LE-16401</v>
          </cell>
          <cell r="E9293" t="str">
            <v>VINILICA - RIVINOL  7 SATINADO</v>
          </cell>
        </row>
        <row r="9294">
          <cell r="A9294" t="str">
            <v>LE-16411</v>
          </cell>
          <cell r="E9294" t="str">
            <v>VINILICA - RIVINOL  7 SATINADO</v>
          </cell>
        </row>
        <row r="9295">
          <cell r="A9295" t="str">
            <v>LE-16441</v>
          </cell>
          <cell r="E9295" t="str">
            <v>ESMALTE - KITOX</v>
          </cell>
        </row>
        <row r="9296">
          <cell r="A9296" t="str">
            <v>LE-16521</v>
          </cell>
          <cell r="E9296" t="str">
            <v>VINILICA - PRISASPORT</v>
          </cell>
        </row>
        <row r="9297">
          <cell r="A9297" t="str">
            <v>LE-16531</v>
          </cell>
          <cell r="E9297" t="str">
            <v>VINILICA - PRISASPORT</v>
          </cell>
        </row>
        <row r="9298">
          <cell r="A9298" t="str">
            <v>LE-16541</v>
          </cell>
          <cell r="E9298" t="str">
            <v>VINILICA - PRISASPORT</v>
          </cell>
        </row>
        <row r="9299">
          <cell r="A9299" t="str">
            <v>LE-16551</v>
          </cell>
          <cell r="E9299" t="str">
            <v>VINILICA - PRISASPORT</v>
          </cell>
        </row>
        <row r="9300">
          <cell r="A9300" t="str">
            <v>LE-16561</v>
          </cell>
          <cell r="E9300" t="str">
            <v>VINILICA - PRISASPORT</v>
          </cell>
        </row>
        <row r="9301">
          <cell r="A9301" t="str">
            <v>LE-16571</v>
          </cell>
          <cell r="E9301" t="str">
            <v>VINILICA - RIVINOL  7 SATINADO</v>
          </cell>
        </row>
        <row r="9302">
          <cell r="A9302" t="str">
            <v>LE-16581</v>
          </cell>
          <cell r="E9302" t="str">
            <v>VINILICA - RIVINOL  7 SATINADO</v>
          </cell>
        </row>
        <row r="9303">
          <cell r="A9303" t="str">
            <v>LE-16591</v>
          </cell>
          <cell r="E9303" t="str">
            <v>VINILICA - RIVINOL  7 SATINADO</v>
          </cell>
        </row>
        <row r="9304">
          <cell r="A9304" t="str">
            <v>LE-16601</v>
          </cell>
          <cell r="E9304" t="str">
            <v>VINILICA - RIVINOL  7 SATINADO</v>
          </cell>
        </row>
        <row r="9305">
          <cell r="A9305" t="str">
            <v>LP-75421</v>
          </cell>
          <cell r="E9305" t="str">
            <v>SELLADORES DE NITROCELULOSA</v>
          </cell>
        </row>
        <row r="9306">
          <cell r="A9306" t="str">
            <v>LP-E-69581</v>
          </cell>
          <cell r="E9306" t="str">
            <v>FONDO POLIACRILICO Y POLIESTER</v>
          </cell>
        </row>
        <row r="9307">
          <cell r="A9307" t="str">
            <v>LP-E-72280</v>
          </cell>
          <cell r="E9307" t="str">
            <v>FONDO POLIACRILICO Y POLIESTER</v>
          </cell>
        </row>
        <row r="9308">
          <cell r="A9308" t="str">
            <v>M-30151</v>
          </cell>
          <cell r="E9308" t="str">
            <v>VINILICA - POLIPRISA</v>
          </cell>
        </row>
        <row r="9309">
          <cell r="A9309" t="str">
            <v>M-30153</v>
          </cell>
          <cell r="E9309" t="str">
            <v>VINILICA - POLIPRISA</v>
          </cell>
        </row>
        <row r="9310">
          <cell r="A9310" t="str">
            <v>M-30154</v>
          </cell>
          <cell r="E9310" t="str">
            <v>VINILICA - POLIPRISA</v>
          </cell>
        </row>
        <row r="9311">
          <cell r="A9311" t="str">
            <v>M-30161</v>
          </cell>
          <cell r="E9311" t="str">
            <v>VINILICA - POLIPRISA</v>
          </cell>
        </row>
        <row r="9312">
          <cell r="A9312" t="str">
            <v>M-30163</v>
          </cell>
          <cell r="E9312" t="str">
            <v>VINILICA - POLIPRISA</v>
          </cell>
        </row>
        <row r="9313">
          <cell r="A9313" t="str">
            <v>M-30351</v>
          </cell>
          <cell r="E9313" t="str">
            <v>VINILICA - POLIPRISA</v>
          </cell>
        </row>
        <row r="9314">
          <cell r="A9314" t="str">
            <v>M-30353</v>
          </cell>
          <cell r="E9314" t="str">
            <v>VINILICA - POLIPRISA</v>
          </cell>
        </row>
        <row r="9315">
          <cell r="A9315" t="str">
            <v>M-30354</v>
          </cell>
          <cell r="E9315" t="str">
            <v>VINILICA - POLIPRISA</v>
          </cell>
        </row>
        <row r="9316">
          <cell r="A9316" t="str">
            <v>M-30451</v>
          </cell>
          <cell r="E9316" t="str">
            <v>VINILICA - POLIPRISA</v>
          </cell>
        </row>
        <row r="9317">
          <cell r="A9317" t="str">
            <v>M-30453</v>
          </cell>
          <cell r="E9317" t="str">
            <v>VINILICA - POLIPRISA</v>
          </cell>
        </row>
        <row r="9318">
          <cell r="A9318" t="str">
            <v>M-30454</v>
          </cell>
          <cell r="E9318" t="str">
            <v>VINILICA - POLIPRISA</v>
          </cell>
        </row>
        <row r="9319">
          <cell r="A9319" t="str">
            <v>M-30651</v>
          </cell>
          <cell r="E9319" t="str">
            <v>VINILICA - POLIPRISA</v>
          </cell>
        </row>
        <row r="9320">
          <cell r="A9320" t="str">
            <v>M-30653</v>
          </cell>
          <cell r="E9320" t="str">
            <v>VINILICA - POLIPRISA</v>
          </cell>
        </row>
        <row r="9321">
          <cell r="A9321" t="str">
            <v>M-30654</v>
          </cell>
          <cell r="E9321" t="str">
            <v>VINILICA - POLIPRISA</v>
          </cell>
        </row>
        <row r="9322">
          <cell r="A9322" t="str">
            <v>M-30773</v>
          </cell>
          <cell r="E9322" t="str">
            <v>VINILICA - POLIPRISA</v>
          </cell>
        </row>
        <row r="9323">
          <cell r="A9323" t="str">
            <v>M-30991</v>
          </cell>
          <cell r="E9323" t="str">
            <v>VINILICA - POLIPRISA</v>
          </cell>
        </row>
        <row r="9324">
          <cell r="A9324" t="str">
            <v>M-30993</v>
          </cell>
          <cell r="E9324" t="str">
            <v>VINILICA - POLIPRISA</v>
          </cell>
        </row>
        <row r="9325">
          <cell r="A9325" t="str">
            <v>M-30994</v>
          </cell>
          <cell r="E9325" t="str">
            <v>VINILICA - POLIPRISA</v>
          </cell>
        </row>
        <row r="9326">
          <cell r="A9326" t="str">
            <v>MIS</v>
          </cell>
          <cell r="E9326" t="str">
            <v>NO IDENTIFICADO</v>
          </cell>
        </row>
        <row r="9327">
          <cell r="A9327" t="str">
            <v>MK-0001</v>
          </cell>
          <cell r="E9327" t="str">
            <v>PROMOCIONALES</v>
          </cell>
        </row>
        <row r="9328">
          <cell r="A9328" t="str">
            <v>MK-0004</v>
          </cell>
          <cell r="E9328" t="str">
            <v>PROMOCIONALES</v>
          </cell>
        </row>
        <row r="9329">
          <cell r="A9329" t="str">
            <v>MK-0011</v>
          </cell>
          <cell r="E9329" t="str">
            <v>PROMOCIONALES</v>
          </cell>
        </row>
        <row r="9330">
          <cell r="A9330" t="str">
            <v>MK-0016</v>
          </cell>
          <cell r="E9330" t="str">
            <v>PROMOCIONALES</v>
          </cell>
        </row>
        <row r="9331">
          <cell r="A9331" t="str">
            <v>MK-0025</v>
          </cell>
          <cell r="E9331" t="str">
            <v>PROMOCIONALES</v>
          </cell>
        </row>
        <row r="9332">
          <cell r="A9332" t="str">
            <v>MK-0030</v>
          </cell>
          <cell r="E9332" t="str">
            <v>PROMOCIONALES</v>
          </cell>
        </row>
        <row r="9333">
          <cell r="A9333" t="str">
            <v>MK-0031</v>
          </cell>
          <cell r="E9333" t="str">
            <v>PROMOCIONALES</v>
          </cell>
        </row>
        <row r="9334">
          <cell r="A9334" t="str">
            <v>MK-0035</v>
          </cell>
          <cell r="E9334" t="str">
            <v>PROMOCIONALES</v>
          </cell>
        </row>
        <row r="9335">
          <cell r="A9335" t="str">
            <v>MK-0059</v>
          </cell>
          <cell r="E9335" t="str">
            <v>PROMOCIONALES</v>
          </cell>
        </row>
        <row r="9336">
          <cell r="A9336" t="str">
            <v>MK-0060</v>
          </cell>
          <cell r="E9336" t="str">
            <v>PROMOCIONALES</v>
          </cell>
        </row>
        <row r="9337">
          <cell r="A9337" t="str">
            <v>MK-0076</v>
          </cell>
          <cell r="E9337" t="str">
            <v>PROMOCIONALES</v>
          </cell>
        </row>
        <row r="9338">
          <cell r="A9338" t="str">
            <v>MPC-16181</v>
          </cell>
          <cell r="E9338" t="str">
            <v>ESM SECADO RAPIDO BASE SOLVENT</v>
          </cell>
        </row>
        <row r="9339">
          <cell r="A9339" t="str">
            <v>MPC-16183</v>
          </cell>
          <cell r="E9339" t="str">
            <v>ESM SECADO RAPIDO BASE SOLVENT</v>
          </cell>
        </row>
        <row r="9340">
          <cell r="A9340" t="str">
            <v>MPC-17001</v>
          </cell>
          <cell r="E9340" t="str">
            <v>ESM SECADO RAPIDO BASE SOLVENT</v>
          </cell>
        </row>
        <row r="9341">
          <cell r="A9341" t="str">
            <v>MPC-59801</v>
          </cell>
          <cell r="E9341" t="str">
            <v>ACABADOS EPOXICOS</v>
          </cell>
        </row>
        <row r="9342">
          <cell r="A9342" t="str">
            <v>MXE-11991</v>
          </cell>
          <cell r="E9342" t="str">
            <v>ESMALTE - KITOX</v>
          </cell>
        </row>
        <row r="9343">
          <cell r="A9343" t="str">
            <v>MXE-12121</v>
          </cell>
          <cell r="E9343" t="str">
            <v>ESMALTE - KITOX</v>
          </cell>
        </row>
        <row r="9344">
          <cell r="A9344" t="str">
            <v>MXE-12141</v>
          </cell>
          <cell r="E9344" t="str">
            <v>ESMALTE - KITOX</v>
          </cell>
        </row>
        <row r="9345">
          <cell r="A9345" t="str">
            <v>MXE-12181</v>
          </cell>
          <cell r="E9345" t="str">
            <v>ESMALTE - KITOX</v>
          </cell>
        </row>
        <row r="9346">
          <cell r="A9346" t="str">
            <v>MXE-12271</v>
          </cell>
          <cell r="E9346" t="str">
            <v>ESMALTE - KITOX</v>
          </cell>
        </row>
        <row r="9347">
          <cell r="A9347" t="str">
            <v>MXE-12281</v>
          </cell>
          <cell r="E9347" t="str">
            <v>ESMALTE - KITOX</v>
          </cell>
        </row>
        <row r="9348">
          <cell r="A9348" t="str">
            <v>MXE-12301</v>
          </cell>
          <cell r="E9348" t="str">
            <v>ESMALTE - KITOX</v>
          </cell>
        </row>
        <row r="9349">
          <cell r="A9349" t="str">
            <v>MXE-12311</v>
          </cell>
          <cell r="E9349" t="str">
            <v>ESMALTE - KITOX</v>
          </cell>
        </row>
        <row r="9350">
          <cell r="A9350" t="str">
            <v>MXE-12321</v>
          </cell>
          <cell r="E9350" t="str">
            <v>ESMALTE - KITOX</v>
          </cell>
        </row>
        <row r="9351">
          <cell r="A9351" t="str">
            <v>MXE-12341</v>
          </cell>
          <cell r="E9351" t="str">
            <v>ESMALTE - KITOX</v>
          </cell>
        </row>
        <row r="9352">
          <cell r="A9352" t="str">
            <v>MXE-12351</v>
          </cell>
          <cell r="E9352" t="str">
            <v>ESMALTE - KITOX</v>
          </cell>
        </row>
        <row r="9353">
          <cell r="A9353" t="str">
            <v>MXE-12361</v>
          </cell>
          <cell r="E9353" t="str">
            <v>ESMALTE - KITOX</v>
          </cell>
        </row>
        <row r="9354">
          <cell r="A9354" t="str">
            <v>MXE-12381</v>
          </cell>
          <cell r="E9354" t="str">
            <v>ESMALTE - KITOX</v>
          </cell>
        </row>
        <row r="9355">
          <cell r="A9355" t="str">
            <v>MXE-12391</v>
          </cell>
          <cell r="E9355" t="str">
            <v>ESMALTE - KITOX</v>
          </cell>
        </row>
        <row r="9356">
          <cell r="A9356" t="str">
            <v>MXE-12401</v>
          </cell>
          <cell r="E9356" t="str">
            <v>ESMALTE - KITOX</v>
          </cell>
        </row>
        <row r="9357">
          <cell r="A9357" t="str">
            <v>MXE-12411</v>
          </cell>
          <cell r="E9357" t="str">
            <v>ESMALTE - KITOX</v>
          </cell>
        </row>
        <row r="9358">
          <cell r="A9358" t="str">
            <v>MXE-12421</v>
          </cell>
          <cell r="E9358" t="str">
            <v>ESMALTE - KITOX</v>
          </cell>
        </row>
        <row r="9359">
          <cell r="A9359" t="str">
            <v>MXE-12431</v>
          </cell>
          <cell r="E9359" t="str">
            <v>ESMALTE - KITOX</v>
          </cell>
        </row>
        <row r="9360">
          <cell r="A9360" t="str">
            <v>MXE-12461</v>
          </cell>
          <cell r="E9360" t="str">
            <v>ESMALTE - KITOX</v>
          </cell>
        </row>
        <row r="9361">
          <cell r="A9361" t="str">
            <v>MXE-12471</v>
          </cell>
          <cell r="E9361" t="str">
            <v>ESMALTE - KITOX</v>
          </cell>
        </row>
        <row r="9362">
          <cell r="A9362" t="str">
            <v>MXE-12491</v>
          </cell>
          <cell r="E9362" t="str">
            <v>ESMALTE - KITOX</v>
          </cell>
        </row>
        <row r="9363">
          <cell r="A9363" t="str">
            <v>MXE-12511</v>
          </cell>
          <cell r="E9363" t="str">
            <v>VINILICA - PINTAVIN</v>
          </cell>
        </row>
        <row r="9364">
          <cell r="A9364" t="str">
            <v>MXE-12600</v>
          </cell>
          <cell r="E9364" t="str">
            <v>ESM SECADO RAPIDO BASE SOLVENT</v>
          </cell>
        </row>
        <row r="9365">
          <cell r="A9365" t="str">
            <v>MXE-12601</v>
          </cell>
          <cell r="E9365" t="str">
            <v>ESM SECADO RAPIDO BASE SOLVENT</v>
          </cell>
        </row>
        <row r="9366">
          <cell r="A9366" t="str">
            <v>MXE-12631</v>
          </cell>
          <cell r="E9366" t="str">
            <v>PRIMARIOS ESTRUCTURALES ALQUID</v>
          </cell>
        </row>
        <row r="9367">
          <cell r="A9367" t="str">
            <v>MXE-12651</v>
          </cell>
          <cell r="E9367" t="str">
            <v>ESMALTE - BRILLON</v>
          </cell>
        </row>
        <row r="9368">
          <cell r="A9368" t="str">
            <v>MXE-12660</v>
          </cell>
          <cell r="E9368" t="str">
            <v>ESM SECADO RAPIDO BASE SOLVENT</v>
          </cell>
        </row>
        <row r="9369">
          <cell r="A9369" t="str">
            <v>MXE-12661</v>
          </cell>
          <cell r="E9369" t="str">
            <v>ESM SECADO RAPIDO BASE SOLVENT</v>
          </cell>
        </row>
        <row r="9370">
          <cell r="A9370" t="str">
            <v>MXE-12871</v>
          </cell>
          <cell r="E9370" t="str">
            <v>ESM SECADO RAPIDO BASE AGUA</v>
          </cell>
        </row>
        <row r="9371">
          <cell r="A9371" t="str">
            <v>MXE-12891</v>
          </cell>
          <cell r="E9371" t="str">
            <v>ESM SECADO RAPIDO BASE AGUA</v>
          </cell>
        </row>
        <row r="9372">
          <cell r="A9372" t="str">
            <v>MXE-15261</v>
          </cell>
          <cell r="E9372" t="str">
            <v>ESM SECADO RAPIDO BASE SOLVENT</v>
          </cell>
        </row>
        <row r="9373">
          <cell r="A9373" t="str">
            <v>MXE-15291</v>
          </cell>
          <cell r="E9373" t="str">
            <v>ESM SECADO RAPIDO BASE SOLVENT</v>
          </cell>
        </row>
        <row r="9374">
          <cell r="A9374" t="str">
            <v>MXE-1768</v>
          </cell>
          <cell r="E9374" t="str">
            <v>AEROSOLES PRISA</v>
          </cell>
        </row>
        <row r="9375">
          <cell r="A9375" t="str">
            <v>MXE-1769</v>
          </cell>
          <cell r="E9375" t="str">
            <v>AEROSOLES PRISA</v>
          </cell>
        </row>
        <row r="9376">
          <cell r="A9376" t="str">
            <v>MXE-1770</v>
          </cell>
          <cell r="E9376" t="str">
            <v>AEROSOLES PRISA</v>
          </cell>
        </row>
        <row r="9377">
          <cell r="A9377" t="str">
            <v>MXE-1776</v>
          </cell>
          <cell r="E9377" t="str">
            <v>AEROSOLES PRISA</v>
          </cell>
        </row>
        <row r="9378">
          <cell r="A9378" t="str">
            <v>N-30441</v>
          </cell>
          <cell r="E9378" t="str">
            <v>VINILICA - NOVACOL</v>
          </cell>
        </row>
        <row r="9379">
          <cell r="A9379" t="str">
            <v>N-30491</v>
          </cell>
          <cell r="E9379" t="str">
            <v>VINILICA - NOVACOL</v>
          </cell>
        </row>
        <row r="9380">
          <cell r="A9380" t="str">
            <v>N-30751</v>
          </cell>
          <cell r="E9380" t="str">
            <v>VINILICA - NOVACOL</v>
          </cell>
        </row>
        <row r="9381">
          <cell r="A9381" t="str">
            <v>P-16800</v>
          </cell>
          <cell r="E9381" t="str">
            <v>ESMALTE DE HORNEO BASE SOLVENT</v>
          </cell>
        </row>
        <row r="9382">
          <cell r="A9382" t="str">
            <v>P-16801</v>
          </cell>
          <cell r="E9382" t="str">
            <v>ESMALTE DE HORNEO BASE SOLVENT</v>
          </cell>
        </row>
        <row r="9383">
          <cell r="A9383" t="str">
            <v>P-21001</v>
          </cell>
          <cell r="E9383" t="str">
            <v>ESMALTE - PRISTONE</v>
          </cell>
        </row>
        <row r="9384">
          <cell r="A9384" t="str">
            <v>P-21003</v>
          </cell>
          <cell r="E9384" t="str">
            <v>ESMALTE - PRISTONE</v>
          </cell>
        </row>
        <row r="9385">
          <cell r="A9385" t="str">
            <v>P-21004</v>
          </cell>
          <cell r="E9385" t="str">
            <v>ESMALTE - PRISTONE</v>
          </cell>
        </row>
        <row r="9386">
          <cell r="A9386" t="str">
            <v>P-21005</v>
          </cell>
          <cell r="E9386" t="str">
            <v>ESMALTE - PRISTONE</v>
          </cell>
        </row>
        <row r="9387">
          <cell r="A9387" t="str">
            <v>P-21006</v>
          </cell>
          <cell r="E9387" t="str">
            <v>ESMALTE - PRISTONE</v>
          </cell>
        </row>
        <row r="9388">
          <cell r="A9388" t="str">
            <v>P-21131</v>
          </cell>
          <cell r="E9388" t="str">
            <v>ESMALTE - PRISTONE</v>
          </cell>
        </row>
        <row r="9389">
          <cell r="A9389" t="str">
            <v>P-21133</v>
          </cell>
          <cell r="E9389" t="str">
            <v>ESMALTE - PRISTONE</v>
          </cell>
        </row>
        <row r="9390">
          <cell r="A9390" t="str">
            <v>P-21134</v>
          </cell>
          <cell r="E9390" t="str">
            <v>ESMALTE - PRISTONE</v>
          </cell>
        </row>
        <row r="9391">
          <cell r="A9391" t="str">
            <v>P-21261</v>
          </cell>
          <cell r="E9391" t="str">
            <v>ESMALTE - PRISTONE</v>
          </cell>
        </row>
        <row r="9392">
          <cell r="A9392" t="str">
            <v>P-21263</v>
          </cell>
          <cell r="E9392" t="str">
            <v>ESMALTE - PRISTONE</v>
          </cell>
        </row>
        <row r="9393">
          <cell r="A9393" t="str">
            <v>P-21264</v>
          </cell>
          <cell r="E9393" t="str">
            <v>ESMALTE - PRISTONE</v>
          </cell>
        </row>
        <row r="9394">
          <cell r="A9394" t="str">
            <v>P-21265</v>
          </cell>
          <cell r="E9394" t="str">
            <v>ESMALTE - PRISTONE</v>
          </cell>
        </row>
        <row r="9395">
          <cell r="A9395" t="str">
            <v>P-21351</v>
          </cell>
          <cell r="E9395" t="str">
            <v>ESMALTE - PRISTONE</v>
          </cell>
        </row>
        <row r="9396">
          <cell r="A9396" t="str">
            <v>P-21353</v>
          </cell>
          <cell r="E9396" t="str">
            <v>ESMALTE - PRISTONE</v>
          </cell>
        </row>
        <row r="9397">
          <cell r="A9397" t="str">
            <v>P-21354</v>
          </cell>
          <cell r="E9397" t="str">
            <v>ESMALTE - PRISTONE</v>
          </cell>
        </row>
        <row r="9398">
          <cell r="A9398" t="str">
            <v>P-21355</v>
          </cell>
          <cell r="E9398" t="str">
            <v>ESMALTE - PRISTONE</v>
          </cell>
        </row>
        <row r="9399">
          <cell r="A9399" t="str">
            <v>P-21451</v>
          </cell>
          <cell r="E9399" t="str">
            <v>ESMALTE - PRISTONE</v>
          </cell>
        </row>
        <row r="9400">
          <cell r="A9400" t="str">
            <v>P-21453</v>
          </cell>
          <cell r="E9400" t="str">
            <v>ESMALTE - PRISTONE</v>
          </cell>
        </row>
        <row r="9401">
          <cell r="A9401" t="str">
            <v>P-21454</v>
          </cell>
          <cell r="E9401" t="str">
            <v>ESMALTE - PRISTONE</v>
          </cell>
        </row>
        <row r="9402">
          <cell r="A9402" t="str">
            <v>P-21455</v>
          </cell>
          <cell r="E9402" t="str">
            <v>ESMALTE - PRISTONE</v>
          </cell>
        </row>
        <row r="9403">
          <cell r="A9403" t="str">
            <v>P-21561</v>
          </cell>
          <cell r="E9403" t="str">
            <v>ESMALTE - PRISTONE</v>
          </cell>
        </row>
        <row r="9404">
          <cell r="A9404" t="str">
            <v>P-21563</v>
          </cell>
          <cell r="E9404" t="str">
            <v>ESMALTE - PRISTONE</v>
          </cell>
        </row>
        <row r="9405">
          <cell r="A9405" t="str">
            <v>P-21564</v>
          </cell>
          <cell r="E9405" t="str">
            <v>ESMALTE - PRISTONE</v>
          </cell>
        </row>
        <row r="9406">
          <cell r="A9406" t="str">
            <v>P-21565</v>
          </cell>
          <cell r="E9406" t="str">
            <v>ESMALTE - PRISTONE</v>
          </cell>
        </row>
        <row r="9407">
          <cell r="A9407" t="str">
            <v>P-21641</v>
          </cell>
          <cell r="E9407" t="str">
            <v>ESMALTE - PRISTONE</v>
          </cell>
        </row>
        <row r="9408">
          <cell r="A9408" t="str">
            <v>P-21643</v>
          </cell>
          <cell r="E9408" t="str">
            <v>ESMALTE - PRISTONE</v>
          </cell>
        </row>
        <row r="9409">
          <cell r="A9409" t="str">
            <v>P-21644</v>
          </cell>
          <cell r="E9409" t="str">
            <v>ESMALTE - PRISTONE</v>
          </cell>
        </row>
        <row r="9410">
          <cell r="A9410" t="str">
            <v>P-21753</v>
          </cell>
          <cell r="E9410" t="str">
            <v>ESMALTE - PRISTONE</v>
          </cell>
        </row>
        <row r="9411">
          <cell r="A9411" t="str">
            <v>P-21754</v>
          </cell>
          <cell r="E9411" t="str">
            <v>ESMALTE - PRISTONE</v>
          </cell>
        </row>
        <row r="9412">
          <cell r="A9412" t="str">
            <v>P-21755</v>
          </cell>
          <cell r="E9412" t="str">
            <v>ESMALTE - PRISTONE</v>
          </cell>
        </row>
        <row r="9413">
          <cell r="A9413" t="str">
            <v>P-21771</v>
          </cell>
          <cell r="E9413" t="str">
            <v>ESMALTE - PRISTONE</v>
          </cell>
        </row>
        <row r="9414">
          <cell r="A9414" t="str">
            <v>P-21773</v>
          </cell>
          <cell r="E9414" t="str">
            <v>ESMALTE - PRISTONE</v>
          </cell>
        </row>
        <row r="9415">
          <cell r="A9415" t="str">
            <v>P-21774</v>
          </cell>
          <cell r="E9415" t="str">
            <v>ESMALTE - PRISTONE</v>
          </cell>
        </row>
        <row r="9416">
          <cell r="A9416" t="str">
            <v>P-21775</v>
          </cell>
          <cell r="E9416" t="str">
            <v>ESMALTE - PRISTONE</v>
          </cell>
        </row>
        <row r="9417">
          <cell r="A9417" t="str">
            <v>P-21991</v>
          </cell>
          <cell r="E9417" t="str">
            <v>ESMALTE - PRISTONE</v>
          </cell>
        </row>
        <row r="9418">
          <cell r="A9418" t="str">
            <v>P-21993</v>
          </cell>
          <cell r="E9418" t="str">
            <v>ESMALTE - PRISTONE</v>
          </cell>
        </row>
        <row r="9419">
          <cell r="A9419" t="str">
            <v>P-21994</v>
          </cell>
          <cell r="E9419" t="str">
            <v>ESMALTE - PRISTONE</v>
          </cell>
        </row>
        <row r="9420">
          <cell r="A9420" t="str">
            <v>P-21995</v>
          </cell>
          <cell r="E9420" t="str">
            <v>ESMALTE - PRISTONE</v>
          </cell>
        </row>
        <row r="9421">
          <cell r="A9421" t="str">
            <v>P-21996</v>
          </cell>
          <cell r="E9421" t="str">
            <v>ESMALTE - PRISTONE</v>
          </cell>
        </row>
        <row r="9422">
          <cell r="A9422" t="str">
            <v>PC-38001</v>
          </cell>
          <cell r="E9422" t="str">
            <v>PRIMARIOS EPOXICOS</v>
          </cell>
        </row>
        <row r="9423">
          <cell r="A9423" t="str">
            <v>PC-38003</v>
          </cell>
          <cell r="E9423" t="str">
            <v>PRIMARIOS EPOXICOS</v>
          </cell>
        </row>
        <row r="9424">
          <cell r="A9424" t="str">
            <v>PC-38013</v>
          </cell>
          <cell r="E9424" t="str">
            <v>PRIMARIOS EPOXICOS</v>
          </cell>
        </row>
        <row r="9425">
          <cell r="A9425" t="str">
            <v>PC-38014</v>
          </cell>
          <cell r="E9425" t="str">
            <v>PRIMARIOS EPOXICOS</v>
          </cell>
        </row>
        <row r="9426">
          <cell r="A9426" t="str">
            <v>PC-38921</v>
          </cell>
          <cell r="E9426" t="str">
            <v>PRIMARIOS EPOXICOS</v>
          </cell>
        </row>
        <row r="9427">
          <cell r="A9427" t="str">
            <v>PC-38923</v>
          </cell>
          <cell r="E9427" t="str">
            <v>PRIMARIOS EPOXICOS</v>
          </cell>
        </row>
        <row r="9428">
          <cell r="A9428" t="str">
            <v>PC-40001</v>
          </cell>
          <cell r="E9428" t="str">
            <v>ACABADOS DE PU</v>
          </cell>
        </row>
        <row r="9429">
          <cell r="A9429" t="str">
            <v>PC-40003</v>
          </cell>
          <cell r="E9429" t="str">
            <v>ACABADOS DE PU</v>
          </cell>
        </row>
        <row r="9430">
          <cell r="A9430" t="str">
            <v>PC-40013</v>
          </cell>
          <cell r="E9430" t="str">
            <v>ACABADOS EPOXICOS</v>
          </cell>
        </row>
        <row r="9431">
          <cell r="A9431" t="str">
            <v>PC-40014</v>
          </cell>
          <cell r="E9431" t="str">
            <v>ACABADOS EPOXICOS</v>
          </cell>
        </row>
        <row r="9432">
          <cell r="A9432" t="str">
            <v>PC-40171</v>
          </cell>
          <cell r="E9432" t="str">
            <v>ACABADOS DE PU</v>
          </cell>
        </row>
        <row r="9433">
          <cell r="A9433" t="str">
            <v>PC-40173</v>
          </cell>
          <cell r="E9433" t="str">
            <v>ACABADOS DE PU</v>
          </cell>
        </row>
        <row r="9434">
          <cell r="A9434" t="str">
            <v>PC-40451</v>
          </cell>
          <cell r="E9434" t="str">
            <v>ACABADOS DE PU</v>
          </cell>
        </row>
        <row r="9435">
          <cell r="A9435" t="str">
            <v>PC-40453</v>
          </cell>
          <cell r="E9435" t="str">
            <v>ACABADOS DE PU</v>
          </cell>
        </row>
        <row r="9436">
          <cell r="A9436" t="str">
            <v>PC-40921</v>
          </cell>
          <cell r="E9436" t="str">
            <v>ACABADOS DE PU</v>
          </cell>
        </row>
        <row r="9437">
          <cell r="A9437" t="str">
            <v>PC-40923</v>
          </cell>
          <cell r="E9437" t="str">
            <v>ACABADOS DE PU</v>
          </cell>
        </row>
        <row r="9438">
          <cell r="A9438" t="str">
            <v>PC-40991</v>
          </cell>
          <cell r="E9438" t="str">
            <v>ACABADOS DE PU</v>
          </cell>
        </row>
        <row r="9439">
          <cell r="A9439" t="str">
            <v>PC-40993</v>
          </cell>
          <cell r="E9439" t="str">
            <v>ACABADOS DE PU</v>
          </cell>
        </row>
        <row r="9440">
          <cell r="A9440" t="str">
            <v>PI0008</v>
          </cell>
          <cell r="E9440" t="str">
            <v>MADER</v>
          </cell>
        </row>
        <row r="9441">
          <cell r="A9441" t="str">
            <v>PI0009</v>
          </cell>
          <cell r="E9441" t="str">
            <v>MADER</v>
          </cell>
        </row>
        <row r="9442">
          <cell r="A9442" t="str">
            <v>PI0012</v>
          </cell>
          <cell r="E9442" t="str">
            <v>MADER</v>
          </cell>
        </row>
        <row r="9443">
          <cell r="A9443" t="str">
            <v>PM-40001</v>
          </cell>
          <cell r="E9443" t="str">
            <v>PRIMARIOS BASE AGUA</v>
          </cell>
        </row>
        <row r="9444">
          <cell r="A9444" t="str">
            <v>PM-40003</v>
          </cell>
          <cell r="E9444" t="str">
            <v>PRIMARIOS BASE AGUA</v>
          </cell>
        </row>
        <row r="9445">
          <cell r="A9445" t="str">
            <v>PM-40931</v>
          </cell>
          <cell r="E9445" t="str">
            <v>PRIMARIOS BASE AGUA</v>
          </cell>
        </row>
        <row r="9446">
          <cell r="A9446" t="str">
            <v>PM-40933</v>
          </cell>
          <cell r="E9446" t="str">
            <v>PRIMARIOS BASE AGUA</v>
          </cell>
        </row>
        <row r="9447">
          <cell r="A9447" t="str">
            <v>PM-42001</v>
          </cell>
          <cell r="E9447" t="str">
            <v>ESM SECADO RAPIDO BASE AGUA</v>
          </cell>
        </row>
        <row r="9448">
          <cell r="A9448" t="str">
            <v>PM-42003</v>
          </cell>
          <cell r="E9448" t="str">
            <v>ESM SECADO RAPIDO BASE AGUA</v>
          </cell>
        </row>
        <row r="9449">
          <cell r="A9449" t="str">
            <v>PM-42021</v>
          </cell>
          <cell r="E9449" t="str">
            <v>ESM SECADO RAPIDO BASE AGUA</v>
          </cell>
        </row>
        <row r="9450">
          <cell r="A9450" t="str">
            <v>PM-42923</v>
          </cell>
          <cell r="E9450" t="str">
            <v>ESM SECADO RAPIDO BASE AGUA</v>
          </cell>
        </row>
        <row r="9451">
          <cell r="A9451" t="str">
            <v>PM-42991</v>
          </cell>
          <cell r="E9451" t="str">
            <v>ESM SECADO RAPIDO BASE AGUA</v>
          </cell>
        </row>
        <row r="9452">
          <cell r="A9452" t="str">
            <v>PM-42993</v>
          </cell>
          <cell r="E9452" t="str">
            <v>ESM SECADO RAPIDO BASE AGUA</v>
          </cell>
        </row>
        <row r="9453">
          <cell r="A9453" t="str">
            <v>PPP002</v>
          </cell>
          <cell r="E9453" t="str">
            <v>OTROS ACCESORIOS Y COMPLEMENTO</v>
          </cell>
        </row>
        <row r="9454">
          <cell r="A9454" t="str">
            <v>PPP004</v>
          </cell>
          <cell r="E9454" t="str">
            <v>OTROS ACCESORIOS Y COMPLEMENTO</v>
          </cell>
        </row>
        <row r="9455">
          <cell r="A9455" t="str">
            <v>PPP010</v>
          </cell>
          <cell r="E9455" t="str">
            <v>OTROS ACCESORIOS Y COMPLEMENTO</v>
          </cell>
        </row>
        <row r="9456">
          <cell r="A9456" t="str">
            <v>PR-16000</v>
          </cell>
          <cell r="E9456" t="str">
            <v>ESMALTE DE HORNEO BASE SOLVENT</v>
          </cell>
        </row>
        <row r="9457">
          <cell r="A9457" t="str">
            <v>PR-17000</v>
          </cell>
          <cell r="E9457" t="str">
            <v>ESM SECADO RAPIDO BASE SOLVENT</v>
          </cell>
        </row>
        <row r="9458">
          <cell r="A9458" t="str">
            <v>PR-79404</v>
          </cell>
          <cell r="E9458" t="str">
            <v>PEGAPRISA</v>
          </cell>
        </row>
        <row r="9459">
          <cell r="A9459" t="str">
            <v>PR-79405</v>
          </cell>
          <cell r="E9459" t="str">
            <v>PEGAPRISA</v>
          </cell>
        </row>
        <row r="9460">
          <cell r="A9460" t="str">
            <v>PR-79406</v>
          </cell>
          <cell r="E9460" t="str">
            <v>PEGAPRISA</v>
          </cell>
        </row>
        <row r="9461">
          <cell r="A9461" t="str">
            <v>PRG-10561</v>
          </cell>
          <cell r="E9461" t="str">
            <v>ESMALTE - ESTRUCTURAS GLOSI</v>
          </cell>
        </row>
        <row r="9462">
          <cell r="A9462" t="str">
            <v>PRG-10563</v>
          </cell>
          <cell r="E9462" t="str">
            <v>ESMALTE - ESTRUCTURAS GLOSI</v>
          </cell>
        </row>
        <row r="9463">
          <cell r="A9463" t="str">
            <v>PRG-10564</v>
          </cell>
          <cell r="E9463" t="str">
            <v>ESMALTE - ESTRUCTURAS GLOSI</v>
          </cell>
        </row>
        <row r="9464">
          <cell r="A9464" t="str">
            <v>PRG-10931</v>
          </cell>
          <cell r="E9464" t="str">
            <v>ESMALTE - ESTRUCTURAS GLOSI</v>
          </cell>
        </row>
        <row r="9465">
          <cell r="A9465" t="str">
            <v>PRG-10933</v>
          </cell>
          <cell r="E9465" t="str">
            <v>ESMALTE - ESTRUCTURAS GLOSI</v>
          </cell>
        </row>
        <row r="9466">
          <cell r="A9466" t="str">
            <v>PRG-10934</v>
          </cell>
          <cell r="E9466" t="str">
            <v>ESMALTE - ESTRUCTURAS GLOSI</v>
          </cell>
        </row>
        <row r="9467">
          <cell r="A9467" t="str">
            <v>R-32000</v>
          </cell>
          <cell r="E9467" t="str">
            <v>VINILICA - RIVINOL 5</v>
          </cell>
        </row>
        <row r="9468">
          <cell r="A9468" t="str">
            <v>R-32001</v>
          </cell>
          <cell r="E9468" t="str">
            <v>VINILICA - RIVINOL 5</v>
          </cell>
        </row>
        <row r="9469">
          <cell r="A9469" t="str">
            <v>R-32002</v>
          </cell>
          <cell r="E9469" t="str">
            <v>VINILICA - RIVINOL 5</v>
          </cell>
        </row>
        <row r="9470">
          <cell r="A9470" t="str">
            <v>R-32003</v>
          </cell>
          <cell r="E9470" t="str">
            <v>VINILICA - RIVINOL 5</v>
          </cell>
        </row>
        <row r="9471">
          <cell r="A9471" t="str">
            <v>R-32003-PR</v>
          </cell>
          <cell r="E9471" t="str">
            <v>VINILICA - RIVINOL 5</v>
          </cell>
        </row>
        <row r="9472">
          <cell r="A9472" t="str">
            <v>R-32004</v>
          </cell>
          <cell r="E9472" t="str">
            <v>VINILICA - RIVINOL 5</v>
          </cell>
        </row>
        <row r="9473">
          <cell r="A9473" t="str">
            <v>R-32040</v>
          </cell>
          <cell r="E9473" t="str">
            <v>VINILICA - RIVINOL 5</v>
          </cell>
        </row>
        <row r="9474">
          <cell r="A9474" t="str">
            <v>R-32041</v>
          </cell>
          <cell r="E9474" t="str">
            <v>VINILICA - RIVINOL 5</v>
          </cell>
        </row>
        <row r="9475">
          <cell r="A9475" t="str">
            <v>R-32043</v>
          </cell>
          <cell r="E9475" t="str">
            <v>VINILICA - RIVINOL 5</v>
          </cell>
        </row>
        <row r="9476">
          <cell r="A9476" t="str">
            <v>R-32044</v>
          </cell>
          <cell r="E9476" t="str">
            <v>VINILICA - RIVINOL 5</v>
          </cell>
        </row>
        <row r="9477">
          <cell r="A9477" t="str">
            <v>R-32051</v>
          </cell>
          <cell r="E9477" t="str">
            <v>VINILICA - RIVINOL 5</v>
          </cell>
        </row>
        <row r="9478">
          <cell r="A9478" t="str">
            <v>R-32053</v>
          </cell>
          <cell r="E9478" t="str">
            <v>VINILICA - RIVINOL 5</v>
          </cell>
        </row>
        <row r="9479">
          <cell r="A9479" t="str">
            <v>R-32054</v>
          </cell>
          <cell r="E9479" t="str">
            <v>VINILICA - RIVINOL 5</v>
          </cell>
        </row>
        <row r="9480">
          <cell r="A9480" t="str">
            <v>R-32071</v>
          </cell>
          <cell r="E9480" t="str">
            <v>VINILICA - RIVINOL 5</v>
          </cell>
        </row>
        <row r="9481">
          <cell r="A9481" t="str">
            <v>R-32073</v>
          </cell>
          <cell r="E9481" t="str">
            <v>VINILICA - RIVINOL 5</v>
          </cell>
        </row>
        <row r="9482">
          <cell r="A9482" t="str">
            <v>R-32074</v>
          </cell>
          <cell r="E9482" t="str">
            <v>VINILICA - RIVINOL 5</v>
          </cell>
        </row>
        <row r="9483">
          <cell r="A9483" t="str">
            <v>R-32081</v>
          </cell>
          <cell r="E9483" t="str">
            <v>VINILICA - RIVINOL 5</v>
          </cell>
        </row>
        <row r="9484">
          <cell r="A9484" t="str">
            <v>R-32083</v>
          </cell>
          <cell r="E9484" t="str">
            <v>VINILICA - RIVINOL 5</v>
          </cell>
        </row>
        <row r="9485">
          <cell r="A9485" t="str">
            <v>R-32084</v>
          </cell>
          <cell r="E9485" t="str">
            <v>VINILICA - RIVINOL 5</v>
          </cell>
        </row>
        <row r="9486">
          <cell r="A9486" t="str">
            <v>R-32140</v>
          </cell>
          <cell r="E9486" t="str">
            <v>VINILICA - RIVINOL 5</v>
          </cell>
        </row>
        <row r="9487">
          <cell r="A9487" t="str">
            <v>R-32141</v>
          </cell>
          <cell r="E9487" t="str">
            <v>VINILICA - RIVINOL 5</v>
          </cell>
        </row>
        <row r="9488">
          <cell r="A9488" t="str">
            <v>R-32143</v>
          </cell>
          <cell r="E9488" t="str">
            <v>VINILICA - RIVINOL 5</v>
          </cell>
        </row>
        <row r="9489">
          <cell r="A9489" t="str">
            <v>R-32144</v>
          </cell>
          <cell r="E9489" t="str">
            <v>VINILICA - RIVINOL 5</v>
          </cell>
        </row>
        <row r="9490">
          <cell r="A9490" t="str">
            <v>R-32260</v>
          </cell>
          <cell r="E9490" t="str">
            <v>VINILICA - RIVINOL 5</v>
          </cell>
        </row>
        <row r="9491">
          <cell r="A9491" t="str">
            <v>R-32261</v>
          </cell>
          <cell r="E9491" t="str">
            <v>VINILICA - RIVINOL 5</v>
          </cell>
        </row>
        <row r="9492">
          <cell r="A9492" t="str">
            <v>R-32263</v>
          </cell>
          <cell r="E9492" t="str">
            <v>VINILICA - RIVINOL 5</v>
          </cell>
        </row>
        <row r="9493">
          <cell r="A9493" t="str">
            <v>R-32264</v>
          </cell>
          <cell r="E9493" t="str">
            <v>VINILICA - RIVINOL 5</v>
          </cell>
        </row>
        <row r="9494">
          <cell r="A9494" t="str">
            <v>R-32351</v>
          </cell>
          <cell r="E9494" t="str">
            <v>VINILICA - RIVINOL 5</v>
          </cell>
        </row>
        <row r="9495">
          <cell r="A9495" t="str">
            <v>R-32353</v>
          </cell>
          <cell r="E9495" t="str">
            <v>VINILICA - RIVINOL 5</v>
          </cell>
        </row>
        <row r="9496">
          <cell r="A9496" t="str">
            <v>R-32354</v>
          </cell>
          <cell r="E9496" t="str">
            <v>VINILICA - RIVINOL 5</v>
          </cell>
        </row>
        <row r="9497">
          <cell r="A9497" t="str">
            <v>R-32450</v>
          </cell>
          <cell r="E9497" t="str">
            <v>VINILICA - RIVINOL 5</v>
          </cell>
        </row>
        <row r="9498">
          <cell r="A9498" t="str">
            <v>R-32451</v>
          </cell>
          <cell r="E9498" t="str">
            <v>VINILICA - RIVINOL 5</v>
          </cell>
        </row>
        <row r="9499">
          <cell r="A9499" t="str">
            <v>R-32453</v>
          </cell>
          <cell r="E9499" t="str">
            <v>VINILICA - RIVINOL 5</v>
          </cell>
        </row>
        <row r="9500">
          <cell r="A9500" t="str">
            <v>R-32454</v>
          </cell>
          <cell r="E9500" t="str">
            <v>VINILICA - RIVINOL 5</v>
          </cell>
        </row>
        <row r="9501">
          <cell r="A9501" t="str">
            <v>R-32470</v>
          </cell>
          <cell r="E9501" t="str">
            <v>VINILICA - RIVINOL 5</v>
          </cell>
        </row>
        <row r="9502">
          <cell r="A9502" t="str">
            <v>R-32471</v>
          </cell>
          <cell r="E9502" t="str">
            <v>VINILICA - RIVINOL 5</v>
          </cell>
        </row>
        <row r="9503">
          <cell r="A9503" t="str">
            <v>R-32473</v>
          </cell>
          <cell r="E9503" t="str">
            <v>VINILICA - RIVINOL 5</v>
          </cell>
        </row>
        <row r="9504">
          <cell r="A9504" t="str">
            <v>R-32474</v>
          </cell>
          <cell r="E9504" t="str">
            <v>VINILICA - RIVINOL 5</v>
          </cell>
        </row>
        <row r="9505">
          <cell r="A9505" t="str">
            <v>R-32490</v>
          </cell>
          <cell r="E9505" t="str">
            <v>VINILICA - RIVINOL 5</v>
          </cell>
        </row>
        <row r="9506">
          <cell r="A9506" t="str">
            <v>R-32491</v>
          </cell>
          <cell r="E9506" t="str">
            <v>VINILICA - RIVINOL 5</v>
          </cell>
        </row>
        <row r="9507">
          <cell r="A9507" t="str">
            <v>R-32493</v>
          </cell>
          <cell r="E9507" t="str">
            <v>VINILICA - RIVINOL 5</v>
          </cell>
        </row>
        <row r="9508">
          <cell r="A9508" t="str">
            <v>R-32494</v>
          </cell>
          <cell r="E9508" t="str">
            <v>VINILICA - RIVINOL 5</v>
          </cell>
        </row>
        <row r="9509">
          <cell r="A9509" t="str">
            <v>R-32560</v>
          </cell>
          <cell r="E9509" t="str">
            <v>VINILICA - RIVINOL 5</v>
          </cell>
        </row>
        <row r="9510">
          <cell r="A9510" t="str">
            <v>R-32561</v>
          </cell>
          <cell r="E9510" t="str">
            <v>VINILICA - RIVINOL 5</v>
          </cell>
        </row>
        <row r="9511">
          <cell r="A9511" t="str">
            <v>R-32563</v>
          </cell>
          <cell r="E9511" t="str">
            <v>VINILICA - RIVINOL 5</v>
          </cell>
        </row>
        <row r="9512">
          <cell r="A9512" t="str">
            <v>R-32564</v>
          </cell>
          <cell r="E9512" t="str">
            <v>VINILICA - RIVINOL 5</v>
          </cell>
        </row>
        <row r="9513">
          <cell r="A9513" t="str">
            <v>R-32581</v>
          </cell>
          <cell r="E9513" t="str">
            <v>VINILICA - RIVINOL 5</v>
          </cell>
        </row>
        <row r="9514">
          <cell r="A9514" t="str">
            <v>R-32583</v>
          </cell>
          <cell r="E9514" t="str">
            <v>VINILICA - RIVINOL 5</v>
          </cell>
        </row>
        <row r="9515">
          <cell r="A9515" t="str">
            <v>R-32584</v>
          </cell>
          <cell r="E9515" t="str">
            <v>VINILICA - RIVINOL 5</v>
          </cell>
        </row>
        <row r="9516">
          <cell r="A9516" t="str">
            <v>R-32680</v>
          </cell>
          <cell r="E9516" t="str">
            <v>VINILICA - RIVINOL 5</v>
          </cell>
        </row>
        <row r="9517">
          <cell r="A9517" t="str">
            <v>R-32681</v>
          </cell>
          <cell r="E9517" t="str">
            <v>VINILICA - RIVINOL 5</v>
          </cell>
        </row>
        <row r="9518">
          <cell r="A9518" t="str">
            <v>R-32683</v>
          </cell>
          <cell r="E9518" t="str">
            <v>VINILICA - RIVINOL 5</v>
          </cell>
        </row>
        <row r="9519">
          <cell r="A9519" t="str">
            <v>R-32684</v>
          </cell>
          <cell r="E9519" t="str">
            <v>VINILICA - RIVINOL 5</v>
          </cell>
        </row>
        <row r="9520">
          <cell r="A9520" t="str">
            <v>R-32731</v>
          </cell>
          <cell r="E9520" t="str">
            <v>VINILICA - RIVINOL 5</v>
          </cell>
        </row>
        <row r="9521">
          <cell r="A9521" t="str">
            <v>R-32733</v>
          </cell>
          <cell r="E9521" t="str">
            <v>VINILICA - RIVINOL 5</v>
          </cell>
        </row>
        <row r="9522">
          <cell r="A9522" t="str">
            <v>R-32734</v>
          </cell>
          <cell r="E9522" t="str">
            <v>VINILICA - RIVINOL 5</v>
          </cell>
        </row>
        <row r="9523">
          <cell r="A9523" t="str">
            <v>R-32770</v>
          </cell>
          <cell r="E9523" t="str">
            <v>VINILICA - RIVINOL 5</v>
          </cell>
        </row>
        <row r="9524">
          <cell r="A9524" t="str">
            <v>R-32771</v>
          </cell>
          <cell r="E9524" t="str">
            <v>VINILICA - RIVINOL 5</v>
          </cell>
        </row>
        <row r="9525">
          <cell r="A9525" t="str">
            <v>R-32773</v>
          </cell>
          <cell r="E9525" t="str">
            <v>VINILICA - RIVINOL 5</v>
          </cell>
        </row>
        <row r="9526">
          <cell r="A9526" t="str">
            <v>R-32774</v>
          </cell>
          <cell r="E9526" t="str">
            <v>VINILICA - RIVINOL 5</v>
          </cell>
        </row>
        <row r="9527">
          <cell r="A9527" t="str">
            <v>R-32990</v>
          </cell>
          <cell r="E9527" t="str">
            <v>VINILICA - RIVINOL 5</v>
          </cell>
        </row>
        <row r="9528">
          <cell r="A9528" t="str">
            <v>R-32991</v>
          </cell>
          <cell r="E9528" t="str">
            <v>VINILICA - RIVINOL 5</v>
          </cell>
        </row>
        <row r="9529">
          <cell r="A9529" t="str">
            <v>R-32993</v>
          </cell>
          <cell r="E9529" t="str">
            <v>VINILICA - RIVINOL 5</v>
          </cell>
        </row>
        <row r="9530">
          <cell r="A9530" t="str">
            <v>R-32994</v>
          </cell>
          <cell r="E9530" t="str">
            <v>VINILICA - RIVINOL 5</v>
          </cell>
        </row>
        <row r="9531">
          <cell r="A9531" t="str">
            <v>RA-26001</v>
          </cell>
          <cell r="E9531" t="str">
            <v>ACABADOS EPOXICOS</v>
          </cell>
        </row>
        <row r="9532">
          <cell r="A9532" t="str">
            <v>RA-26013</v>
          </cell>
          <cell r="E9532" t="str">
            <v>ACABADOS EPOXICOS</v>
          </cell>
        </row>
        <row r="9533">
          <cell r="A9533" t="str">
            <v>RA-28001</v>
          </cell>
          <cell r="E9533" t="str">
            <v>ACABADOS DE PU</v>
          </cell>
        </row>
        <row r="9534">
          <cell r="A9534" t="str">
            <v>RA-28003</v>
          </cell>
          <cell r="E9534" t="str">
            <v>ACABADOS DE PU</v>
          </cell>
        </row>
        <row r="9535">
          <cell r="A9535" t="str">
            <v>RA-28013</v>
          </cell>
          <cell r="E9535" t="str">
            <v>PRETRATAMIENTO METALICO INDUST</v>
          </cell>
        </row>
        <row r="9536">
          <cell r="A9536" t="str">
            <v>RA-28014</v>
          </cell>
          <cell r="E9536" t="str">
            <v>PRETRATAMIENTO METALICO INDUST</v>
          </cell>
        </row>
        <row r="9537">
          <cell r="A9537" t="str">
            <v>RA-28031</v>
          </cell>
          <cell r="E9537" t="str">
            <v>ACABADOS DE PU</v>
          </cell>
        </row>
        <row r="9538">
          <cell r="A9538" t="str">
            <v>RA-28131</v>
          </cell>
          <cell r="E9538" t="str">
            <v>ACABADOS DE PU</v>
          </cell>
        </row>
        <row r="9539">
          <cell r="A9539" t="str">
            <v>RA-28171</v>
          </cell>
          <cell r="E9539" t="str">
            <v>ACABADOS DE PU</v>
          </cell>
        </row>
        <row r="9540">
          <cell r="A9540" t="str">
            <v>RA-28191</v>
          </cell>
          <cell r="E9540" t="str">
            <v>ACABADOS DE PU</v>
          </cell>
        </row>
        <row r="9541">
          <cell r="A9541" t="str">
            <v>RA-28261</v>
          </cell>
          <cell r="E9541" t="str">
            <v>ACABADOS DE PU</v>
          </cell>
        </row>
        <row r="9542">
          <cell r="A9542" t="str">
            <v>RA-28351</v>
          </cell>
          <cell r="E9542" t="str">
            <v>ACABADOS DE PU</v>
          </cell>
        </row>
        <row r="9543">
          <cell r="A9543" t="str">
            <v>RA-28441</v>
          </cell>
          <cell r="E9543" t="str">
            <v>ACABADOS DE PU</v>
          </cell>
        </row>
        <row r="9544">
          <cell r="A9544" t="str">
            <v>RA-28491</v>
          </cell>
          <cell r="E9544" t="str">
            <v>ACABADOS DE PU</v>
          </cell>
        </row>
        <row r="9545">
          <cell r="A9545" t="str">
            <v>RA-28561</v>
          </cell>
          <cell r="E9545" t="str">
            <v>ACABADOS DE PU</v>
          </cell>
        </row>
        <row r="9546">
          <cell r="A9546" t="str">
            <v>RA-28611</v>
          </cell>
          <cell r="E9546" t="str">
            <v>ACABADOS DE PU</v>
          </cell>
        </row>
        <row r="9547">
          <cell r="A9547" t="str">
            <v>RA-28631</v>
          </cell>
          <cell r="E9547" t="str">
            <v>ACABADOS DE PU</v>
          </cell>
        </row>
        <row r="9548">
          <cell r="A9548" t="str">
            <v>RA-28641</v>
          </cell>
          <cell r="E9548" t="str">
            <v>ACABADOS DE PU</v>
          </cell>
        </row>
        <row r="9549">
          <cell r="A9549" t="str">
            <v>RA-28651</v>
          </cell>
          <cell r="E9549" t="str">
            <v>ACABADOS DE PU</v>
          </cell>
        </row>
        <row r="9550">
          <cell r="A9550" t="str">
            <v>RA-28661</v>
          </cell>
          <cell r="E9550" t="str">
            <v>ACABADOS DE PU</v>
          </cell>
        </row>
        <row r="9551">
          <cell r="A9551" t="str">
            <v>RA-28671</v>
          </cell>
          <cell r="E9551" t="str">
            <v>ACABADOS DE PU</v>
          </cell>
        </row>
        <row r="9552">
          <cell r="A9552" t="str">
            <v>RA-28681</v>
          </cell>
          <cell r="E9552" t="str">
            <v>ACABADOS DE PU</v>
          </cell>
        </row>
        <row r="9553">
          <cell r="A9553" t="str">
            <v>RA-28751</v>
          </cell>
          <cell r="E9553" t="str">
            <v>ACABADOS DE PU</v>
          </cell>
        </row>
        <row r="9554">
          <cell r="A9554" t="str">
            <v>RA-28771</v>
          </cell>
          <cell r="E9554" t="str">
            <v>ACABADOS DE PU</v>
          </cell>
        </row>
        <row r="9555">
          <cell r="A9555" t="str">
            <v>RA-28781</v>
          </cell>
          <cell r="E9555" t="str">
            <v>ACABADOS DE PU</v>
          </cell>
        </row>
        <row r="9556">
          <cell r="A9556" t="str">
            <v>RA-28801</v>
          </cell>
          <cell r="E9556" t="str">
            <v>ACABADOS DE PU</v>
          </cell>
        </row>
        <row r="9557">
          <cell r="A9557" t="str">
            <v>RA-28931</v>
          </cell>
          <cell r="E9557" t="str">
            <v>ACABADOS DE PU</v>
          </cell>
        </row>
        <row r="9558">
          <cell r="A9558" t="str">
            <v>RA-28971</v>
          </cell>
          <cell r="E9558" t="str">
            <v>ACABADOS DE PU</v>
          </cell>
        </row>
        <row r="9559">
          <cell r="A9559" t="str">
            <v>RA-28981</v>
          </cell>
          <cell r="E9559" t="str">
            <v>ACABADOS DE PU</v>
          </cell>
        </row>
        <row r="9560">
          <cell r="A9560" t="str">
            <v>RA-28991</v>
          </cell>
          <cell r="E9560" t="str">
            <v>ACABADOS DE PU</v>
          </cell>
        </row>
        <row r="9561">
          <cell r="A9561" t="str">
            <v>RA-29013</v>
          </cell>
          <cell r="E9561" t="str">
            <v>ACABADOS EPOXICOS</v>
          </cell>
        </row>
        <row r="9562">
          <cell r="A9562" t="str">
            <v>REF-SANT1520</v>
          </cell>
          <cell r="E9562" t="str">
            <v>GASTOS GENERALES</v>
          </cell>
        </row>
        <row r="9563">
          <cell r="A9563" t="str">
            <v>REF-SANT2120</v>
          </cell>
          <cell r="E9563" t="str">
            <v>GASTOS GENERALES</v>
          </cell>
        </row>
        <row r="9564">
          <cell r="A9564" t="str">
            <v>REF-SANT2220</v>
          </cell>
          <cell r="E9564" t="str">
            <v>GASTOS GENERALES</v>
          </cell>
        </row>
        <row r="9565">
          <cell r="A9565" t="str">
            <v>REF-SANT4100</v>
          </cell>
          <cell r="E9565" t="str">
            <v>ACCESORIOS PARA PREPARACION DE</v>
          </cell>
        </row>
        <row r="9566">
          <cell r="A9566" t="str">
            <v>RP-04003</v>
          </cell>
          <cell r="E9566" t="str">
            <v>PRIMARIOS INORGANICOS</v>
          </cell>
        </row>
        <row r="9567">
          <cell r="A9567" t="str">
            <v>RP-04013</v>
          </cell>
          <cell r="E9567" t="str">
            <v>PRIMARIOS INORGANICOS</v>
          </cell>
        </row>
        <row r="9568">
          <cell r="A9568" t="str">
            <v>RP-06001</v>
          </cell>
          <cell r="E9568" t="str">
            <v>PRIMARIOS EPOXICOS</v>
          </cell>
        </row>
        <row r="9569">
          <cell r="A9569" t="str">
            <v>RP-06013</v>
          </cell>
          <cell r="E9569" t="str">
            <v>PRIMARIOS EPOXICOS</v>
          </cell>
        </row>
        <row r="9570">
          <cell r="A9570" t="str">
            <v>RP-10001</v>
          </cell>
          <cell r="E9570" t="str">
            <v>ACABADOS EPOXICOS</v>
          </cell>
        </row>
        <row r="9571">
          <cell r="A9571" t="str">
            <v>RP-10013</v>
          </cell>
          <cell r="E9571" t="str">
            <v>PRIMARIOS EPOXICOS</v>
          </cell>
        </row>
        <row r="9572">
          <cell r="A9572" t="str">
            <v>RP-13001</v>
          </cell>
          <cell r="E9572" t="str">
            <v>ACABADOS EPOXICOS</v>
          </cell>
        </row>
        <row r="9573">
          <cell r="A9573" t="str">
            <v>RP-13013</v>
          </cell>
          <cell r="E9573" t="str">
            <v>ACABADOS EPOXICOS</v>
          </cell>
        </row>
        <row r="9574">
          <cell r="A9574" t="str">
            <v>RP-22033</v>
          </cell>
          <cell r="E9574" t="str">
            <v>PRIMARIOS EPOXICOS</v>
          </cell>
        </row>
        <row r="9575">
          <cell r="A9575" t="str">
            <v>RP-2203GL</v>
          </cell>
          <cell r="E9575" t="str">
            <v>PRIMARIOS EPOXICOS</v>
          </cell>
        </row>
        <row r="9576">
          <cell r="A9576" t="str">
            <v>RP-22055</v>
          </cell>
          <cell r="E9576" t="str">
            <v>OTROS ACABADOS INDUSTRIALES</v>
          </cell>
        </row>
        <row r="9577">
          <cell r="A9577" t="str">
            <v>RP-2205ML</v>
          </cell>
          <cell r="E9577" t="str">
            <v>OTROS ACABADOS INDUSTRIALES</v>
          </cell>
        </row>
        <row r="9578">
          <cell r="A9578" t="str">
            <v>RP-22073</v>
          </cell>
          <cell r="E9578" t="str">
            <v>PRIMARIOS EPOXICOS</v>
          </cell>
        </row>
        <row r="9579">
          <cell r="A9579" t="str">
            <v>RP-2207GL</v>
          </cell>
          <cell r="E9579" t="str">
            <v>PRIMARIOS EPOXICOS</v>
          </cell>
        </row>
        <row r="9580">
          <cell r="A9580" t="str">
            <v>S-17001</v>
          </cell>
          <cell r="E9580" t="str">
            <v>ESMALTE - APRISA</v>
          </cell>
        </row>
        <row r="9581">
          <cell r="A9581" t="str">
            <v>S-17003</v>
          </cell>
          <cell r="E9581" t="str">
            <v>ESMALTE - APRISA</v>
          </cell>
        </row>
        <row r="9582">
          <cell r="A9582" t="str">
            <v>S-17004</v>
          </cell>
          <cell r="E9582" t="str">
            <v>ESMALTE - APRISA</v>
          </cell>
        </row>
        <row r="9583">
          <cell r="A9583" t="str">
            <v>S-17006</v>
          </cell>
          <cell r="E9583" t="str">
            <v>ESMALTE - APRISA</v>
          </cell>
        </row>
        <row r="9584">
          <cell r="A9584" t="str">
            <v>S-17073</v>
          </cell>
          <cell r="E9584" t="str">
            <v>ESMALTE - APRISA</v>
          </cell>
        </row>
        <row r="9585">
          <cell r="A9585" t="str">
            <v>S-17074</v>
          </cell>
          <cell r="E9585" t="str">
            <v>ESMALTE - APRISA</v>
          </cell>
        </row>
        <row r="9586">
          <cell r="A9586" t="str">
            <v>S-17121</v>
          </cell>
          <cell r="E9586" t="str">
            <v>ESMALTE - APRISA</v>
          </cell>
        </row>
        <row r="9587">
          <cell r="A9587" t="str">
            <v>S-17123</v>
          </cell>
          <cell r="E9587" t="str">
            <v>ESMALTE - APRISA</v>
          </cell>
        </row>
        <row r="9588">
          <cell r="A9588" t="str">
            <v>S-17124</v>
          </cell>
          <cell r="E9588" t="str">
            <v>ESMALTE - APRISA</v>
          </cell>
        </row>
        <row r="9589">
          <cell r="A9589" t="str">
            <v>S-17143</v>
          </cell>
          <cell r="E9589" t="str">
            <v>ESMALTE - APRISA</v>
          </cell>
        </row>
        <row r="9590">
          <cell r="A9590" t="str">
            <v>S-17144</v>
          </cell>
          <cell r="E9590" t="str">
            <v>ESMALTE - APRISA</v>
          </cell>
        </row>
        <row r="9591">
          <cell r="A9591" t="str">
            <v>S-17153</v>
          </cell>
          <cell r="E9591" t="str">
            <v>ESMALTE - APRISA</v>
          </cell>
        </row>
        <row r="9592">
          <cell r="A9592" t="str">
            <v>S-17154</v>
          </cell>
          <cell r="E9592" t="str">
            <v>ESMALTE - APRISA</v>
          </cell>
        </row>
        <row r="9593">
          <cell r="A9593" t="str">
            <v>S-17213</v>
          </cell>
          <cell r="E9593" t="str">
            <v>ESMALTE - APRISA</v>
          </cell>
        </row>
        <row r="9594">
          <cell r="A9594" t="str">
            <v>S-17214</v>
          </cell>
          <cell r="E9594" t="str">
            <v>ESMALTE - APRISA</v>
          </cell>
        </row>
        <row r="9595">
          <cell r="A9595" t="str">
            <v>S-17223</v>
          </cell>
          <cell r="E9595" t="str">
            <v>ESMALTE - APRISA</v>
          </cell>
        </row>
        <row r="9596">
          <cell r="A9596" t="str">
            <v>S-17224</v>
          </cell>
          <cell r="E9596" t="str">
            <v>ESMALTE - APRISA</v>
          </cell>
        </row>
        <row r="9597">
          <cell r="A9597" t="str">
            <v>S-17353</v>
          </cell>
          <cell r="E9597" t="str">
            <v>ESMALTE - APRISA</v>
          </cell>
        </row>
        <row r="9598">
          <cell r="A9598" t="str">
            <v>S-17354</v>
          </cell>
          <cell r="E9598" t="str">
            <v>ESMALTE - APRISA</v>
          </cell>
        </row>
        <row r="9599">
          <cell r="A9599" t="str">
            <v>S-17453</v>
          </cell>
          <cell r="E9599" t="str">
            <v>ESMALTE - APRISA</v>
          </cell>
        </row>
        <row r="9600">
          <cell r="A9600" t="str">
            <v>S-17454</v>
          </cell>
          <cell r="E9600" t="str">
            <v>ESMALTE - APRISA</v>
          </cell>
        </row>
        <row r="9601">
          <cell r="A9601" t="str">
            <v>S-17456</v>
          </cell>
          <cell r="E9601" t="str">
            <v>ESMALTE - APRISA</v>
          </cell>
        </row>
        <row r="9602">
          <cell r="A9602" t="str">
            <v>S-17563</v>
          </cell>
          <cell r="E9602" t="str">
            <v>ESMALTE - APRISA</v>
          </cell>
        </row>
        <row r="9603">
          <cell r="A9603" t="str">
            <v>S-17564</v>
          </cell>
          <cell r="E9603" t="str">
            <v>ESMALTE - APRISA</v>
          </cell>
        </row>
        <row r="9604">
          <cell r="A9604" t="str">
            <v>S-17583</v>
          </cell>
          <cell r="E9604" t="str">
            <v>ESMALTE - APRISA</v>
          </cell>
        </row>
        <row r="9605">
          <cell r="A9605" t="str">
            <v>S-17584</v>
          </cell>
          <cell r="E9605" t="str">
            <v>ESMALTE - APRISA</v>
          </cell>
        </row>
        <row r="9606">
          <cell r="A9606" t="str">
            <v>S-17643</v>
          </cell>
          <cell r="E9606" t="str">
            <v>ESMALTE - APRISA</v>
          </cell>
        </row>
        <row r="9607">
          <cell r="A9607" t="str">
            <v>S-17644</v>
          </cell>
          <cell r="E9607" t="str">
            <v>ESMALTE - APRISA</v>
          </cell>
        </row>
        <row r="9608">
          <cell r="A9608" t="str">
            <v>S-17693</v>
          </cell>
          <cell r="E9608" t="str">
            <v>ESMALTE - APRISA</v>
          </cell>
        </row>
        <row r="9609">
          <cell r="A9609" t="str">
            <v>S-17694</v>
          </cell>
          <cell r="E9609" t="str">
            <v>ESMALTE - APRISA</v>
          </cell>
        </row>
        <row r="9610">
          <cell r="A9610" t="str">
            <v>S-17713</v>
          </cell>
          <cell r="E9610" t="str">
            <v>ESMALTE - APRISA</v>
          </cell>
        </row>
        <row r="9611">
          <cell r="A9611" t="str">
            <v>S-17714</v>
          </cell>
          <cell r="E9611" t="str">
            <v>ESMALTE - APRISA</v>
          </cell>
        </row>
        <row r="9612">
          <cell r="A9612" t="str">
            <v>S-17743</v>
          </cell>
          <cell r="E9612" t="str">
            <v>ESMALTE - APRISA</v>
          </cell>
        </row>
        <row r="9613">
          <cell r="A9613" t="str">
            <v>S-17793</v>
          </cell>
          <cell r="E9613" t="str">
            <v>ESMALTE - APRISA</v>
          </cell>
        </row>
        <row r="9614">
          <cell r="A9614" t="str">
            <v>S-17794</v>
          </cell>
          <cell r="E9614" t="str">
            <v>ESMALTE - APRISA</v>
          </cell>
        </row>
        <row r="9615">
          <cell r="A9615" t="str">
            <v>S-17823</v>
          </cell>
          <cell r="E9615" t="str">
            <v>ESMALTE - APRISA</v>
          </cell>
        </row>
        <row r="9616">
          <cell r="A9616" t="str">
            <v>S-17824</v>
          </cell>
          <cell r="E9616" t="str">
            <v>ESMALTE - APRISA</v>
          </cell>
        </row>
        <row r="9617">
          <cell r="A9617" t="str">
            <v>S-17826</v>
          </cell>
          <cell r="E9617" t="str">
            <v>ESMALTE - APRISA</v>
          </cell>
        </row>
        <row r="9618">
          <cell r="A9618" t="str">
            <v>S-17913</v>
          </cell>
          <cell r="E9618" t="str">
            <v>ESMALTE - APRISA</v>
          </cell>
        </row>
        <row r="9619">
          <cell r="A9619" t="str">
            <v>S-17914</v>
          </cell>
          <cell r="E9619" t="str">
            <v>ESMALTE - APRISA</v>
          </cell>
        </row>
        <row r="9620">
          <cell r="A9620" t="str">
            <v>S-17923</v>
          </cell>
          <cell r="E9620" t="str">
            <v>ESMALTE - APRISA</v>
          </cell>
        </row>
        <row r="9621">
          <cell r="A9621" t="str">
            <v>S-17933</v>
          </cell>
          <cell r="E9621" t="str">
            <v>ESMALTE - APRISA</v>
          </cell>
        </row>
        <row r="9622">
          <cell r="A9622" t="str">
            <v>S-17934</v>
          </cell>
          <cell r="E9622" t="str">
            <v>ESMALTE - APRISA</v>
          </cell>
        </row>
        <row r="9623">
          <cell r="A9623" t="str">
            <v>S-17981</v>
          </cell>
          <cell r="E9623" t="str">
            <v>ESMALTE - APRISA</v>
          </cell>
        </row>
        <row r="9624">
          <cell r="A9624" t="str">
            <v>S-17983</v>
          </cell>
          <cell r="E9624" t="str">
            <v>ESMALTE - APRISA</v>
          </cell>
        </row>
        <row r="9625">
          <cell r="A9625" t="str">
            <v>S-17984</v>
          </cell>
          <cell r="E9625" t="str">
            <v>ESMALTE - APRISA</v>
          </cell>
        </row>
        <row r="9626">
          <cell r="A9626" t="str">
            <v>S-17986</v>
          </cell>
          <cell r="E9626" t="str">
            <v>ESMALTE - APRISA</v>
          </cell>
        </row>
        <row r="9627">
          <cell r="A9627" t="str">
            <v>S-17991</v>
          </cell>
          <cell r="E9627" t="str">
            <v>ESMALTE - APRISA</v>
          </cell>
        </row>
        <row r="9628">
          <cell r="A9628" t="str">
            <v>S-17993</v>
          </cell>
          <cell r="E9628" t="str">
            <v>ESMALTE - APRISA</v>
          </cell>
        </row>
        <row r="9629">
          <cell r="A9629" t="str">
            <v>S-17994</v>
          </cell>
          <cell r="E9629" t="str">
            <v>ESMALTE - APRISA</v>
          </cell>
        </row>
        <row r="9630">
          <cell r="A9630" t="str">
            <v>S-17996</v>
          </cell>
          <cell r="E9630" t="str">
            <v>ESMALTE - APRISA</v>
          </cell>
        </row>
        <row r="9631">
          <cell r="A9631" t="str">
            <v>S-32000</v>
          </cell>
          <cell r="E9631" t="str">
            <v>VINILICA - RIVINOL  7 SATINADO</v>
          </cell>
        </row>
        <row r="9632">
          <cell r="A9632" t="str">
            <v>S-32001</v>
          </cell>
          <cell r="E9632" t="str">
            <v>VINILICA - RIVINOL  7 SATINADO</v>
          </cell>
        </row>
        <row r="9633">
          <cell r="A9633" t="str">
            <v>S-32002</v>
          </cell>
          <cell r="E9633" t="str">
            <v>VINILICA - RIVINOL  7 SATINADO</v>
          </cell>
        </row>
        <row r="9634">
          <cell r="A9634" t="str">
            <v>S-32003</v>
          </cell>
          <cell r="E9634" t="str">
            <v>VINILICA - RIVINOL  7 SATINADO</v>
          </cell>
        </row>
        <row r="9635">
          <cell r="A9635" t="str">
            <v>S-32004</v>
          </cell>
          <cell r="E9635" t="str">
            <v>VINILICA - RIVINOL  7 SATINADO</v>
          </cell>
        </row>
        <row r="9636">
          <cell r="A9636" t="str">
            <v>S-32041</v>
          </cell>
          <cell r="E9636" t="str">
            <v>VINILICA - RIVINOL  7 SATINADO</v>
          </cell>
        </row>
        <row r="9637">
          <cell r="A9637" t="str">
            <v>S-32043</v>
          </cell>
          <cell r="E9637" t="str">
            <v>VINILICA - RIVINOL  7 SATINADO</v>
          </cell>
        </row>
        <row r="9638">
          <cell r="A9638" t="str">
            <v>S-32044</v>
          </cell>
          <cell r="E9638" t="str">
            <v>VINILICA - RIVINOL  7 SATINADO</v>
          </cell>
        </row>
        <row r="9639">
          <cell r="A9639" t="str">
            <v>S-32051</v>
          </cell>
          <cell r="E9639" t="str">
            <v>VINILICA - RIVINOL  7 SATINADO</v>
          </cell>
        </row>
        <row r="9640">
          <cell r="A9640" t="str">
            <v>S-32053</v>
          </cell>
          <cell r="E9640" t="str">
            <v>VINILICA - RIVINOL  7 SATINADO</v>
          </cell>
        </row>
        <row r="9641">
          <cell r="A9641" t="str">
            <v>S-32054</v>
          </cell>
          <cell r="E9641" t="str">
            <v>VINILICA - RIVINOL  7 SATINADO</v>
          </cell>
        </row>
        <row r="9642">
          <cell r="A9642" t="str">
            <v>S-32071</v>
          </cell>
          <cell r="E9642" t="str">
            <v>VINILICA - RIVINOL  7 SATINADO</v>
          </cell>
        </row>
        <row r="9643">
          <cell r="A9643" t="str">
            <v>S-32073</v>
          </cell>
          <cell r="E9643" t="str">
            <v>VINILICA - RIVINOL  7 SATINADO</v>
          </cell>
        </row>
        <row r="9644">
          <cell r="A9644" t="str">
            <v>S-32074</v>
          </cell>
          <cell r="E9644" t="str">
            <v>VINILICA - RIVINOL  7 SATINADO</v>
          </cell>
        </row>
        <row r="9645">
          <cell r="A9645" t="str">
            <v>S-32081</v>
          </cell>
          <cell r="E9645" t="str">
            <v>VINILICA - RIVINOL  7 SATINADO</v>
          </cell>
        </row>
        <row r="9646">
          <cell r="A9646" t="str">
            <v>S-32083</v>
          </cell>
          <cell r="E9646" t="str">
            <v>VINILICA - RIVINOL  7 SATINADO</v>
          </cell>
        </row>
        <row r="9647">
          <cell r="A9647" t="str">
            <v>S-32084</v>
          </cell>
          <cell r="E9647" t="str">
            <v>VINILICA - RIVINOL  7 SATINADO</v>
          </cell>
        </row>
        <row r="9648">
          <cell r="A9648" t="str">
            <v>S-32131</v>
          </cell>
          <cell r="E9648" t="str">
            <v>VINILICA - RIVINOL  7 SATINADO</v>
          </cell>
        </row>
        <row r="9649">
          <cell r="A9649" t="str">
            <v>S-32133</v>
          </cell>
          <cell r="E9649" t="str">
            <v>VINILICA - RIVINOL  7 SATINADO</v>
          </cell>
        </row>
        <row r="9650">
          <cell r="A9650" t="str">
            <v>S-32134</v>
          </cell>
          <cell r="E9650" t="str">
            <v>VINILICA - RIVINOL  7 SATINADO</v>
          </cell>
        </row>
        <row r="9651">
          <cell r="A9651" t="str">
            <v>S-32261</v>
          </cell>
          <cell r="E9651" t="str">
            <v>VINILICA - RIVINOL  7 SATINADO</v>
          </cell>
        </row>
        <row r="9652">
          <cell r="A9652" t="str">
            <v>S-32263</v>
          </cell>
          <cell r="E9652" t="str">
            <v>VINILICA - RIVINOL  7 SATINADO</v>
          </cell>
        </row>
        <row r="9653">
          <cell r="A9653" t="str">
            <v>S-32264</v>
          </cell>
          <cell r="E9653" t="str">
            <v>VINILICA - RIVINOL  7 SATINADO</v>
          </cell>
        </row>
        <row r="9654">
          <cell r="A9654" t="str">
            <v>S-32351</v>
          </cell>
          <cell r="E9654" t="str">
            <v>VINILICA - RIVINOL  7 SATINADO</v>
          </cell>
        </row>
        <row r="9655">
          <cell r="A9655" t="str">
            <v>S-32353</v>
          </cell>
          <cell r="E9655" t="str">
            <v>VINILICA - RIVINOL  7 SATINADO</v>
          </cell>
        </row>
        <row r="9656">
          <cell r="A9656" t="str">
            <v>S-32354</v>
          </cell>
          <cell r="E9656" t="str">
            <v>VINILICA - RIVINOL  7 SATINADO</v>
          </cell>
        </row>
        <row r="9657">
          <cell r="A9657" t="str">
            <v>S-32461</v>
          </cell>
          <cell r="E9657" t="str">
            <v>VINILICA - RIVINOL  7 SATINADO</v>
          </cell>
        </row>
        <row r="9658">
          <cell r="A9658" t="str">
            <v>S-32463</v>
          </cell>
          <cell r="E9658" t="str">
            <v>VINILICA - RIVINOL  7 SATINADO</v>
          </cell>
        </row>
        <row r="9659">
          <cell r="A9659" t="str">
            <v>S-32464</v>
          </cell>
          <cell r="E9659" t="str">
            <v>VINILICA - RIVINOL  7 SATINADO</v>
          </cell>
        </row>
        <row r="9660">
          <cell r="A9660" t="str">
            <v>S-32471</v>
          </cell>
          <cell r="E9660" t="str">
            <v>VINILICA - RIVINOL  7 SATINADO</v>
          </cell>
        </row>
        <row r="9661">
          <cell r="A9661" t="str">
            <v>S-32473</v>
          </cell>
          <cell r="E9661" t="str">
            <v>VINILICA - RIVINOL  7 SATINADO</v>
          </cell>
        </row>
        <row r="9662">
          <cell r="A9662" t="str">
            <v>S-32474</v>
          </cell>
          <cell r="E9662" t="str">
            <v>VINILICA - RIVINOL  7 SATINADO</v>
          </cell>
        </row>
        <row r="9663">
          <cell r="A9663" t="str">
            <v>S-32491</v>
          </cell>
          <cell r="E9663" t="str">
            <v>VINILICA - RIVINOL  7 SATINADO</v>
          </cell>
        </row>
        <row r="9664">
          <cell r="A9664" t="str">
            <v>S-32493</v>
          </cell>
          <cell r="E9664" t="str">
            <v>VINILICA - RIVINOL  7 SATINADO</v>
          </cell>
        </row>
        <row r="9665">
          <cell r="A9665" t="str">
            <v>S-32494</v>
          </cell>
          <cell r="E9665" t="str">
            <v>VINILICA - RIVINOL  7 SATINADO</v>
          </cell>
        </row>
        <row r="9666">
          <cell r="A9666" t="str">
            <v>S-32561</v>
          </cell>
          <cell r="E9666" t="str">
            <v>VINILICA - RIVINOL  7 SATINADO</v>
          </cell>
        </row>
        <row r="9667">
          <cell r="A9667" t="str">
            <v>S-32563</v>
          </cell>
          <cell r="E9667" t="str">
            <v>VINILICA - RIVINOL  7 SATINADO</v>
          </cell>
        </row>
        <row r="9668">
          <cell r="A9668" t="str">
            <v>S-32564</v>
          </cell>
          <cell r="E9668" t="str">
            <v>VINILICA - RIVINOL  7 SATINADO</v>
          </cell>
        </row>
        <row r="9669">
          <cell r="A9669" t="str">
            <v>S-32581</v>
          </cell>
          <cell r="E9669" t="str">
            <v>VINILICA - RIVINOL  7 SATINADO</v>
          </cell>
        </row>
        <row r="9670">
          <cell r="A9670" t="str">
            <v>S-32583</v>
          </cell>
          <cell r="E9670" t="str">
            <v>VINILICA - RIVINOL  7 SATINADO</v>
          </cell>
        </row>
        <row r="9671">
          <cell r="A9671" t="str">
            <v>S-32584</v>
          </cell>
          <cell r="E9671" t="str">
            <v>VINILICA - RIVINOL  7 SATINADO</v>
          </cell>
        </row>
        <row r="9672">
          <cell r="A9672" t="str">
            <v>S-32681</v>
          </cell>
          <cell r="E9672" t="str">
            <v>VINILICA - RIVINOL  7 SATINADO</v>
          </cell>
        </row>
        <row r="9673">
          <cell r="A9673" t="str">
            <v>S-32683</v>
          </cell>
          <cell r="E9673" t="str">
            <v>VINILICA - RIVINOL  7 SATINADO</v>
          </cell>
        </row>
        <row r="9674">
          <cell r="A9674" t="str">
            <v>S-32684</v>
          </cell>
          <cell r="E9674" t="str">
            <v>VINILICA - RIVINOL  7 SATINADO</v>
          </cell>
        </row>
        <row r="9675">
          <cell r="A9675" t="str">
            <v>S-32731</v>
          </cell>
          <cell r="E9675" t="str">
            <v>VINILICA - RIVINOL  7 SATINADO</v>
          </cell>
        </row>
        <row r="9676">
          <cell r="A9676" t="str">
            <v>S-32733</v>
          </cell>
          <cell r="E9676" t="str">
            <v>VINILICA - RIVINOL  7 SATINADO</v>
          </cell>
        </row>
        <row r="9677">
          <cell r="A9677" t="str">
            <v>S-32734</v>
          </cell>
          <cell r="E9677" t="str">
            <v>VINILICA - RIVINOL  7 SATINADO</v>
          </cell>
        </row>
        <row r="9678">
          <cell r="A9678" t="str">
            <v>S-32771</v>
          </cell>
          <cell r="E9678" t="str">
            <v>VINILICA - RIVINOL  7 SATINADO</v>
          </cell>
        </row>
        <row r="9679">
          <cell r="A9679" t="str">
            <v>S-32773</v>
          </cell>
          <cell r="E9679" t="str">
            <v>VINILICA - RIVINOL  7 SATINADO</v>
          </cell>
        </row>
        <row r="9680">
          <cell r="A9680" t="str">
            <v>S-32774</v>
          </cell>
          <cell r="E9680" t="str">
            <v>VINILICA - RIVINOL  7 SATINADO</v>
          </cell>
        </row>
        <row r="9681">
          <cell r="A9681" t="str">
            <v>S-32990</v>
          </cell>
          <cell r="E9681" t="str">
            <v>VINILICA - RIVINOL  7 SATINADO</v>
          </cell>
        </row>
        <row r="9682">
          <cell r="A9682" t="str">
            <v>S-32991</v>
          </cell>
          <cell r="E9682" t="str">
            <v>VINILICA - RIVINOL  7 SATINADO</v>
          </cell>
        </row>
        <row r="9683">
          <cell r="A9683" t="str">
            <v>S-32993</v>
          </cell>
          <cell r="E9683" t="str">
            <v>VINILICA - RIVINOL  7 SATINADO</v>
          </cell>
        </row>
        <row r="9684">
          <cell r="A9684" t="str">
            <v>S-32994</v>
          </cell>
          <cell r="E9684" t="str">
            <v>VINILICA - RIVINOL  7 SATINADO</v>
          </cell>
        </row>
        <row r="9685">
          <cell r="A9685" t="str">
            <v>SERIGUALA01</v>
          </cell>
          <cell r="E9685" t="str">
            <v>NO IDENTIFICADO</v>
          </cell>
        </row>
        <row r="9686">
          <cell r="A9686" t="str">
            <v>SERV01</v>
          </cell>
          <cell r="E9686" t="str">
            <v>GASTOS GENERALES</v>
          </cell>
        </row>
        <row r="9687">
          <cell r="A9687" t="str">
            <v>SERV-PSP</v>
          </cell>
          <cell r="E9687" t="str">
            <v>OTROS INGRESOS</v>
          </cell>
        </row>
        <row r="9688">
          <cell r="A9688" t="str">
            <v>SP10400</v>
          </cell>
          <cell r="E9688" t="str">
            <v>VINILICA - RIVINOL</v>
          </cell>
        </row>
        <row r="9689">
          <cell r="A9689" t="str">
            <v>SP10414</v>
          </cell>
          <cell r="E9689" t="str">
            <v>VINILICA - RIVINOL</v>
          </cell>
        </row>
        <row r="9690">
          <cell r="A9690" t="str">
            <v>SP10416</v>
          </cell>
          <cell r="E9690" t="str">
            <v>VINILICA - RIVINOL</v>
          </cell>
        </row>
        <row r="9691">
          <cell r="A9691" t="str">
            <v>SP10421</v>
          </cell>
          <cell r="E9691" t="str">
            <v>VINILICA - RIVINOL</v>
          </cell>
        </row>
        <row r="9692">
          <cell r="A9692" t="str">
            <v>SP10446</v>
          </cell>
          <cell r="E9692" t="str">
            <v>VINILICA - RIVINOL</v>
          </cell>
        </row>
        <row r="9693">
          <cell r="A9693" t="str">
            <v>SP10468</v>
          </cell>
          <cell r="E9693" t="str">
            <v>VINILICA - RIVINOL</v>
          </cell>
        </row>
        <row r="9694">
          <cell r="A9694" t="str">
            <v>SP10499</v>
          </cell>
          <cell r="E9694" t="str">
            <v>VINILICA - RIVINOL</v>
          </cell>
        </row>
        <row r="9695">
          <cell r="A9695" t="str">
            <v>SP20300</v>
          </cell>
          <cell r="E9695" t="str">
            <v>VINILICA - VINIBAR</v>
          </cell>
        </row>
        <row r="9696">
          <cell r="A9696" t="str">
            <v>SP20400</v>
          </cell>
          <cell r="E9696" t="str">
            <v>VINILICA - VINIBAR</v>
          </cell>
        </row>
        <row r="9697">
          <cell r="A9697" t="str">
            <v>SP20421</v>
          </cell>
          <cell r="E9697" t="str">
            <v>VINILICA - VINIBAR</v>
          </cell>
        </row>
        <row r="9698">
          <cell r="A9698" t="str">
            <v>SP20422</v>
          </cell>
          <cell r="E9698" t="str">
            <v>VINILICA - VINIBAR</v>
          </cell>
        </row>
        <row r="9699">
          <cell r="A9699" t="str">
            <v>SP20466</v>
          </cell>
          <cell r="E9699" t="str">
            <v>VINILICA - VINIBAR</v>
          </cell>
        </row>
        <row r="9700">
          <cell r="A9700" t="str">
            <v>SP20476</v>
          </cell>
          <cell r="E9700" t="str">
            <v>VINILICA - VINIBAR</v>
          </cell>
        </row>
        <row r="9701">
          <cell r="A9701" t="str">
            <v>SP30100</v>
          </cell>
          <cell r="E9701" t="str">
            <v>ESMALTE - KITOX</v>
          </cell>
        </row>
        <row r="9702">
          <cell r="A9702" t="str">
            <v>SP30199</v>
          </cell>
          <cell r="E9702" t="str">
            <v>ESMALTE - KITOX</v>
          </cell>
        </row>
        <row r="9703">
          <cell r="A9703" t="str">
            <v>SP30200</v>
          </cell>
          <cell r="E9703" t="str">
            <v>ESMALTE - KITOX</v>
          </cell>
        </row>
        <row r="9704">
          <cell r="A9704" t="str">
            <v>SP30299</v>
          </cell>
          <cell r="E9704" t="str">
            <v>ESMALTE - KITOX</v>
          </cell>
        </row>
        <row r="9705">
          <cell r="A9705" t="str">
            <v>SP30300</v>
          </cell>
          <cell r="E9705" t="str">
            <v>ESMALTE - KITOX</v>
          </cell>
        </row>
        <row r="9706">
          <cell r="A9706" t="str">
            <v>SP30399</v>
          </cell>
          <cell r="E9706" t="str">
            <v>ESMALTE - KITOX</v>
          </cell>
        </row>
        <row r="9707">
          <cell r="A9707" t="str">
            <v>SP40100</v>
          </cell>
          <cell r="E9707" t="str">
            <v>ESM SECADO RAPIDO BASE SOLVENT</v>
          </cell>
        </row>
        <row r="9708">
          <cell r="A9708" t="str">
            <v>SP40199</v>
          </cell>
          <cell r="E9708" t="str">
            <v>ESM SECADO RAPIDO BASE SOLVENT</v>
          </cell>
        </row>
        <row r="9709">
          <cell r="A9709" t="str">
            <v>SP40200</v>
          </cell>
          <cell r="E9709" t="str">
            <v>ESM SECADO RAPIDO BASE SOLVENT</v>
          </cell>
        </row>
        <row r="9710">
          <cell r="A9710" t="str">
            <v>SP40212</v>
          </cell>
          <cell r="E9710" t="str">
            <v>ESM SECADO RAPIDO BASE SOLVENT</v>
          </cell>
        </row>
        <row r="9711">
          <cell r="A9711" t="str">
            <v>SP40245</v>
          </cell>
          <cell r="E9711" t="str">
            <v>ESM SECADO RAPIDO BASE SOLVENT</v>
          </cell>
        </row>
        <row r="9712">
          <cell r="A9712" t="str">
            <v>SP40262</v>
          </cell>
          <cell r="E9712" t="str">
            <v>ESM SECADO RAPIDO BASE SOLVENT</v>
          </cell>
        </row>
        <row r="9713">
          <cell r="A9713" t="str">
            <v>SP40299</v>
          </cell>
          <cell r="E9713" t="str">
            <v>ESM SECADO RAPIDO BASE SOLVENT</v>
          </cell>
        </row>
        <row r="9714">
          <cell r="A9714" t="str">
            <v>SP40300</v>
          </cell>
          <cell r="E9714" t="str">
            <v>ESM SECADO RAPIDO BASE SOLVENT</v>
          </cell>
        </row>
        <row r="9715">
          <cell r="A9715" t="str">
            <v>SP40312</v>
          </cell>
          <cell r="E9715" t="str">
            <v>ESM SECADO RAPIDO BASE SOLVENT</v>
          </cell>
        </row>
        <row r="9716">
          <cell r="A9716" t="str">
            <v>SP40345</v>
          </cell>
          <cell r="E9716" t="str">
            <v>ESM SECADO RAPIDO BASE SOLVENT</v>
          </cell>
        </row>
        <row r="9717">
          <cell r="A9717" t="str">
            <v>SP40362</v>
          </cell>
          <cell r="E9717" t="str">
            <v>ESM SECADO RAPIDO BASE SOLVENT</v>
          </cell>
        </row>
        <row r="9718">
          <cell r="A9718" t="str">
            <v>SP40369</v>
          </cell>
          <cell r="E9718" t="str">
            <v>ESM SECADO RAPIDO BASE SOLVENT</v>
          </cell>
        </row>
        <row r="9719">
          <cell r="A9719" t="str">
            <v>SP40393</v>
          </cell>
          <cell r="E9719" t="str">
            <v>ESM SECADO RAPIDO BASE SOLVENT</v>
          </cell>
        </row>
        <row r="9720">
          <cell r="A9720" t="str">
            <v>SP40399</v>
          </cell>
          <cell r="E9720" t="str">
            <v>ESM SECADO RAPIDO BASE SOLVENT</v>
          </cell>
        </row>
        <row r="9721">
          <cell r="A9721" t="str">
            <v>SP50256</v>
          </cell>
          <cell r="E9721" t="str">
            <v>PRIMARIOS ESTRUCTURALES ALQUID</v>
          </cell>
        </row>
        <row r="9722">
          <cell r="A9722" t="str">
            <v>SP50356</v>
          </cell>
          <cell r="E9722" t="str">
            <v>PRIMARIOS ESTRUCTURALES ALQUID</v>
          </cell>
        </row>
        <row r="9723">
          <cell r="A9723" t="str">
            <v>SPE-109523</v>
          </cell>
          <cell r="E9723" t="str">
            <v>ESM SECADO RAPIDO BASE SOLVENT</v>
          </cell>
        </row>
        <row r="9724">
          <cell r="A9724" t="str">
            <v>SPE-109773</v>
          </cell>
          <cell r="E9724" t="str">
            <v>ESM SECADO RAPIDO BASE SOLVENT</v>
          </cell>
        </row>
        <row r="9725">
          <cell r="A9725" t="str">
            <v>SPE-78583</v>
          </cell>
          <cell r="E9725" t="str">
            <v>BARNIZ DE POLIURETANO SIGLO</v>
          </cell>
        </row>
        <row r="9726">
          <cell r="A9726" t="str">
            <v>SPE-79343</v>
          </cell>
          <cell r="E9726" t="str">
            <v>ESMALTE PU AUTOMOTIVO</v>
          </cell>
        </row>
        <row r="9727">
          <cell r="A9727" t="str">
            <v>SPE-79603</v>
          </cell>
          <cell r="E9727" t="str">
            <v>ESMALTE PU AUTOMOTIVO</v>
          </cell>
        </row>
        <row r="9728">
          <cell r="A9728" t="str">
            <v>SPE-81983</v>
          </cell>
          <cell r="E9728" t="str">
            <v>ESMALTE PU AUTOMOTIVO</v>
          </cell>
        </row>
        <row r="9729">
          <cell r="A9729" t="str">
            <v>SPE-83251</v>
          </cell>
          <cell r="E9729" t="str">
            <v>ESMALTE DE HORNEO BASE SOLVENT</v>
          </cell>
        </row>
        <row r="9730">
          <cell r="A9730" t="str">
            <v>SPE-89441</v>
          </cell>
          <cell r="E9730" t="str">
            <v>PRIMARIOS ESTRUCTURALES ALQUID</v>
          </cell>
        </row>
        <row r="9731">
          <cell r="A9731" t="str">
            <v>SPE-89511</v>
          </cell>
          <cell r="E9731" t="str">
            <v>OTROS ACABADOS PARA MADERA SIG</v>
          </cell>
        </row>
        <row r="9732">
          <cell r="A9732" t="str">
            <v>SPE-89613</v>
          </cell>
          <cell r="E9732" t="str">
            <v>OTROS ACABADOS PARA MADERA SIG</v>
          </cell>
        </row>
        <row r="9733">
          <cell r="A9733" t="str">
            <v>SPE-90741</v>
          </cell>
          <cell r="E9733" t="str">
            <v>PRIMARIOS ESTRUCTURALES ALQUID</v>
          </cell>
        </row>
        <row r="9734">
          <cell r="A9734" t="str">
            <v>SPE-98333</v>
          </cell>
          <cell r="E9734" t="str">
            <v>ESM SECADO RAPIDO BASE SOLVENT</v>
          </cell>
        </row>
        <row r="9735">
          <cell r="A9735" t="str">
            <v>SPE-98343</v>
          </cell>
          <cell r="E9735" t="str">
            <v>ESM SECADO RAPIDO BASE SOLVENT</v>
          </cell>
        </row>
        <row r="9736">
          <cell r="A9736" t="str">
            <v>SRG-10001</v>
          </cell>
          <cell r="E9736" t="str">
            <v>ESMALTE - GLOSI SECADO RAPIDO</v>
          </cell>
        </row>
        <row r="9737">
          <cell r="A9737" t="str">
            <v>SRG-10003</v>
          </cell>
          <cell r="E9737" t="str">
            <v>ESMALTE - GLOSI SECADO RAPIDO</v>
          </cell>
        </row>
        <row r="9738">
          <cell r="A9738" t="str">
            <v>SRG-10004</v>
          </cell>
          <cell r="E9738" t="str">
            <v>ESMALTE - GLOSI SECADO RAPIDO</v>
          </cell>
        </row>
        <row r="9739">
          <cell r="A9739" t="str">
            <v>SRG-10005</v>
          </cell>
          <cell r="E9739" t="str">
            <v>ESMALTE - GLOSI SECADO RAPIDO</v>
          </cell>
        </row>
        <row r="9740">
          <cell r="A9740" t="str">
            <v>SRG-10006</v>
          </cell>
          <cell r="E9740" t="str">
            <v>ESMALTE - GLOSI SECADO RAPIDO</v>
          </cell>
        </row>
        <row r="9741">
          <cell r="A9741" t="str">
            <v>SRG-10071</v>
          </cell>
          <cell r="E9741" t="str">
            <v>ESMALTE - GLOSI SECADO RAPIDO</v>
          </cell>
        </row>
        <row r="9742">
          <cell r="A9742" t="str">
            <v>SRG-10073</v>
          </cell>
          <cell r="E9742" t="str">
            <v>ESMALTE - GLOSI SECADO RAPIDO</v>
          </cell>
        </row>
        <row r="9743">
          <cell r="A9743" t="str">
            <v>SRG-10133</v>
          </cell>
          <cell r="E9743" t="str">
            <v>ESMALTE - GLOSI SECADO RAPIDO</v>
          </cell>
        </row>
        <row r="9744">
          <cell r="A9744" t="str">
            <v>SRG-10134</v>
          </cell>
          <cell r="E9744" t="str">
            <v>ESMALTE - GLOSI SECADO RAPIDO</v>
          </cell>
        </row>
        <row r="9745">
          <cell r="A9745" t="str">
            <v>SRG-10135</v>
          </cell>
          <cell r="E9745" t="str">
            <v>ESMALTE - GLOSI SECADO RAPIDO</v>
          </cell>
        </row>
        <row r="9746">
          <cell r="A9746" t="str">
            <v>SRG-10136</v>
          </cell>
          <cell r="E9746" t="str">
            <v>ESMALTE - GLOSI SECADO RAPIDO</v>
          </cell>
        </row>
        <row r="9747">
          <cell r="A9747" t="str">
            <v>SRG-10171</v>
          </cell>
          <cell r="E9747" t="str">
            <v>ESMALTE - GLOSI SECADO RAPIDO</v>
          </cell>
        </row>
        <row r="9748">
          <cell r="A9748" t="str">
            <v>SRG-10173</v>
          </cell>
          <cell r="E9748" t="str">
            <v>ESMALTE - GLOSI SECADO RAPIDO</v>
          </cell>
        </row>
        <row r="9749">
          <cell r="A9749" t="str">
            <v>SRG-10174</v>
          </cell>
          <cell r="E9749" t="str">
            <v>ESMALTE - GLOSI SECADO RAPIDO</v>
          </cell>
        </row>
        <row r="9750">
          <cell r="A9750" t="str">
            <v>SRG-10261</v>
          </cell>
          <cell r="E9750" t="str">
            <v>ESMALTE - GLOSI SECADO RAPIDO</v>
          </cell>
        </row>
        <row r="9751">
          <cell r="A9751" t="str">
            <v>SRG-10263</v>
          </cell>
          <cell r="E9751" t="str">
            <v>ESMALTE - GLOSI SECADO RAPIDO</v>
          </cell>
        </row>
        <row r="9752">
          <cell r="A9752" t="str">
            <v>SRG-10264</v>
          </cell>
          <cell r="E9752" t="str">
            <v>ESMALTE - GLOSI SECADO RAPIDO</v>
          </cell>
        </row>
        <row r="9753">
          <cell r="A9753" t="str">
            <v>SRG-10351</v>
          </cell>
          <cell r="E9753" t="str">
            <v>ESMALTE - GLOSI SECADO RAPIDO</v>
          </cell>
        </row>
        <row r="9754">
          <cell r="A9754" t="str">
            <v>SRG-10353</v>
          </cell>
          <cell r="E9754" t="str">
            <v>ESMALTE - GLOSI SECADO RAPIDO</v>
          </cell>
        </row>
        <row r="9755">
          <cell r="A9755" t="str">
            <v>SRG-10354</v>
          </cell>
          <cell r="E9755" t="str">
            <v>ESMALTE - GLOSI SECADO RAPIDO</v>
          </cell>
        </row>
        <row r="9756">
          <cell r="A9756" t="str">
            <v>SRG-10451</v>
          </cell>
          <cell r="E9756" t="str">
            <v>ESMALTE - GLOSI SECADO RAPIDO</v>
          </cell>
        </row>
        <row r="9757">
          <cell r="A9757" t="str">
            <v>SRG-10453</v>
          </cell>
          <cell r="E9757" t="str">
            <v>ESMALTE - GLOSI SECADO RAPIDO</v>
          </cell>
        </row>
        <row r="9758">
          <cell r="A9758" t="str">
            <v>SRG-10454</v>
          </cell>
          <cell r="E9758" t="str">
            <v>ESMALTE - GLOSI SECADO RAPIDO</v>
          </cell>
        </row>
        <row r="9759">
          <cell r="A9759" t="str">
            <v>SRG-10455</v>
          </cell>
          <cell r="E9759" t="str">
            <v>ESMALTE - GLOSI SECADO RAPIDO</v>
          </cell>
        </row>
        <row r="9760">
          <cell r="A9760" t="str">
            <v>SRG-10456</v>
          </cell>
          <cell r="E9760" t="str">
            <v>ESMALTE - GLOSI SECADO RAPIDO</v>
          </cell>
        </row>
        <row r="9761">
          <cell r="A9761" t="str">
            <v>SRG-10563</v>
          </cell>
          <cell r="E9761" t="str">
            <v>ESMALTE - GLOSI SECADO RAPIDO</v>
          </cell>
        </row>
        <row r="9762">
          <cell r="A9762" t="str">
            <v>SRG-10564</v>
          </cell>
          <cell r="E9762" t="str">
            <v>ESMALTE - GLOSI SECADO RAPIDO</v>
          </cell>
        </row>
        <row r="9763">
          <cell r="A9763" t="str">
            <v>SRG-10565</v>
          </cell>
          <cell r="E9763" t="str">
            <v>ESMALTE - GLOSI SECADO RAPIDO</v>
          </cell>
        </row>
        <row r="9764">
          <cell r="A9764" t="str">
            <v>SRG-10566</v>
          </cell>
          <cell r="E9764" t="str">
            <v>ESMALTE - GLOSI SECADO RAPIDO</v>
          </cell>
        </row>
        <row r="9765">
          <cell r="A9765" t="str">
            <v>SRG-10581</v>
          </cell>
          <cell r="E9765" t="str">
            <v>ESMALTE - GLOSI SECADO RAPIDO</v>
          </cell>
        </row>
        <row r="9766">
          <cell r="A9766" t="str">
            <v>SRG-10583</v>
          </cell>
          <cell r="E9766" t="str">
            <v>ESMALTE - GLOSI SECADO RAPIDO</v>
          </cell>
        </row>
        <row r="9767">
          <cell r="A9767" t="str">
            <v>SRG-10584</v>
          </cell>
          <cell r="E9767" t="str">
            <v>ESMALTE - GLOSI SECADO RAPIDO</v>
          </cell>
        </row>
        <row r="9768">
          <cell r="A9768" t="str">
            <v>SRG-10641</v>
          </cell>
          <cell r="E9768" t="str">
            <v>ESMALTE - GLOSI SECADO RAPIDO</v>
          </cell>
        </row>
        <row r="9769">
          <cell r="A9769" t="str">
            <v>SRG-10643</v>
          </cell>
          <cell r="E9769" t="str">
            <v>ESMALTE - GLOSI SECADO RAPIDO</v>
          </cell>
        </row>
        <row r="9770">
          <cell r="A9770" t="str">
            <v>SRG-10644</v>
          </cell>
          <cell r="E9770" t="str">
            <v>ESMALTE - GLOSI SECADO RAPIDO</v>
          </cell>
        </row>
        <row r="9771">
          <cell r="A9771" t="str">
            <v>SRG-10693</v>
          </cell>
          <cell r="E9771" t="str">
            <v>ESMALTE - GLOSI SECADO RAPIDO</v>
          </cell>
        </row>
        <row r="9772">
          <cell r="A9772" t="str">
            <v>SRG-10694</v>
          </cell>
          <cell r="E9772" t="str">
            <v>ESMALTE - GLOSI SECADO RAPIDO</v>
          </cell>
        </row>
        <row r="9773">
          <cell r="A9773" t="str">
            <v>SRG-10695</v>
          </cell>
          <cell r="E9773" t="str">
            <v>ESMALTE - GLOSI SECADO RAPIDO</v>
          </cell>
        </row>
        <row r="9774">
          <cell r="A9774" t="str">
            <v>SRG-10696</v>
          </cell>
          <cell r="E9774" t="str">
            <v>ESMALTE - GLOSI SECADO RAPIDO</v>
          </cell>
        </row>
        <row r="9775">
          <cell r="A9775" t="str">
            <v>SRG-10791</v>
          </cell>
          <cell r="E9775" t="str">
            <v>ESMALTE - GLOSI SECADO RAPIDO</v>
          </cell>
        </row>
        <row r="9776">
          <cell r="A9776" t="str">
            <v>SRG-10793</v>
          </cell>
          <cell r="E9776" t="str">
            <v>ESMALTE - GLOSI SECADO RAPIDO</v>
          </cell>
        </row>
        <row r="9777">
          <cell r="A9777" t="str">
            <v>SRG-10794</v>
          </cell>
          <cell r="E9777" t="str">
            <v>ESMALTE - GLOSI SECADO RAPIDO</v>
          </cell>
        </row>
        <row r="9778">
          <cell r="A9778" t="str">
            <v>SRG-10801</v>
          </cell>
          <cell r="E9778" t="str">
            <v>ESMALTE - GLOSI SECADO RAPIDO</v>
          </cell>
        </row>
        <row r="9779">
          <cell r="A9779" t="str">
            <v>SRG-10803</v>
          </cell>
          <cell r="E9779" t="str">
            <v>ESMALTE - GLOSI SECADO RAPIDO</v>
          </cell>
        </row>
        <row r="9780">
          <cell r="A9780" t="str">
            <v>SRG-10804</v>
          </cell>
          <cell r="E9780" t="str">
            <v>ESMALTE - GLOSI SECADO RAPIDO</v>
          </cell>
        </row>
        <row r="9781">
          <cell r="A9781" t="str">
            <v>SRG-10823</v>
          </cell>
          <cell r="E9781" t="str">
            <v>ESMALTE - GLOSI SECADO RAPIDO</v>
          </cell>
        </row>
        <row r="9782">
          <cell r="A9782" t="str">
            <v>SRG-10824</v>
          </cell>
          <cell r="E9782" t="str">
            <v>ESMALTE - GLOSI SECADO RAPIDO</v>
          </cell>
        </row>
        <row r="9783">
          <cell r="A9783" t="str">
            <v>SRG-10825</v>
          </cell>
          <cell r="E9783" t="str">
            <v>ESMALTE - GLOSI SECADO RAPIDO</v>
          </cell>
        </row>
        <row r="9784">
          <cell r="A9784" t="str">
            <v>SRG-10826</v>
          </cell>
          <cell r="E9784" t="str">
            <v>ESMALTE - GLOSI SECADO RAPIDO</v>
          </cell>
        </row>
        <row r="9785">
          <cell r="A9785" t="str">
            <v>SRG-10931</v>
          </cell>
          <cell r="E9785" t="str">
            <v>ESMALTE - GLOSI SECADO RAPIDO</v>
          </cell>
        </row>
        <row r="9786">
          <cell r="A9786" t="str">
            <v>SRG-10933</v>
          </cell>
          <cell r="E9786" t="str">
            <v>ESMALTE - GLOSI SECADO RAPIDO</v>
          </cell>
        </row>
        <row r="9787">
          <cell r="A9787" t="str">
            <v>SRG-10934</v>
          </cell>
          <cell r="E9787" t="str">
            <v>ESMALTE - GLOSI SECADO RAPIDO</v>
          </cell>
        </row>
        <row r="9788">
          <cell r="A9788" t="str">
            <v>SRG-10983</v>
          </cell>
          <cell r="E9788" t="str">
            <v>ESMALTE - GLOSI SECADO RAPIDO</v>
          </cell>
        </row>
        <row r="9789">
          <cell r="A9789" t="str">
            <v>SRG-10984</v>
          </cell>
          <cell r="E9789" t="str">
            <v>ESMALTE - GLOSI SECADO RAPIDO</v>
          </cell>
        </row>
        <row r="9790">
          <cell r="A9790" t="str">
            <v>SRG-10985</v>
          </cell>
          <cell r="E9790" t="str">
            <v>ESMALTE - GLOSI SECADO RAPIDO</v>
          </cell>
        </row>
        <row r="9791">
          <cell r="A9791" t="str">
            <v>SRG-10986</v>
          </cell>
          <cell r="E9791" t="str">
            <v>ESMALTE - GLOSI SECADO RAPIDO</v>
          </cell>
        </row>
        <row r="9792">
          <cell r="A9792" t="str">
            <v>SRG-10991</v>
          </cell>
          <cell r="E9792" t="str">
            <v>ESMALTE - GLOSI SECADO RAPIDO</v>
          </cell>
        </row>
        <row r="9793">
          <cell r="A9793" t="str">
            <v>SRG-10993</v>
          </cell>
          <cell r="E9793" t="str">
            <v>ESMALTE - GLOSI SECADO RAPIDO</v>
          </cell>
        </row>
        <row r="9794">
          <cell r="A9794" t="str">
            <v>SRG-10994</v>
          </cell>
          <cell r="E9794" t="str">
            <v>ESMALTE - GLOSI SECADO RAPIDO</v>
          </cell>
        </row>
        <row r="9795">
          <cell r="A9795" t="str">
            <v>SRG-10995</v>
          </cell>
          <cell r="E9795" t="str">
            <v>ESMALTE - GLOSI SECADO RAPIDO</v>
          </cell>
        </row>
        <row r="9796">
          <cell r="A9796" t="str">
            <v>SRG-10996</v>
          </cell>
          <cell r="E9796" t="str">
            <v>ESMALTE - GLOSI SECADO RAPIDO</v>
          </cell>
        </row>
        <row r="9797">
          <cell r="A9797" t="str">
            <v>SRG-11001</v>
          </cell>
          <cell r="E9797" t="str">
            <v>ESMALTE - GLOSI SECADO RAPIDO</v>
          </cell>
        </row>
        <row r="9798">
          <cell r="A9798" t="str">
            <v>SRG-11003</v>
          </cell>
          <cell r="E9798" t="str">
            <v>ESMALTE - GLOSI SECADO RAPIDO</v>
          </cell>
        </row>
        <row r="9799">
          <cell r="A9799" t="str">
            <v>SRG-11004</v>
          </cell>
          <cell r="E9799" t="str">
            <v>ESMALTE - GLOSI SECADO RAPIDO</v>
          </cell>
        </row>
        <row r="9800">
          <cell r="A9800" t="str">
            <v>STI-16181</v>
          </cell>
          <cell r="E9800" t="str">
            <v>ESM SECADO RAPIDO BASE SOLVENT</v>
          </cell>
        </row>
        <row r="9801">
          <cell r="A9801" t="str">
            <v>STI-16183</v>
          </cell>
          <cell r="E9801" t="str">
            <v>ESM SECADO RAPIDO BASE SOLVENT</v>
          </cell>
        </row>
        <row r="9802">
          <cell r="A9802" t="str">
            <v>STI-17001</v>
          </cell>
          <cell r="E9802" t="str">
            <v>ESM SECADO RAPIDO BASE SOLVENT</v>
          </cell>
        </row>
        <row r="9803">
          <cell r="A9803" t="str">
            <v>STI-17003</v>
          </cell>
          <cell r="E9803" t="str">
            <v>ESM SECADO RAPIDO BASE SOLVENT</v>
          </cell>
        </row>
        <row r="9804">
          <cell r="A9804" t="str">
            <v>STI-1706011</v>
          </cell>
          <cell r="E9804" t="str">
            <v>ESM SECADO RAPIDO BASE SOLVENT</v>
          </cell>
        </row>
        <row r="9805">
          <cell r="A9805" t="str">
            <v>STI-1706021</v>
          </cell>
          <cell r="E9805" t="str">
            <v>ESM SECADO RAPIDO BASE SOLVENT</v>
          </cell>
        </row>
        <row r="9806">
          <cell r="A9806" t="str">
            <v>STI-1710011</v>
          </cell>
          <cell r="E9806" t="str">
            <v>ESM SECADO RAPIDO BASE SOLVENT</v>
          </cell>
        </row>
        <row r="9807">
          <cell r="A9807" t="str">
            <v>STI-1710021</v>
          </cell>
          <cell r="E9807" t="str">
            <v>ESM SECADO RAPIDO BASE SOLVENT</v>
          </cell>
        </row>
        <row r="9808">
          <cell r="A9808" t="str">
            <v>STI-1710031</v>
          </cell>
          <cell r="E9808" t="str">
            <v>ESM SECADO RAPIDO BASE SOLVENT</v>
          </cell>
        </row>
        <row r="9809">
          <cell r="A9809" t="str">
            <v>STI-1760011</v>
          </cell>
          <cell r="E9809" t="str">
            <v>ESM SECADO RAPIDO BASE SOLVENT</v>
          </cell>
        </row>
        <row r="9810">
          <cell r="A9810" t="str">
            <v>STI-1760021</v>
          </cell>
          <cell r="E9810" t="str">
            <v>ESM SECADO RAPIDO BASE SOLVENT</v>
          </cell>
        </row>
        <row r="9811">
          <cell r="A9811" t="str">
            <v>STI-1770011</v>
          </cell>
          <cell r="E9811" t="str">
            <v>ESM SECADO RAPIDO BASE SOLVENT</v>
          </cell>
        </row>
        <row r="9812">
          <cell r="A9812" t="str">
            <v>STI-1770021</v>
          </cell>
          <cell r="E9812" t="str">
            <v>ESM SECADO RAPIDO BASE SOLVENT</v>
          </cell>
        </row>
        <row r="9813">
          <cell r="A9813" t="str">
            <v>STI-55001</v>
          </cell>
          <cell r="E9813" t="str">
            <v>ACABADOS DE PU</v>
          </cell>
        </row>
        <row r="9814">
          <cell r="A9814" t="str">
            <v>STI-55003</v>
          </cell>
          <cell r="E9814" t="str">
            <v>ACABADOS DE PU</v>
          </cell>
        </row>
        <row r="9815">
          <cell r="A9815" t="str">
            <v>STI-5510011</v>
          </cell>
          <cell r="E9815" t="str">
            <v>ACABADOS DE PU</v>
          </cell>
        </row>
        <row r="9816">
          <cell r="A9816" t="str">
            <v>STI-5520011</v>
          </cell>
          <cell r="E9816" t="str">
            <v>ACABADOS DE PU</v>
          </cell>
        </row>
        <row r="9817">
          <cell r="A9817" t="str">
            <v>STI-5520023</v>
          </cell>
          <cell r="E9817" t="str">
            <v>ACABADOS DE PU</v>
          </cell>
        </row>
        <row r="9818">
          <cell r="A9818" t="str">
            <v>STI-5560011</v>
          </cell>
          <cell r="E9818" t="str">
            <v>ACABADOS DE PU</v>
          </cell>
        </row>
        <row r="9819">
          <cell r="A9819" t="str">
            <v>STI-5580011</v>
          </cell>
          <cell r="E9819" t="str">
            <v>ACABADOS DE PU</v>
          </cell>
        </row>
        <row r="9820">
          <cell r="A9820" t="str">
            <v>STI-5580033</v>
          </cell>
          <cell r="E9820" t="str">
            <v>ACABADOS DE PU</v>
          </cell>
        </row>
        <row r="9821">
          <cell r="A9821" t="str">
            <v>STI-55801</v>
          </cell>
          <cell r="E9821" t="str">
            <v>ACABADOS DE PU</v>
          </cell>
        </row>
        <row r="9822">
          <cell r="A9822" t="str">
            <v>STI-55803</v>
          </cell>
          <cell r="E9822" t="str">
            <v>ACABADOS DE PU</v>
          </cell>
        </row>
        <row r="9823">
          <cell r="A9823" t="str">
            <v>STI-59001</v>
          </cell>
          <cell r="E9823" t="str">
            <v>ACABADOS EPOXICOS</v>
          </cell>
        </row>
        <row r="9824">
          <cell r="A9824" t="str">
            <v>STI-59003</v>
          </cell>
          <cell r="E9824" t="str">
            <v>ACABADOS EPOXICOS</v>
          </cell>
        </row>
        <row r="9825">
          <cell r="A9825" t="str">
            <v>STI-5910013</v>
          </cell>
          <cell r="E9825" t="str">
            <v>ACABADOS EPOXICOS</v>
          </cell>
        </row>
        <row r="9826">
          <cell r="A9826" t="str">
            <v>STI-5910023</v>
          </cell>
          <cell r="E9826" t="str">
            <v>ACABADOS EPOXICOS</v>
          </cell>
        </row>
        <row r="9827">
          <cell r="A9827" t="str">
            <v>STI-5910031</v>
          </cell>
          <cell r="E9827" t="str">
            <v>ACABADOS EPOXICOS</v>
          </cell>
        </row>
        <row r="9828">
          <cell r="A9828" t="str">
            <v>STI-5920011</v>
          </cell>
          <cell r="E9828" t="str">
            <v>ACABADOS EPOXICOS</v>
          </cell>
        </row>
        <row r="9829">
          <cell r="A9829" t="str">
            <v>STI-5920013</v>
          </cell>
          <cell r="E9829" t="str">
            <v>ACABADOS EPOXICOS</v>
          </cell>
        </row>
        <row r="9830">
          <cell r="A9830" t="str">
            <v>STI-5930013</v>
          </cell>
          <cell r="E9830" t="str">
            <v>ACABADOS EPOXICOS</v>
          </cell>
        </row>
        <row r="9831">
          <cell r="A9831" t="str">
            <v>STI-5950011</v>
          </cell>
          <cell r="E9831" t="str">
            <v>ACABADOS EPOXICOS</v>
          </cell>
        </row>
        <row r="9832">
          <cell r="A9832" t="str">
            <v>STI-5950023</v>
          </cell>
          <cell r="E9832" t="str">
            <v>ACABADOS EPOXICOS</v>
          </cell>
        </row>
        <row r="9833">
          <cell r="A9833" t="str">
            <v>STI-5960013</v>
          </cell>
          <cell r="E9833" t="str">
            <v>ACABADOS EPOXICOS</v>
          </cell>
        </row>
        <row r="9834">
          <cell r="A9834" t="str">
            <v>STI-5960021</v>
          </cell>
          <cell r="E9834" t="str">
            <v>ACABADOS EPOXICOS</v>
          </cell>
        </row>
        <row r="9835">
          <cell r="A9835" t="str">
            <v>STI-5960033</v>
          </cell>
          <cell r="E9835" t="str">
            <v>ACABADOS EPOXICOS</v>
          </cell>
        </row>
        <row r="9836">
          <cell r="A9836" t="str">
            <v>STI-5960043</v>
          </cell>
          <cell r="E9836" t="str">
            <v>ACABADOS EPOXICOS</v>
          </cell>
        </row>
        <row r="9837">
          <cell r="A9837" t="str">
            <v>STI-5960051</v>
          </cell>
          <cell r="E9837" t="str">
            <v>ACABADOS EPOXICOS</v>
          </cell>
        </row>
        <row r="9838">
          <cell r="A9838" t="str">
            <v>STI-5960063</v>
          </cell>
          <cell r="E9838" t="str">
            <v>ACABADOS EPOXICOS</v>
          </cell>
        </row>
        <row r="9839">
          <cell r="A9839" t="str">
            <v>STI-5970011</v>
          </cell>
          <cell r="E9839" t="str">
            <v>ACABADOS EPOXICOS</v>
          </cell>
        </row>
        <row r="9840">
          <cell r="A9840" t="str">
            <v>STI-5970021</v>
          </cell>
          <cell r="E9840" t="str">
            <v>ACABADOS EPOXICOS</v>
          </cell>
        </row>
        <row r="9841">
          <cell r="A9841" t="str">
            <v>STI-59801</v>
          </cell>
          <cell r="E9841" t="str">
            <v>ACABADOS EPOXICOS</v>
          </cell>
        </row>
        <row r="9842">
          <cell r="A9842" t="str">
            <v>STI-59803</v>
          </cell>
          <cell r="E9842" t="str">
            <v>ACABADOS EPOXICOS</v>
          </cell>
        </row>
        <row r="9843">
          <cell r="A9843" t="str">
            <v>STI-860573</v>
          </cell>
          <cell r="E9843" t="str">
            <v>PROMOCIONALES</v>
          </cell>
        </row>
        <row r="9844">
          <cell r="A9844" t="str">
            <v>STR-1790101</v>
          </cell>
          <cell r="E9844" t="str">
            <v>ESM SECADO RAPIDO BASE SOLVENT</v>
          </cell>
        </row>
        <row r="9845">
          <cell r="A9845" t="str">
            <v>STR-5550091</v>
          </cell>
          <cell r="E9845" t="str">
            <v>ACABADOS DE PU</v>
          </cell>
        </row>
        <row r="9846">
          <cell r="A9846" t="str">
            <v>STR-5560261</v>
          </cell>
          <cell r="E9846" t="str">
            <v>ACABADOS DE PU</v>
          </cell>
        </row>
        <row r="9847">
          <cell r="A9847" t="str">
            <v>STR-5570111</v>
          </cell>
          <cell r="E9847" t="str">
            <v>ACABADOS DE PU</v>
          </cell>
        </row>
        <row r="9848">
          <cell r="A9848" t="str">
            <v>STR-5590041</v>
          </cell>
          <cell r="E9848" t="str">
            <v>ACABADOS DE PU</v>
          </cell>
        </row>
        <row r="9849">
          <cell r="A9849" t="str">
            <v>STR-5590101</v>
          </cell>
          <cell r="E9849" t="str">
            <v>ACABADOS DE PU</v>
          </cell>
        </row>
        <row r="9850">
          <cell r="A9850" t="str">
            <v>STR-5960111</v>
          </cell>
          <cell r="E9850" t="str">
            <v>ACABADOS EPOXICOS</v>
          </cell>
        </row>
        <row r="9851">
          <cell r="A9851" t="str">
            <v>STR-5970451</v>
          </cell>
          <cell r="E9851" t="str">
            <v>ACABADOS EPOXICOS</v>
          </cell>
        </row>
        <row r="9852">
          <cell r="A9852" t="str">
            <v>SV100</v>
          </cell>
          <cell r="E9852" t="str">
            <v>SELLADOR VINILICO SURTEK</v>
          </cell>
        </row>
        <row r="9853">
          <cell r="A9853" t="str">
            <v>SV200</v>
          </cell>
          <cell r="E9853" t="str">
            <v>SELLADOR VINILICO SURTEK</v>
          </cell>
        </row>
        <row r="9854">
          <cell r="A9854" t="str">
            <v>T-13000</v>
          </cell>
          <cell r="E9854" t="str">
            <v>LACA NITRO INDUSTRIAL</v>
          </cell>
        </row>
        <row r="9855">
          <cell r="A9855" t="str">
            <v>T-13001</v>
          </cell>
          <cell r="E9855" t="str">
            <v>LACA NITRO INDUSTRIAL</v>
          </cell>
        </row>
        <row r="9856">
          <cell r="A9856" t="str">
            <v>T-13003</v>
          </cell>
          <cell r="E9856" t="str">
            <v>LACA NITRO INDUSTRIAL</v>
          </cell>
        </row>
        <row r="9857">
          <cell r="A9857" t="str">
            <v>T-13020</v>
          </cell>
          <cell r="E9857" t="str">
            <v>LACA NITRO INDUSTRIAL</v>
          </cell>
        </row>
        <row r="9858">
          <cell r="A9858" t="str">
            <v>T-13021</v>
          </cell>
          <cell r="E9858" t="str">
            <v>LACA NITRO INDUSTRIAL</v>
          </cell>
        </row>
        <row r="9859">
          <cell r="A9859" t="str">
            <v>T-13070</v>
          </cell>
          <cell r="E9859" t="str">
            <v>LACA NITRO TRANSPARENTE SIGLO</v>
          </cell>
        </row>
        <row r="9860">
          <cell r="A9860" t="str">
            <v>T-13261</v>
          </cell>
          <cell r="E9860" t="str">
            <v>LACA NITRO INDUSTRIAL</v>
          </cell>
        </row>
        <row r="9861">
          <cell r="A9861" t="str">
            <v>T-13540</v>
          </cell>
          <cell r="E9861" t="str">
            <v>LACA NITRO TRANSPARENTE SIGLO</v>
          </cell>
        </row>
        <row r="9862">
          <cell r="A9862" t="str">
            <v>T-13541</v>
          </cell>
          <cell r="E9862" t="str">
            <v>LACA NITRO TRANSPARENTE SIGLO</v>
          </cell>
        </row>
        <row r="9863">
          <cell r="A9863" t="str">
            <v>T-13543</v>
          </cell>
          <cell r="E9863" t="str">
            <v>LACA NITRO TRANSPARENTE SIGLO</v>
          </cell>
        </row>
        <row r="9864">
          <cell r="A9864" t="str">
            <v>T-13720</v>
          </cell>
          <cell r="E9864" t="str">
            <v>LACA ACRILICA</v>
          </cell>
        </row>
        <row r="9865">
          <cell r="A9865" t="str">
            <v>T-13721</v>
          </cell>
          <cell r="E9865" t="str">
            <v>LACA ACRILICA</v>
          </cell>
        </row>
        <row r="9866">
          <cell r="A9866" t="str">
            <v>T-13723</v>
          </cell>
          <cell r="E9866" t="str">
            <v>LACA ACRILICA</v>
          </cell>
        </row>
        <row r="9867">
          <cell r="A9867" t="str">
            <v>T-13730</v>
          </cell>
          <cell r="E9867" t="str">
            <v>LACA ACRILICA</v>
          </cell>
        </row>
        <row r="9868">
          <cell r="A9868" t="str">
            <v>T-13731</v>
          </cell>
          <cell r="E9868" t="str">
            <v>LACA ACRILICA</v>
          </cell>
        </row>
        <row r="9869">
          <cell r="A9869" t="str">
            <v>T-13733</v>
          </cell>
          <cell r="E9869" t="str">
            <v>LACA ACRILICA</v>
          </cell>
        </row>
        <row r="9870">
          <cell r="A9870" t="str">
            <v>T-13740</v>
          </cell>
          <cell r="E9870" t="str">
            <v>LACA ACRILICA</v>
          </cell>
        </row>
        <row r="9871">
          <cell r="A9871" t="str">
            <v>T-13741</v>
          </cell>
          <cell r="E9871" t="str">
            <v>LACA ACRILICA</v>
          </cell>
        </row>
        <row r="9872">
          <cell r="A9872" t="str">
            <v>T-13743</v>
          </cell>
          <cell r="E9872" t="str">
            <v>LACA ACRILICA</v>
          </cell>
        </row>
        <row r="9873">
          <cell r="A9873" t="str">
            <v>T-13800</v>
          </cell>
          <cell r="E9873" t="str">
            <v>LACA NITRO TRANSPARENTE SIGLO</v>
          </cell>
        </row>
        <row r="9874">
          <cell r="A9874" t="str">
            <v>T-13801</v>
          </cell>
          <cell r="E9874" t="str">
            <v>LACA NITRO TRANSPARENTE SIGLO</v>
          </cell>
        </row>
        <row r="9875">
          <cell r="A9875" t="str">
            <v>T-13803</v>
          </cell>
          <cell r="E9875" t="str">
            <v>LACA NITRO TRANSPARENTE SIGLO</v>
          </cell>
        </row>
        <row r="9876">
          <cell r="A9876" t="str">
            <v>T-13804</v>
          </cell>
          <cell r="E9876" t="str">
            <v>LACA NITRO TRANSPARENTE SIGLO</v>
          </cell>
        </row>
        <row r="9877">
          <cell r="A9877" t="str">
            <v>T-13960</v>
          </cell>
          <cell r="E9877" t="str">
            <v>LACA NITRO INDUSTRIAL</v>
          </cell>
        </row>
        <row r="9878">
          <cell r="A9878" t="str">
            <v>T-13961</v>
          </cell>
          <cell r="E9878" t="str">
            <v>LACA NITRO INDUSTRIAL</v>
          </cell>
        </row>
        <row r="9879">
          <cell r="A9879" t="str">
            <v>T-14020</v>
          </cell>
          <cell r="E9879" t="str">
            <v>FONDO DE NITROCELULOSA</v>
          </cell>
        </row>
        <row r="9880">
          <cell r="A9880" t="str">
            <v>T-14021</v>
          </cell>
          <cell r="E9880" t="str">
            <v>FONDO DE NITROCELULOSA</v>
          </cell>
        </row>
        <row r="9881">
          <cell r="A9881" t="str">
            <v>T-14023</v>
          </cell>
          <cell r="E9881" t="str">
            <v>FONDO DE NITROCELULOSA</v>
          </cell>
        </row>
        <row r="9882">
          <cell r="A9882" t="str">
            <v>T-14024</v>
          </cell>
          <cell r="E9882" t="str">
            <v>FONDO DE NITROCELULOSA</v>
          </cell>
        </row>
        <row r="9883">
          <cell r="A9883" t="str">
            <v>T-14260</v>
          </cell>
          <cell r="E9883" t="str">
            <v>FONDO DE NITROCELULOSA</v>
          </cell>
        </row>
        <row r="9884">
          <cell r="A9884" t="str">
            <v>T-14261</v>
          </cell>
          <cell r="E9884" t="str">
            <v>FONDO DE NITROCELULOSA</v>
          </cell>
        </row>
        <row r="9885">
          <cell r="A9885" t="str">
            <v>T-14263</v>
          </cell>
          <cell r="E9885" t="str">
            <v>FONDO DE NITROCELULOSA</v>
          </cell>
        </row>
        <row r="9886">
          <cell r="A9886" t="str">
            <v>T-14420</v>
          </cell>
          <cell r="E9886" t="str">
            <v>SELLADORES DE NITROCELULOSA</v>
          </cell>
        </row>
        <row r="9887">
          <cell r="A9887" t="str">
            <v>T-14421</v>
          </cell>
          <cell r="E9887" t="str">
            <v>SELLADORES DE NITROCELULOSA</v>
          </cell>
        </row>
        <row r="9888">
          <cell r="A9888" t="str">
            <v>T-14560</v>
          </cell>
          <cell r="E9888" t="str">
            <v>FONDO DE NITROCELULOSA</v>
          </cell>
        </row>
        <row r="9889">
          <cell r="A9889" t="str">
            <v>T-14561</v>
          </cell>
          <cell r="E9889" t="str">
            <v>FONDO DE NITROCELULOSA</v>
          </cell>
        </row>
        <row r="9890">
          <cell r="A9890" t="str">
            <v>T-14563</v>
          </cell>
          <cell r="E9890" t="str">
            <v>FONDO DE NITROCELULOSA</v>
          </cell>
        </row>
        <row r="9891">
          <cell r="A9891" t="str">
            <v>T-14720</v>
          </cell>
          <cell r="E9891" t="str">
            <v>SELLADORES DE NITROCELULOSA</v>
          </cell>
        </row>
        <row r="9892">
          <cell r="A9892" t="str">
            <v>T-14721</v>
          </cell>
          <cell r="E9892" t="str">
            <v>SELLADORES DE NITROCELULOSA</v>
          </cell>
        </row>
        <row r="9893">
          <cell r="A9893" t="str">
            <v>T-14723</v>
          </cell>
          <cell r="E9893" t="str">
            <v>SELLADORES DE NITROCELULOSA</v>
          </cell>
        </row>
        <row r="9894">
          <cell r="A9894" t="str">
            <v>T-14731</v>
          </cell>
          <cell r="E9894" t="str">
            <v>SELLADORES DE NITROCELULOSA</v>
          </cell>
        </row>
        <row r="9895">
          <cell r="A9895" t="str">
            <v>T-14733</v>
          </cell>
          <cell r="E9895" t="str">
            <v>SELLADORES DE NITROCELULOSA</v>
          </cell>
        </row>
        <row r="9896">
          <cell r="A9896" t="str">
            <v>T-14801</v>
          </cell>
          <cell r="E9896" t="str">
            <v>SELLADORES DE NITROCELULOSA</v>
          </cell>
        </row>
        <row r="9897">
          <cell r="A9897" t="str">
            <v>T-14803</v>
          </cell>
          <cell r="E9897" t="str">
            <v>SELLADORES DE NITROCELULOSA</v>
          </cell>
        </row>
        <row r="9898">
          <cell r="A9898" t="str">
            <v>T-14804</v>
          </cell>
          <cell r="E9898" t="str">
            <v>SELLADORES DE NITROCELULOSA</v>
          </cell>
        </row>
        <row r="9899">
          <cell r="A9899" t="str">
            <v>T-14813</v>
          </cell>
          <cell r="E9899" t="str">
            <v>SELLADORES DE NITROCELULOSA</v>
          </cell>
        </row>
        <row r="9900">
          <cell r="A9900" t="str">
            <v>T-14814</v>
          </cell>
          <cell r="E9900" t="str">
            <v>SELLADORES DE NITROCELULOSA</v>
          </cell>
        </row>
        <row r="9901">
          <cell r="A9901" t="str">
            <v>T-14980</v>
          </cell>
          <cell r="E9901" t="str">
            <v>FONDO DE NITROCELULOSA</v>
          </cell>
        </row>
        <row r="9902">
          <cell r="A9902" t="str">
            <v>T-14981</v>
          </cell>
          <cell r="E9902" t="str">
            <v>FONDO DE NITROCELULOSA</v>
          </cell>
        </row>
        <row r="9903">
          <cell r="A9903" t="str">
            <v>T-14983</v>
          </cell>
          <cell r="E9903" t="str">
            <v>FONDO DE NITROCELULOSA</v>
          </cell>
        </row>
        <row r="9904">
          <cell r="A9904" t="str">
            <v>T-B0751</v>
          </cell>
          <cell r="E9904" t="str">
            <v>FONDO DE NITROCELULOSA</v>
          </cell>
        </row>
        <row r="9905">
          <cell r="A9905" t="str">
            <v>T-B1611</v>
          </cell>
          <cell r="E9905" t="str">
            <v>FONDO DE NITROCELULOSA</v>
          </cell>
        </row>
        <row r="9906">
          <cell r="A9906" t="str">
            <v>T-B1721</v>
          </cell>
          <cell r="E9906" t="str">
            <v>FONDO DE NITROCELULOSA</v>
          </cell>
        </row>
        <row r="9907">
          <cell r="A9907" t="str">
            <v>T-B1730</v>
          </cell>
          <cell r="E9907" t="str">
            <v>FONDO DE NITROCELULOSA</v>
          </cell>
        </row>
        <row r="9908">
          <cell r="A9908" t="str">
            <v>T-B1731</v>
          </cell>
          <cell r="E9908" t="str">
            <v>FONDO DE NITROCELULOSA</v>
          </cell>
        </row>
        <row r="9909">
          <cell r="A9909" t="str">
            <v>TC-0000</v>
          </cell>
          <cell r="E9909" t="str">
            <v>PRODUCTOS MISCELANEOS</v>
          </cell>
        </row>
        <row r="9910">
          <cell r="A9910" t="str">
            <v>TC-0001</v>
          </cell>
          <cell r="E9910" t="str">
            <v>PRODUCTOS MISCELANEOS</v>
          </cell>
        </row>
        <row r="9911">
          <cell r="A9911" t="str">
            <v>TC-0002</v>
          </cell>
          <cell r="E9911" t="str">
            <v>PRODUCTOS MISCELANEOS</v>
          </cell>
        </row>
        <row r="9912">
          <cell r="A9912" t="str">
            <v>TC-0003</v>
          </cell>
          <cell r="E9912" t="str">
            <v>PRODUCTOS MISCELANEOS</v>
          </cell>
        </row>
        <row r="9913">
          <cell r="A9913" t="str">
            <v>TC-0004</v>
          </cell>
          <cell r="E9913" t="str">
            <v>PRODUCTOS MISCELANEOS</v>
          </cell>
        </row>
        <row r="9914">
          <cell r="A9914" t="str">
            <v>TC-0005</v>
          </cell>
          <cell r="E9914" t="str">
            <v>PRODUCTOS MISCELANEOS</v>
          </cell>
        </row>
        <row r="9915">
          <cell r="A9915" t="str">
            <v>TC-0006</v>
          </cell>
          <cell r="E9915" t="str">
            <v>PRODUCTOS MISCELANEOS</v>
          </cell>
        </row>
        <row r="9916">
          <cell r="A9916" t="str">
            <v>TC-0007</v>
          </cell>
          <cell r="E9916" t="str">
            <v>PRODUCTOS MISCELANEOS</v>
          </cell>
        </row>
        <row r="9917">
          <cell r="A9917" t="str">
            <v>TC-0009</v>
          </cell>
          <cell r="E9917" t="str">
            <v>PRODUCTOS MISCELANEOS</v>
          </cell>
        </row>
        <row r="9918">
          <cell r="A9918" t="str">
            <v>TC-669</v>
          </cell>
          <cell r="E9918" t="str">
            <v>MAQUILA</v>
          </cell>
        </row>
        <row r="9919">
          <cell r="A9919" t="str">
            <v>TH-0001</v>
          </cell>
          <cell r="E9919" t="str">
            <v>PRODUCTOS MISCELANEOS</v>
          </cell>
        </row>
        <row r="9920">
          <cell r="A9920" t="str">
            <v>TH-0002</v>
          </cell>
          <cell r="E9920" t="str">
            <v>PRODUCTOS MISCELANEOS</v>
          </cell>
        </row>
        <row r="9921">
          <cell r="A9921" t="str">
            <v>TH-0004</v>
          </cell>
          <cell r="E9921" t="str">
            <v>PRODUCTOS MISCELANEOS</v>
          </cell>
        </row>
        <row r="9922">
          <cell r="A9922" t="str">
            <v>TH-0005</v>
          </cell>
          <cell r="E9922" t="str">
            <v>PRODUCTOS MISCELANEOS</v>
          </cell>
        </row>
        <row r="9923">
          <cell r="A9923" t="str">
            <v>TH-0006</v>
          </cell>
          <cell r="E9923" t="str">
            <v>PRODUCTOS MISCELANEOS</v>
          </cell>
        </row>
        <row r="9924">
          <cell r="A9924" t="str">
            <v>TH-0007</v>
          </cell>
          <cell r="E9924" t="str">
            <v>PRODUCTOS MISCELANEOS</v>
          </cell>
        </row>
        <row r="9925">
          <cell r="A9925" t="str">
            <v>TH-0008</v>
          </cell>
          <cell r="E9925" t="str">
            <v>PRODUCTOS MISCELANEOS</v>
          </cell>
        </row>
        <row r="9926">
          <cell r="A9926" t="str">
            <v>TH-0009</v>
          </cell>
          <cell r="E9926" t="str">
            <v>PRODUCTOS MISCELANEOS</v>
          </cell>
        </row>
        <row r="9927">
          <cell r="A9927" t="str">
            <v>TH-0010</v>
          </cell>
          <cell r="E9927" t="str">
            <v>PRODUCTOS MISCELANEOS</v>
          </cell>
        </row>
        <row r="9928">
          <cell r="A9928" t="str">
            <v>TH-0011</v>
          </cell>
          <cell r="E9928" t="str">
            <v>PRODUCTOS MISCELANEOS</v>
          </cell>
        </row>
        <row r="9929">
          <cell r="A9929" t="str">
            <v>TH-0012</v>
          </cell>
          <cell r="E9929" t="str">
            <v>PRODUCTOS MISCELANEOS</v>
          </cell>
        </row>
        <row r="9930">
          <cell r="A9930" t="str">
            <v>TH-0013</v>
          </cell>
          <cell r="E9930" t="str">
            <v>PRODUCTOS MISCELANEOS</v>
          </cell>
        </row>
        <row r="9931">
          <cell r="A9931" t="str">
            <v>TH-0014</v>
          </cell>
          <cell r="E9931" t="str">
            <v>PRODUCTOS MISCELANEOS</v>
          </cell>
        </row>
        <row r="9932">
          <cell r="A9932" t="str">
            <v>TH-0015</v>
          </cell>
          <cell r="E9932" t="str">
            <v>PRODUCTOS MISCELANEOS</v>
          </cell>
        </row>
        <row r="9933">
          <cell r="A9933" t="str">
            <v>TH-0016</v>
          </cell>
          <cell r="E9933" t="str">
            <v>PRODUCTOS MISCELANEOS</v>
          </cell>
        </row>
        <row r="9934">
          <cell r="A9934" t="str">
            <v>TH-0020</v>
          </cell>
          <cell r="E9934" t="str">
            <v>PRODUCTOS MISCELANEOS</v>
          </cell>
        </row>
        <row r="9935">
          <cell r="A9935" t="str">
            <v>TH-0021</v>
          </cell>
          <cell r="E9935" t="str">
            <v>PRODUCTOS MISCELANEOS</v>
          </cell>
        </row>
        <row r="9936">
          <cell r="A9936" t="str">
            <v>TH-0022</v>
          </cell>
          <cell r="E9936" t="str">
            <v>PRODUCTOS MISCELANEOS</v>
          </cell>
        </row>
        <row r="9937">
          <cell r="A9937" t="str">
            <v>TH-0024</v>
          </cell>
          <cell r="E9937" t="str">
            <v>PRODUCTOS MISCELANEOS</v>
          </cell>
        </row>
        <row r="9938">
          <cell r="A9938" t="str">
            <v>TH-0026</v>
          </cell>
          <cell r="E9938" t="str">
            <v>PRODUCTOS MISCELANEOS</v>
          </cell>
        </row>
        <row r="9939">
          <cell r="A9939" t="str">
            <v>TH-0027</v>
          </cell>
          <cell r="E9939" t="str">
            <v>PRODUCTOS MISCELANEOS</v>
          </cell>
        </row>
        <row r="9940">
          <cell r="A9940" t="str">
            <v>TH-0028</v>
          </cell>
          <cell r="E9940" t="str">
            <v>PRODUCTOS MISCELANEOS</v>
          </cell>
        </row>
        <row r="9941">
          <cell r="A9941" t="str">
            <v>TH-0031</v>
          </cell>
          <cell r="E9941" t="str">
            <v>PRODUCTOS MISCELANEOS</v>
          </cell>
        </row>
        <row r="9942">
          <cell r="A9942" t="str">
            <v>TH-0032</v>
          </cell>
          <cell r="E9942" t="str">
            <v>PRODUCTOS MISCELANEOS</v>
          </cell>
        </row>
        <row r="9943">
          <cell r="A9943" t="str">
            <v>TH-0033</v>
          </cell>
          <cell r="E9943" t="str">
            <v>PRODUCTOS MISCELANEOS</v>
          </cell>
        </row>
        <row r="9944">
          <cell r="A9944" t="str">
            <v>TH-0034</v>
          </cell>
          <cell r="E9944" t="str">
            <v>PRODUCTOS MISCELANEOS</v>
          </cell>
        </row>
        <row r="9945">
          <cell r="A9945" t="str">
            <v>TH-0035</v>
          </cell>
          <cell r="E9945" t="str">
            <v>PRODUCTOS MISCELANEOS</v>
          </cell>
        </row>
        <row r="9946">
          <cell r="A9946" t="str">
            <v>TH-0043</v>
          </cell>
          <cell r="E9946" t="str">
            <v>PRODUCTOS MISCELANEOS</v>
          </cell>
        </row>
        <row r="9947">
          <cell r="A9947" t="str">
            <v>TH-0045</v>
          </cell>
          <cell r="E9947" t="str">
            <v>PRODUCTOS MISCELANEOS</v>
          </cell>
        </row>
        <row r="9948">
          <cell r="A9948" t="str">
            <v>TH-0047</v>
          </cell>
          <cell r="E9948" t="str">
            <v>PRODUCTOS MISCELANEOS</v>
          </cell>
        </row>
        <row r="9949">
          <cell r="A9949" t="str">
            <v>TH-0048</v>
          </cell>
          <cell r="E9949" t="str">
            <v>PRODUCTOS MISCELANEOS</v>
          </cell>
        </row>
        <row r="9950">
          <cell r="A9950" t="str">
            <v>TH-0049</v>
          </cell>
          <cell r="E9950" t="str">
            <v>PRODUCTOS MISCELANEOS</v>
          </cell>
        </row>
        <row r="9951">
          <cell r="A9951" t="str">
            <v>TH-0053</v>
          </cell>
          <cell r="E9951" t="str">
            <v>PRODUCTOS MISCELANEOS</v>
          </cell>
        </row>
        <row r="9952">
          <cell r="A9952" t="str">
            <v>TH-0056</v>
          </cell>
          <cell r="E9952" t="str">
            <v>PRODUCTOS MISCELANEOS</v>
          </cell>
        </row>
        <row r="9953">
          <cell r="A9953" t="str">
            <v>TH-0057</v>
          </cell>
          <cell r="E9953" t="str">
            <v>PRODUCTOS MISCELANEOS</v>
          </cell>
        </row>
        <row r="9954">
          <cell r="A9954" t="str">
            <v>TH-0060</v>
          </cell>
          <cell r="E9954" t="str">
            <v>PRODUCTOS MISCELANEOS</v>
          </cell>
        </row>
        <row r="9955">
          <cell r="A9955" t="str">
            <v>TH-0061</v>
          </cell>
          <cell r="E9955" t="str">
            <v>PRODUCTOS MISCELANEOS</v>
          </cell>
        </row>
        <row r="9956">
          <cell r="A9956" t="str">
            <v>TH-0062</v>
          </cell>
          <cell r="E9956" t="str">
            <v>PRODUCTOS MISCELANEOS</v>
          </cell>
        </row>
        <row r="9957">
          <cell r="A9957" t="str">
            <v>TH-0069</v>
          </cell>
          <cell r="E9957" t="str">
            <v>PRODUCTOS MISCELANEOS</v>
          </cell>
        </row>
        <row r="9958">
          <cell r="A9958" t="str">
            <v>TH-0070</v>
          </cell>
          <cell r="E9958" t="str">
            <v>PRODUCTOS MISCELANEOS</v>
          </cell>
        </row>
        <row r="9959">
          <cell r="A9959" t="str">
            <v>TH-0071</v>
          </cell>
          <cell r="E9959" t="str">
            <v>PRODUCTOS MISCELANEOS</v>
          </cell>
        </row>
        <row r="9960">
          <cell r="A9960" t="str">
            <v>TH-0072</v>
          </cell>
          <cell r="E9960" t="str">
            <v>PRODUCTOS MISCELANEOS</v>
          </cell>
        </row>
        <row r="9961">
          <cell r="A9961" t="str">
            <v>TH-0073</v>
          </cell>
          <cell r="E9961" t="str">
            <v>PRODUCTOS MISCELANEOS</v>
          </cell>
        </row>
        <row r="9962">
          <cell r="A9962" t="str">
            <v>TH-0074</v>
          </cell>
          <cell r="E9962" t="str">
            <v>PRODUCTOS MISCELANEOS</v>
          </cell>
        </row>
        <row r="9963">
          <cell r="A9963" t="str">
            <v>TH-0077</v>
          </cell>
          <cell r="E9963" t="str">
            <v>PRODUCTOS MISCELANEOS</v>
          </cell>
        </row>
        <row r="9964">
          <cell r="A9964" t="str">
            <v>TH-0078</v>
          </cell>
          <cell r="E9964" t="str">
            <v>PRODUCTOS MISCELANEOS</v>
          </cell>
        </row>
        <row r="9965">
          <cell r="A9965" t="str">
            <v>TH-0079</v>
          </cell>
          <cell r="E9965" t="str">
            <v>PRODUCTOS MISCELANEOS</v>
          </cell>
        </row>
        <row r="9966">
          <cell r="A9966" t="str">
            <v>TH-0080</v>
          </cell>
          <cell r="E9966" t="str">
            <v>PRODUCTOS MISCELANEOS</v>
          </cell>
        </row>
        <row r="9967">
          <cell r="A9967" t="str">
            <v>TH-0081</v>
          </cell>
          <cell r="E9967" t="str">
            <v>PRODUCTOS MISCELANEOS</v>
          </cell>
        </row>
        <row r="9968">
          <cell r="A9968" t="str">
            <v>TH-0082</v>
          </cell>
          <cell r="E9968" t="str">
            <v>PRODUCTOS MISCELANEOS</v>
          </cell>
        </row>
        <row r="9969">
          <cell r="A9969" t="str">
            <v>TH-0083</v>
          </cell>
          <cell r="E9969" t="str">
            <v>PRODUCTOS MISCELANEOS</v>
          </cell>
        </row>
        <row r="9970">
          <cell r="A9970" t="str">
            <v>TH-0084</v>
          </cell>
          <cell r="E9970" t="str">
            <v>PRODUCTOS MISCELANEOS</v>
          </cell>
        </row>
        <row r="9971">
          <cell r="A9971" t="str">
            <v>TH-0085</v>
          </cell>
          <cell r="E9971" t="str">
            <v>PRODUCTOS MISCELANEOS</v>
          </cell>
        </row>
        <row r="9972">
          <cell r="A9972" t="str">
            <v>TH-0086</v>
          </cell>
          <cell r="E9972" t="str">
            <v>PRODUCTOS MISCELANEOS</v>
          </cell>
        </row>
        <row r="9973">
          <cell r="A9973" t="str">
            <v>TH-0087</v>
          </cell>
          <cell r="E9973" t="str">
            <v>PRODUCTOS MISCELANEOS</v>
          </cell>
        </row>
        <row r="9974">
          <cell r="A9974" t="str">
            <v>TH-0088</v>
          </cell>
          <cell r="E9974" t="str">
            <v>PRODUCTOS MISCELANEOS</v>
          </cell>
        </row>
        <row r="9975">
          <cell r="A9975" t="str">
            <v>TH-0089</v>
          </cell>
          <cell r="E9975" t="str">
            <v>PRODUCTOS MISCELANEOS</v>
          </cell>
        </row>
        <row r="9976">
          <cell r="A9976" t="str">
            <v>TH-0090</v>
          </cell>
          <cell r="E9976" t="str">
            <v>PRODUCTOS MISCELANEOS</v>
          </cell>
        </row>
        <row r="9977">
          <cell r="A9977" t="str">
            <v>TH-0093</v>
          </cell>
          <cell r="E9977" t="str">
            <v>PRODUCTOS MISCELANEOS</v>
          </cell>
        </row>
        <row r="9978">
          <cell r="A9978" t="str">
            <v>TH-0094</v>
          </cell>
          <cell r="E9978" t="str">
            <v>PRODUCTOS MISCELANEOS</v>
          </cell>
        </row>
        <row r="9979">
          <cell r="A9979" t="str">
            <v>TH-0095</v>
          </cell>
          <cell r="E9979" t="str">
            <v>PRODUCTOS MISCELANEOS</v>
          </cell>
        </row>
        <row r="9980">
          <cell r="A9980" t="str">
            <v>TH-0098</v>
          </cell>
          <cell r="E9980" t="str">
            <v>PRODUCTOS MISCELANEOS</v>
          </cell>
        </row>
        <row r="9981">
          <cell r="A9981" t="str">
            <v>TH-0099</v>
          </cell>
          <cell r="E9981" t="str">
            <v>PRODUCTOS MISCELANEOS</v>
          </cell>
        </row>
        <row r="9982">
          <cell r="A9982" t="str">
            <v>TH-0100</v>
          </cell>
          <cell r="E9982" t="str">
            <v>PRODUCTOS MISCELANEOS</v>
          </cell>
        </row>
        <row r="9983">
          <cell r="A9983" t="str">
            <v>TH-0102</v>
          </cell>
          <cell r="E9983" t="str">
            <v>PRODUCTOS MISCELANEOS</v>
          </cell>
        </row>
        <row r="9984">
          <cell r="A9984" t="str">
            <v>TH-0103</v>
          </cell>
          <cell r="E9984" t="str">
            <v>PRODUCTOS MISCELANEOS</v>
          </cell>
        </row>
        <row r="9985">
          <cell r="A9985" t="str">
            <v>TH-0105</v>
          </cell>
          <cell r="E9985" t="str">
            <v>PRODUCTOS MISCELANEOS</v>
          </cell>
        </row>
        <row r="9986">
          <cell r="A9986" t="str">
            <v>TH-0106</v>
          </cell>
          <cell r="E9986" t="str">
            <v>PRODUCTOS MISCELANEOS</v>
          </cell>
        </row>
        <row r="9987">
          <cell r="A9987" t="str">
            <v>TH-0108</v>
          </cell>
          <cell r="E9987" t="str">
            <v>PRODUCTOS MISCELANEOS</v>
          </cell>
        </row>
        <row r="9988">
          <cell r="A9988" t="str">
            <v>TH-0109</v>
          </cell>
          <cell r="E9988" t="str">
            <v>PRODUCTOS MISCELANEOS</v>
          </cell>
        </row>
        <row r="9989">
          <cell r="A9989" t="str">
            <v>TH-0110</v>
          </cell>
          <cell r="E9989" t="str">
            <v>PRODUCTOS MISCELANEOS</v>
          </cell>
        </row>
        <row r="9990">
          <cell r="A9990" t="str">
            <v>TH-0111</v>
          </cell>
          <cell r="E9990" t="str">
            <v>PRODUCTOS MISCELANEOS</v>
          </cell>
        </row>
        <row r="9991">
          <cell r="A9991" t="str">
            <v>TH-0112</v>
          </cell>
          <cell r="E9991" t="str">
            <v>PRODUCTOS MISCELANEOS</v>
          </cell>
        </row>
        <row r="9992">
          <cell r="A9992" t="str">
            <v>TH-0113</v>
          </cell>
          <cell r="E9992" t="str">
            <v>PRODUCTOS MISCELANEOS</v>
          </cell>
        </row>
        <row r="9993">
          <cell r="A9993" t="str">
            <v>TH-0114</v>
          </cell>
          <cell r="E9993" t="str">
            <v>PRODUCTOS MISCELANEOS</v>
          </cell>
        </row>
        <row r="9994">
          <cell r="A9994" t="str">
            <v>TH-0115</v>
          </cell>
          <cell r="E9994" t="str">
            <v>PRODUCTOS MISCELANEOS</v>
          </cell>
        </row>
        <row r="9995">
          <cell r="A9995" t="str">
            <v>TH-0116</v>
          </cell>
          <cell r="E9995" t="str">
            <v>PRODUCTOS MISCELANEOS</v>
          </cell>
        </row>
        <row r="9996">
          <cell r="A9996" t="str">
            <v>TH-0117</v>
          </cell>
          <cell r="E9996" t="str">
            <v>PRODUCTOS MISCELANEOS</v>
          </cell>
        </row>
        <row r="9997">
          <cell r="A9997" t="str">
            <v>TH-0119</v>
          </cell>
          <cell r="E9997" t="str">
            <v>PRODUCTOS MISCELANEOS</v>
          </cell>
        </row>
        <row r="9998">
          <cell r="A9998" t="str">
            <v>TH-0122</v>
          </cell>
          <cell r="E9998" t="str">
            <v>PRODUCTOS MISCELANEOS</v>
          </cell>
        </row>
        <row r="9999">
          <cell r="A9999" t="str">
            <v>TH-0123</v>
          </cell>
          <cell r="E9999" t="str">
            <v>PRODUCTOS MISCELANEOS</v>
          </cell>
        </row>
        <row r="10000">
          <cell r="A10000" t="str">
            <v>TH-0124</v>
          </cell>
          <cell r="E10000" t="str">
            <v>PRODUCTOS MISCELANEOS</v>
          </cell>
        </row>
        <row r="10001">
          <cell r="A10001" t="str">
            <v>TH-0129</v>
          </cell>
          <cell r="E10001" t="str">
            <v>PRODUCTOS MISCELANEOS</v>
          </cell>
        </row>
        <row r="10002">
          <cell r="A10002" t="str">
            <v>TH-0140</v>
          </cell>
          <cell r="E10002" t="str">
            <v>PRODUCTOS MISCELANEOS</v>
          </cell>
        </row>
        <row r="10003">
          <cell r="A10003" t="str">
            <v>TH-0150</v>
          </cell>
          <cell r="E10003" t="str">
            <v>PRODUCTOS MISCELANEOS</v>
          </cell>
        </row>
        <row r="10004">
          <cell r="A10004" t="str">
            <v>TH-0151</v>
          </cell>
          <cell r="E10004" t="str">
            <v>PRODUCTOS MISCELANEOS</v>
          </cell>
        </row>
        <row r="10005">
          <cell r="A10005" t="str">
            <v>TH-0154</v>
          </cell>
          <cell r="E10005" t="str">
            <v>PRODUCTOS MISCELANEOS</v>
          </cell>
        </row>
        <row r="10006">
          <cell r="A10006" t="str">
            <v>TH-0157</v>
          </cell>
          <cell r="E10006" t="str">
            <v>PRODUCTOS MISCELANEOS</v>
          </cell>
        </row>
        <row r="10007">
          <cell r="A10007" t="str">
            <v>TH-0159</v>
          </cell>
          <cell r="E10007" t="str">
            <v>PRODUCTOS MISCELANEOS</v>
          </cell>
        </row>
        <row r="10008">
          <cell r="A10008" t="str">
            <v>TH-0161</v>
          </cell>
          <cell r="E10008" t="str">
            <v>PRODUCTOS MISCELANEOS</v>
          </cell>
        </row>
        <row r="10009">
          <cell r="A10009" t="str">
            <v>TH-0166</v>
          </cell>
          <cell r="E10009" t="str">
            <v>PRODUCTOS MISCELANEOS</v>
          </cell>
        </row>
        <row r="10010">
          <cell r="A10010" t="str">
            <v>TH-0168</v>
          </cell>
          <cell r="E10010" t="str">
            <v>PRODUCTOS MISCELANEOS</v>
          </cell>
        </row>
        <row r="10011">
          <cell r="A10011" t="str">
            <v>TH-0172</v>
          </cell>
          <cell r="E10011" t="str">
            <v>PRODUCTOS MISCELANEOS</v>
          </cell>
        </row>
        <row r="10012">
          <cell r="A10012" t="str">
            <v>TH-0173</v>
          </cell>
          <cell r="E10012" t="str">
            <v>PRODUCTOS MISCELANEOS</v>
          </cell>
        </row>
        <row r="10013">
          <cell r="A10013" t="str">
            <v>TH-0174</v>
          </cell>
          <cell r="E10013" t="str">
            <v>PRODUCTOS MISCELANEOS</v>
          </cell>
        </row>
        <row r="10014">
          <cell r="A10014" t="str">
            <v>TH-0175</v>
          </cell>
          <cell r="E10014" t="str">
            <v>PRODUCTOS MISCELANEOS</v>
          </cell>
        </row>
        <row r="10015">
          <cell r="A10015" t="str">
            <v>TH-0176</v>
          </cell>
          <cell r="E10015" t="str">
            <v>PRODUCTOS MISCELANEOS</v>
          </cell>
        </row>
        <row r="10016">
          <cell r="A10016" t="str">
            <v>TH-0179</v>
          </cell>
          <cell r="E10016" t="str">
            <v>PRODUCTOS MISCELANEOS</v>
          </cell>
        </row>
        <row r="10017">
          <cell r="A10017" t="str">
            <v>TH-0180</v>
          </cell>
          <cell r="E10017" t="str">
            <v>PRODUCTOS MISCELANEOS</v>
          </cell>
        </row>
        <row r="10018">
          <cell r="A10018" t="str">
            <v>TH-0181</v>
          </cell>
          <cell r="E10018" t="str">
            <v>PRODUCTOS MISCELANEOS</v>
          </cell>
        </row>
        <row r="10019">
          <cell r="A10019" t="str">
            <v>TH-0182</v>
          </cell>
          <cell r="E10019" t="str">
            <v>PRODUCTOS MISCELANEOS</v>
          </cell>
        </row>
        <row r="10020">
          <cell r="A10020" t="str">
            <v>TH-0183</v>
          </cell>
          <cell r="E10020" t="str">
            <v>PRODUCTOS MISCELANEOS</v>
          </cell>
        </row>
        <row r="10021">
          <cell r="A10021" t="str">
            <v>TH-0184</v>
          </cell>
          <cell r="E10021" t="str">
            <v>PRODUCTOS MISCELANEOS</v>
          </cell>
        </row>
        <row r="10022">
          <cell r="A10022" t="str">
            <v>TH-0186</v>
          </cell>
          <cell r="E10022" t="str">
            <v>PRODUCTOS MISCELANEOS</v>
          </cell>
        </row>
        <row r="10023">
          <cell r="A10023" t="str">
            <v>TH-0187</v>
          </cell>
          <cell r="E10023" t="str">
            <v>PRODUCTOS MISCELANEOS</v>
          </cell>
        </row>
        <row r="10024">
          <cell r="A10024" t="str">
            <v>TH-0188</v>
          </cell>
          <cell r="E10024" t="str">
            <v>PRODUCTOS MISCELANEOS</v>
          </cell>
        </row>
        <row r="10025">
          <cell r="A10025" t="str">
            <v>TH-0192</v>
          </cell>
          <cell r="E10025" t="str">
            <v>PRODUCTOS MISCELANEOS</v>
          </cell>
        </row>
        <row r="10026">
          <cell r="A10026" t="str">
            <v>TH-0193</v>
          </cell>
          <cell r="E10026" t="str">
            <v>PRODUCTOS MISCELANEOS</v>
          </cell>
        </row>
        <row r="10027">
          <cell r="A10027" t="str">
            <v>TH-0194</v>
          </cell>
          <cell r="E10027" t="str">
            <v>PRODUCTOS MISCELANEOS</v>
          </cell>
        </row>
        <row r="10028">
          <cell r="A10028" t="str">
            <v>TH-0195</v>
          </cell>
          <cell r="E10028" t="str">
            <v>PRODUCTOS MISCELANEOS</v>
          </cell>
        </row>
        <row r="10029">
          <cell r="A10029" t="str">
            <v>TH-0196</v>
          </cell>
          <cell r="E10029" t="str">
            <v>PRODUCTOS MISCELANEOS</v>
          </cell>
        </row>
        <row r="10030">
          <cell r="A10030" t="str">
            <v>TH-0197</v>
          </cell>
          <cell r="E10030" t="str">
            <v>PRODUCTOS MISCELANEOS</v>
          </cell>
        </row>
        <row r="10031">
          <cell r="A10031" t="str">
            <v>TH-0198</v>
          </cell>
          <cell r="E10031" t="str">
            <v>PRODUCTOS MISCELANEOS</v>
          </cell>
        </row>
        <row r="10032">
          <cell r="A10032" t="str">
            <v>TH-0199</v>
          </cell>
          <cell r="E10032" t="str">
            <v>PRODUCTOS MISCELANEOS</v>
          </cell>
        </row>
        <row r="10033">
          <cell r="A10033" t="str">
            <v>TH-0200</v>
          </cell>
          <cell r="E10033" t="str">
            <v>PRODUCTOS MISCELANEOS</v>
          </cell>
        </row>
        <row r="10034">
          <cell r="A10034" t="str">
            <v>TH-0201</v>
          </cell>
          <cell r="E10034" t="str">
            <v>PRODUCTOS MISCELANEOS</v>
          </cell>
        </row>
        <row r="10035">
          <cell r="A10035" t="str">
            <v>TH-0202</v>
          </cell>
          <cell r="E10035" t="str">
            <v>PRODUCTOS MISCELANEOS</v>
          </cell>
        </row>
        <row r="10036">
          <cell r="A10036" t="str">
            <v>TH-0206</v>
          </cell>
          <cell r="E10036" t="str">
            <v>PRODUCTOS MISCELANEOS</v>
          </cell>
        </row>
        <row r="10037">
          <cell r="A10037" t="str">
            <v>TH-0207</v>
          </cell>
          <cell r="E10037" t="str">
            <v>PRODUCTOS MISCELANEOS</v>
          </cell>
        </row>
        <row r="10038">
          <cell r="A10038" t="str">
            <v>TH-0208</v>
          </cell>
          <cell r="E10038" t="str">
            <v>PRODUCTOS MISCELANEOS</v>
          </cell>
        </row>
        <row r="10039">
          <cell r="A10039" t="str">
            <v>TH-0209</v>
          </cell>
          <cell r="E10039" t="str">
            <v>PRODUCTOS MISCELANEOS</v>
          </cell>
        </row>
        <row r="10040">
          <cell r="A10040" t="str">
            <v>TH-0211</v>
          </cell>
          <cell r="E10040" t="str">
            <v>PRODUCTOS MISCELANEOS</v>
          </cell>
        </row>
        <row r="10041">
          <cell r="A10041" t="str">
            <v>TH-0212</v>
          </cell>
          <cell r="E10041" t="str">
            <v>PRODUCTOS MISCELANEOS</v>
          </cell>
        </row>
        <row r="10042">
          <cell r="A10042" t="str">
            <v>TH-0213</v>
          </cell>
          <cell r="E10042" t="str">
            <v>PRODUCTOS MISCELANEOS</v>
          </cell>
        </row>
        <row r="10043">
          <cell r="A10043" t="str">
            <v>TH-0215</v>
          </cell>
          <cell r="E10043" t="str">
            <v>PRODUCTOS MISCELANEOS</v>
          </cell>
        </row>
        <row r="10044">
          <cell r="A10044" t="str">
            <v>TH-0216</v>
          </cell>
          <cell r="E10044" t="str">
            <v>PRODUCTOS MISCELANEOS</v>
          </cell>
        </row>
        <row r="10045">
          <cell r="A10045" t="str">
            <v>TH-0219</v>
          </cell>
          <cell r="E10045" t="str">
            <v>PRODUCTOS MISCELANEOS</v>
          </cell>
        </row>
        <row r="10046">
          <cell r="A10046" t="str">
            <v>TH-0220</v>
          </cell>
          <cell r="E10046" t="str">
            <v>PRODUCTOS MISCELANEOS</v>
          </cell>
        </row>
        <row r="10047">
          <cell r="A10047" t="str">
            <v>TH-0221</v>
          </cell>
          <cell r="E10047" t="str">
            <v>PRODUCTOS MISCELANEOS</v>
          </cell>
        </row>
        <row r="10048">
          <cell r="A10048" t="str">
            <v>TH-0222</v>
          </cell>
          <cell r="E10048" t="str">
            <v>PRODUCTOS MISCELANEOS</v>
          </cell>
        </row>
        <row r="10049">
          <cell r="A10049" t="str">
            <v>TH-0223</v>
          </cell>
          <cell r="E10049" t="str">
            <v>PRODUCTOS MISCELANEOS</v>
          </cell>
        </row>
        <row r="10050">
          <cell r="A10050" t="str">
            <v>TH-0225</v>
          </cell>
          <cell r="E10050" t="str">
            <v>PRODUCTOS MISCELANEOS</v>
          </cell>
        </row>
        <row r="10051">
          <cell r="A10051" t="str">
            <v>TH-0228</v>
          </cell>
          <cell r="E10051" t="str">
            <v>PRODUCTOS MISCELANEOS</v>
          </cell>
        </row>
        <row r="10052">
          <cell r="A10052" t="str">
            <v>TH-0229</v>
          </cell>
          <cell r="E10052" t="str">
            <v>PRODUCTOS MISCELANEOS</v>
          </cell>
        </row>
        <row r="10053">
          <cell r="A10053" t="str">
            <v>TH-0235</v>
          </cell>
          <cell r="E10053" t="str">
            <v>PRODUCTOS MISCELANEOS</v>
          </cell>
        </row>
        <row r="10054">
          <cell r="A10054" t="str">
            <v>TH-0237</v>
          </cell>
          <cell r="E10054" t="str">
            <v>PRODUCTOS MISCELANEOS</v>
          </cell>
        </row>
        <row r="10055">
          <cell r="A10055" t="str">
            <v>TH-0242</v>
          </cell>
          <cell r="E10055" t="str">
            <v>PRODUCTOS MISCELANEOS</v>
          </cell>
        </row>
        <row r="10056">
          <cell r="A10056" t="str">
            <v>TH-0243</v>
          </cell>
          <cell r="E10056" t="str">
            <v>PRODUCTOS MISCELANEOS</v>
          </cell>
        </row>
        <row r="10057">
          <cell r="A10057" t="str">
            <v>TH-0255</v>
          </cell>
          <cell r="E10057" t="str">
            <v>PRODUCTOS MISCELANEOS</v>
          </cell>
        </row>
        <row r="10058">
          <cell r="A10058" t="str">
            <v>TH-0269</v>
          </cell>
          <cell r="E10058" t="str">
            <v>PRODUCTOS MISCELANEOS</v>
          </cell>
        </row>
        <row r="10059">
          <cell r="A10059" t="str">
            <v>TH-0270</v>
          </cell>
          <cell r="E10059" t="str">
            <v>PRODUCTOS MISCELANEOS</v>
          </cell>
        </row>
        <row r="10060">
          <cell r="A10060" t="str">
            <v>TH-0272</v>
          </cell>
          <cell r="E10060" t="str">
            <v>PRODUCTOS MISCELANEOS</v>
          </cell>
        </row>
        <row r="10061">
          <cell r="A10061" t="str">
            <v>TH-0273</v>
          </cell>
          <cell r="E10061" t="str">
            <v>PRODUCTOS MISCELANEOS</v>
          </cell>
        </row>
        <row r="10062">
          <cell r="A10062" t="str">
            <v>TH-0276</v>
          </cell>
          <cell r="E10062" t="str">
            <v>PRODUCTOS MISCELANEOS</v>
          </cell>
        </row>
        <row r="10063">
          <cell r="A10063" t="str">
            <v>TH-0278</v>
          </cell>
          <cell r="E10063" t="str">
            <v>PRODUCTOS MISCELANEOS</v>
          </cell>
        </row>
        <row r="10064">
          <cell r="A10064" t="str">
            <v>TH-0281</v>
          </cell>
          <cell r="E10064" t="str">
            <v>PRODUCTOS MISCELANEOS</v>
          </cell>
        </row>
        <row r="10065">
          <cell r="A10065" t="str">
            <v>TH-0284</v>
          </cell>
          <cell r="E10065" t="str">
            <v>PRODUCTOS MISCELANEOS</v>
          </cell>
        </row>
        <row r="10066">
          <cell r="A10066" t="str">
            <v>TH-0285</v>
          </cell>
          <cell r="E10066" t="str">
            <v>PRODUCTOS MISCELANEOS</v>
          </cell>
        </row>
        <row r="10067">
          <cell r="A10067" t="str">
            <v>TH-0287</v>
          </cell>
          <cell r="E10067" t="str">
            <v>PRODUCTOS MISCELANEOS</v>
          </cell>
        </row>
        <row r="10068">
          <cell r="A10068" t="str">
            <v>TH-0288</v>
          </cell>
          <cell r="E10068" t="str">
            <v>PRODUCTOS MISCELANEOS</v>
          </cell>
        </row>
        <row r="10069">
          <cell r="A10069" t="str">
            <v>TH-0290</v>
          </cell>
          <cell r="E10069" t="str">
            <v>PRODUCTOS MISCELANEOS</v>
          </cell>
        </row>
        <row r="10070">
          <cell r="A10070" t="str">
            <v>TH-0293</v>
          </cell>
          <cell r="E10070" t="str">
            <v>PRODUCTOS MISCELANEOS</v>
          </cell>
        </row>
        <row r="10071">
          <cell r="A10071" t="str">
            <v>TH-0295</v>
          </cell>
          <cell r="E10071" t="str">
            <v>PRODUCTOS MISCELANEOS</v>
          </cell>
        </row>
        <row r="10072">
          <cell r="A10072" t="str">
            <v>TH-0296</v>
          </cell>
          <cell r="E10072" t="str">
            <v>PRODUCTOS MISCELANEOS</v>
          </cell>
        </row>
        <row r="10073">
          <cell r="A10073" t="str">
            <v>TH-0297</v>
          </cell>
          <cell r="E10073" t="str">
            <v>PRODUCTOS MISCELANEOS</v>
          </cell>
        </row>
        <row r="10074">
          <cell r="A10074" t="str">
            <v>TH-0298</v>
          </cell>
          <cell r="E10074" t="str">
            <v>PRODUCTOS MISCELANEOS</v>
          </cell>
        </row>
        <row r="10075">
          <cell r="A10075" t="str">
            <v>TH-0299</v>
          </cell>
          <cell r="E10075" t="str">
            <v>PRODUCTOS MISCELANEOS</v>
          </cell>
        </row>
        <row r="10076">
          <cell r="A10076" t="str">
            <v>TH-0306</v>
          </cell>
          <cell r="E10076" t="str">
            <v>PRODUCTOS MISCELANEOS</v>
          </cell>
        </row>
        <row r="10077">
          <cell r="A10077" t="str">
            <v>TH-0327</v>
          </cell>
          <cell r="E10077" t="str">
            <v>PRODUCTOS MISCELANEOS</v>
          </cell>
        </row>
        <row r="10078">
          <cell r="A10078" t="str">
            <v>TH-0349</v>
          </cell>
          <cell r="E10078" t="str">
            <v>PRODUCTOS MISCELANEOS</v>
          </cell>
        </row>
        <row r="10079">
          <cell r="A10079" t="str">
            <v>TH-0355</v>
          </cell>
          <cell r="E10079" t="str">
            <v>PRODUCTOS MISCELANEOS</v>
          </cell>
        </row>
        <row r="10080">
          <cell r="A10080" t="str">
            <v>TH-0359</v>
          </cell>
          <cell r="E10080" t="str">
            <v>PRODUCTOS MISCELANEOS</v>
          </cell>
        </row>
        <row r="10081">
          <cell r="A10081" t="str">
            <v>TH-0360</v>
          </cell>
          <cell r="E10081" t="str">
            <v>PRODUCTOS MISCELANEOS</v>
          </cell>
        </row>
        <row r="10082">
          <cell r="A10082" t="str">
            <v>TH-0361</v>
          </cell>
          <cell r="E10082" t="str">
            <v>PRODUCTOS MISCELANEOS</v>
          </cell>
        </row>
        <row r="10083">
          <cell r="A10083" t="str">
            <v>TH-0364</v>
          </cell>
          <cell r="E10083" t="str">
            <v>PRODUCTOS MISCELANEOS</v>
          </cell>
        </row>
        <row r="10084">
          <cell r="A10084" t="str">
            <v>TH-0366</v>
          </cell>
          <cell r="E10084" t="str">
            <v>PRODUCTOS MISCELANEOS</v>
          </cell>
        </row>
        <row r="10085">
          <cell r="A10085" t="str">
            <v>TH-0367</v>
          </cell>
          <cell r="E10085" t="str">
            <v>PRODUCTOS MISCELANEOS</v>
          </cell>
        </row>
        <row r="10086">
          <cell r="A10086" t="str">
            <v>TH-0369</v>
          </cell>
          <cell r="E10086" t="str">
            <v>PRODUCTOS MISCELANEOS</v>
          </cell>
        </row>
        <row r="10087">
          <cell r="A10087" t="str">
            <v>TH-0370</v>
          </cell>
          <cell r="E10087" t="str">
            <v>PRODUCTOS MISCELANEOS</v>
          </cell>
        </row>
        <row r="10088">
          <cell r="A10088" t="str">
            <v>TH-0371</v>
          </cell>
          <cell r="E10088" t="str">
            <v>PRODUCTOS MISCELANEOS</v>
          </cell>
        </row>
        <row r="10089">
          <cell r="A10089" t="str">
            <v>TH-0372</v>
          </cell>
          <cell r="E10089" t="str">
            <v>PRODUCTOS MISCELANEOS</v>
          </cell>
        </row>
        <row r="10090">
          <cell r="A10090" t="str">
            <v>TH-0373</v>
          </cell>
          <cell r="E10090" t="str">
            <v>PRODUCTOS MISCELANEOS</v>
          </cell>
        </row>
        <row r="10091">
          <cell r="A10091" t="str">
            <v>TH-0374</v>
          </cell>
          <cell r="E10091" t="str">
            <v>PRODUCTOS MISCELANEOS</v>
          </cell>
        </row>
        <row r="10092">
          <cell r="A10092" t="str">
            <v>TH-0394</v>
          </cell>
          <cell r="E10092" t="str">
            <v>PRODUCTOS MISCELANEOS</v>
          </cell>
        </row>
        <row r="10093">
          <cell r="A10093" t="str">
            <v>TH-0401</v>
          </cell>
          <cell r="E10093" t="str">
            <v>PRODUCTOS MISCELANEOS</v>
          </cell>
        </row>
        <row r="10094">
          <cell r="A10094" t="str">
            <v>TH-0402</v>
          </cell>
          <cell r="E10094" t="str">
            <v>PRODUCTOS MISCELANEOS</v>
          </cell>
        </row>
        <row r="10095">
          <cell r="A10095" t="str">
            <v>TH-0403</v>
          </cell>
          <cell r="E10095" t="str">
            <v>PRODUCTOS MISCELANEOS</v>
          </cell>
        </row>
        <row r="10096">
          <cell r="A10096" t="str">
            <v>TH-0405</v>
          </cell>
          <cell r="E10096" t="str">
            <v>PRODUCTOS MISCELANEOS</v>
          </cell>
        </row>
        <row r="10097">
          <cell r="A10097" t="str">
            <v>TH-0410</v>
          </cell>
          <cell r="E10097" t="str">
            <v>PRODUCTOS MISCELANEOS</v>
          </cell>
        </row>
        <row r="10098">
          <cell r="A10098" t="str">
            <v>TH-0443</v>
          </cell>
          <cell r="E10098" t="str">
            <v>PRODUCTOS MISCELANEOS</v>
          </cell>
        </row>
        <row r="10099">
          <cell r="A10099" t="str">
            <v>TH-0450</v>
          </cell>
          <cell r="E10099" t="str">
            <v>PRODUCTOS MISCELANEOS</v>
          </cell>
        </row>
        <row r="10100">
          <cell r="A10100" t="str">
            <v>TH-0451</v>
          </cell>
          <cell r="E10100" t="str">
            <v>PRODUCTOS MISCELANEOS</v>
          </cell>
        </row>
        <row r="10101">
          <cell r="A10101" t="str">
            <v>TH-0454</v>
          </cell>
          <cell r="E10101" t="str">
            <v>PRODUCTOS MISCELANEOS</v>
          </cell>
        </row>
        <row r="10102">
          <cell r="A10102" t="str">
            <v>TH-0455</v>
          </cell>
          <cell r="E10102" t="str">
            <v>PRODUCTOS MISCELANEOS</v>
          </cell>
        </row>
        <row r="10103">
          <cell r="A10103" t="str">
            <v>TH-0456</v>
          </cell>
          <cell r="E10103" t="str">
            <v>PRODUCTOS MISCELANEOS</v>
          </cell>
        </row>
        <row r="10104">
          <cell r="A10104" t="str">
            <v>TH-0457</v>
          </cell>
          <cell r="E10104" t="str">
            <v>PRODUCTOS MISCELANEOS</v>
          </cell>
        </row>
        <row r="10105">
          <cell r="A10105" t="str">
            <v>TH-0458</v>
          </cell>
          <cell r="E10105" t="str">
            <v>PRODUCTOS MISCELANEOS</v>
          </cell>
        </row>
        <row r="10106">
          <cell r="A10106" t="str">
            <v>TH-0459</v>
          </cell>
          <cell r="E10106" t="str">
            <v>PRODUCTOS MISCELANEOS</v>
          </cell>
        </row>
        <row r="10107">
          <cell r="A10107" t="str">
            <v>TH-0460</v>
          </cell>
          <cell r="E10107" t="str">
            <v>PRODUCTOS MISCELANEOS</v>
          </cell>
        </row>
        <row r="10108">
          <cell r="A10108" t="str">
            <v>TH-0461</v>
          </cell>
          <cell r="E10108" t="str">
            <v>PRODUCTOS MISCELANEOS</v>
          </cell>
        </row>
        <row r="10109">
          <cell r="A10109" t="str">
            <v>TH-0462</v>
          </cell>
          <cell r="E10109" t="str">
            <v>PRODUCTOS MISCELANEOS</v>
          </cell>
        </row>
        <row r="10110">
          <cell r="A10110" t="str">
            <v>TH-0463</v>
          </cell>
          <cell r="E10110" t="str">
            <v>PRODUCTOS MISCELANEOS</v>
          </cell>
        </row>
        <row r="10111">
          <cell r="A10111" t="str">
            <v>TH-0465</v>
          </cell>
          <cell r="E10111" t="str">
            <v>PRODUCTOS MISCELANEOS</v>
          </cell>
        </row>
        <row r="10112">
          <cell r="A10112" t="str">
            <v>TH-0466</v>
          </cell>
          <cell r="E10112" t="str">
            <v>PRODUCTOS MISCELANEOS</v>
          </cell>
        </row>
        <row r="10113">
          <cell r="A10113" t="str">
            <v>TH-0477</v>
          </cell>
          <cell r="E10113" t="str">
            <v>PRODUCTOS MISCELANEOS</v>
          </cell>
        </row>
        <row r="10114">
          <cell r="A10114" t="str">
            <v>TH-0479</v>
          </cell>
          <cell r="E10114" t="str">
            <v>PRODUCTOS MISCELANEOS</v>
          </cell>
        </row>
        <row r="10115">
          <cell r="A10115" t="str">
            <v>TH-0480</v>
          </cell>
          <cell r="E10115" t="str">
            <v>PRODUCTOS MISCELANEOS</v>
          </cell>
        </row>
        <row r="10116">
          <cell r="A10116" t="str">
            <v>TH-0481</v>
          </cell>
          <cell r="E10116" t="str">
            <v>PRODUCTOS MISCELANEOS</v>
          </cell>
        </row>
        <row r="10117">
          <cell r="A10117" t="str">
            <v>TH-0482</v>
          </cell>
          <cell r="E10117" t="str">
            <v>PRODUCTOS MISCELANEOS</v>
          </cell>
        </row>
        <row r="10118">
          <cell r="A10118" t="str">
            <v>TH-0483</v>
          </cell>
          <cell r="E10118" t="str">
            <v>PRODUCTOS MISCELANEOS</v>
          </cell>
        </row>
        <row r="10119">
          <cell r="A10119" t="str">
            <v>TH-0484</v>
          </cell>
          <cell r="E10119" t="str">
            <v>PRODUCTOS MISCELANEOS</v>
          </cell>
        </row>
        <row r="10120">
          <cell r="A10120" t="str">
            <v>TH-0485</v>
          </cell>
          <cell r="E10120" t="str">
            <v>PRODUCTOS MISCELANEOS</v>
          </cell>
        </row>
        <row r="10121">
          <cell r="A10121" t="str">
            <v>TH-0486</v>
          </cell>
          <cell r="E10121" t="str">
            <v>PRODUCTOS MISCELANEOS</v>
          </cell>
        </row>
        <row r="10122">
          <cell r="A10122" t="str">
            <v>TH-0487</v>
          </cell>
          <cell r="E10122" t="str">
            <v>PRODUCTOS MISCELANEOS</v>
          </cell>
        </row>
        <row r="10123">
          <cell r="A10123" t="str">
            <v>TH-0488</v>
          </cell>
          <cell r="E10123" t="str">
            <v>PRODUCTOS MISCELANEOS</v>
          </cell>
        </row>
        <row r="10124">
          <cell r="A10124" t="str">
            <v>TH-0489</v>
          </cell>
          <cell r="E10124" t="str">
            <v>PRODUCTOS MISCELANEOS</v>
          </cell>
        </row>
        <row r="10125">
          <cell r="A10125" t="str">
            <v>TH-0490</v>
          </cell>
          <cell r="E10125" t="str">
            <v>PRODUCTOS MISCELANEOS</v>
          </cell>
        </row>
        <row r="10126">
          <cell r="A10126" t="str">
            <v>TH-0491</v>
          </cell>
          <cell r="E10126" t="str">
            <v>PRODUCTOS MISCELANEOS</v>
          </cell>
        </row>
        <row r="10127">
          <cell r="A10127" t="str">
            <v>TH-0492</v>
          </cell>
          <cell r="E10127" t="str">
            <v>PRODUCTOS MISCELANEOS</v>
          </cell>
        </row>
        <row r="10128">
          <cell r="A10128" t="str">
            <v>TH-0493</v>
          </cell>
          <cell r="E10128" t="str">
            <v>PRODUCTOS MISCELANEOS</v>
          </cell>
        </row>
        <row r="10129">
          <cell r="A10129" t="str">
            <v>TH-0494</v>
          </cell>
          <cell r="E10129" t="str">
            <v>PRODUCTOS MISCELANEOS</v>
          </cell>
        </row>
        <row r="10130">
          <cell r="A10130" t="str">
            <v>TH-0495</v>
          </cell>
          <cell r="E10130" t="str">
            <v>PRODUCTOS MISCELANEOS</v>
          </cell>
        </row>
        <row r="10131">
          <cell r="A10131" t="str">
            <v>TH-0498</v>
          </cell>
          <cell r="E10131" t="str">
            <v>PRODUCTOS MISCELANEOS</v>
          </cell>
        </row>
        <row r="10132">
          <cell r="A10132" t="str">
            <v>TH-0499</v>
          </cell>
          <cell r="E10132" t="str">
            <v>PRODUCTOS MISCELANEOS</v>
          </cell>
        </row>
        <row r="10133">
          <cell r="A10133" t="str">
            <v>TH-0500</v>
          </cell>
          <cell r="E10133" t="str">
            <v>PRODUCTOS MISCELANEOS</v>
          </cell>
        </row>
        <row r="10134">
          <cell r="A10134" t="str">
            <v>TH-0501</v>
          </cell>
          <cell r="E10134" t="str">
            <v>PRODUCTOS MISCELANEOS</v>
          </cell>
        </row>
        <row r="10135">
          <cell r="A10135" t="str">
            <v>TH-0502</v>
          </cell>
          <cell r="E10135" t="str">
            <v>PRODUCTOS MISCELANEOS</v>
          </cell>
        </row>
        <row r="10136">
          <cell r="A10136" t="str">
            <v>TH-0503</v>
          </cell>
          <cell r="E10136" t="str">
            <v>PRODUCTOS MISCELANEOS</v>
          </cell>
        </row>
        <row r="10137">
          <cell r="A10137" t="str">
            <v>TH-0504</v>
          </cell>
          <cell r="E10137" t="str">
            <v>PRODUCTOS MISCELANEOS</v>
          </cell>
        </row>
        <row r="10138">
          <cell r="A10138" t="str">
            <v>TH-0505</v>
          </cell>
          <cell r="E10138" t="str">
            <v>PRODUCTOS MISCELANEOS</v>
          </cell>
        </row>
        <row r="10139">
          <cell r="A10139" t="str">
            <v>TH-0506</v>
          </cell>
          <cell r="E10139" t="str">
            <v>PRODUCTOS MISCELANEOS</v>
          </cell>
        </row>
        <row r="10140">
          <cell r="A10140" t="str">
            <v>TH-0507</v>
          </cell>
          <cell r="E10140" t="str">
            <v>PRODUCTOS MISCELANEOS</v>
          </cell>
        </row>
        <row r="10141">
          <cell r="A10141" t="str">
            <v>TH-0508</v>
          </cell>
          <cell r="E10141" t="str">
            <v>PRODUCTOS MISCELANEOS</v>
          </cell>
        </row>
        <row r="10142">
          <cell r="A10142" t="str">
            <v>TH-0509</v>
          </cell>
          <cell r="E10142" t="str">
            <v>PRODUCTOS MISCELANEOS</v>
          </cell>
        </row>
        <row r="10143">
          <cell r="A10143" t="str">
            <v>TH-0510</v>
          </cell>
          <cell r="E10143" t="str">
            <v>PRODUCTOS MISCELANEOS</v>
          </cell>
        </row>
        <row r="10144">
          <cell r="A10144" t="str">
            <v>TH-0511</v>
          </cell>
          <cell r="E10144" t="str">
            <v>PRODUCTOS MISCELANEOS</v>
          </cell>
        </row>
        <row r="10145">
          <cell r="A10145" t="str">
            <v>TH-0512</v>
          </cell>
          <cell r="E10145" t="str">
            <v>PRODUCTOS MISCELANEOS</v>
          </cell>
        </row>
        <row r="10146">
          <cell r="A10146" t="str">
            <v>TH-0513</v>
          </cell>
          <cell r="E10146" t="str">
            <v>PRODUCTOS MISCELANEOS</v>
          </cell>
        </row>
        <row r="10147">
          <cell r="A10147" t="str">
            <v>TH-0514</v>
          </cell>
          <cell r="E10147" t="str">
            <v>PRODUCTOS MISCELANEOS</v>
          </cell>
        </row>
        <row r="10148">
          <cell r="A10148" t="str">
            <v>TH-0515</v>
          </cell>
          <cell r="E10148" t="str">
            <v>PRODUCTOS MISCELANEOS</v>
          </cell>
        </row>
        <row r="10149">
          <cell r="A10149" t="str">
            <v>TH-0517</v>
          </cell>
          <cell r="E10149" t="str">
            <v>PRODUCTOS MISCELANEOS</v>
          </cell>
        </row>
        <row r="10150">
          <cell r="A10150" t="str">
            <v>T-L0431</v>
          </cell>
          <cell r="E10150" t="str">
            <v>FONDO DE NITROCELULOSA</v>
          </cell>
        </row>
        <row r="10151">
          <cell r="A10151" t="str">
            <v>T-L0451</v>
          </cell>
          <cell r="E10151" t="str">
            <v>FONDO DE NITROCELULOSA</v>
          </cell>
        </row>
        <row r="10152">
          <cell r="A10152" t="str">
            <v>T-L3180</v>
          </cell>
          <cell r="E10152" t="str">
            <v>LACA NITRO TRANSPARENTE SIGLO</v>
          </cell>
        </row>
        <row r="10153">
          <cell r="A10153" t="str">
            <v>T-L3181</v>
          </cell>
          <cell r="E10153" t="str">
            <v>LACA NITRO TRANSPARENTE SIGLO</v>
          </cell>
        </row>
        <row r="10154">
          <cell r="A10154" t="str">
            <v>TP-0008</v>
          </cell>
          <cell r="E10154" t="str">
            <v>PRODUCTOS MISCELANEOS</v>
          </cell>
        </row>
        <row r="10155">
          <cell r="A10155" t="str">
            <v>TP-0009</v>
          </cell>
          <cell r="E10155" t="str">
            <v>PRODUCTOS MISCELANEOS</v>
          </cell>
        </row>
        <row r="10156">
          <cell r="A10156" t="str">
            <v>TP-0010</v>
          </cell>
          <cell r="E10156" t="str">
            <v>PRODUCTOS MISCELANEOS</v>
          </cell>
        </row>
        <row r="10157">
          <cell r="A10157" t="str">
            <v>TP-0011</v>
          </cell>
          <cell r="E10157" t="str">
            <v>PRODUCTOS MISCELANEOS</v>
          </cell>
        </row>
        <row r="10158">
          <cell r="A10158" t="str">
            <v>TP-0012</v>
          </cell>
          <cell r="E10158" t="str">
            <v>PRODUCTOS MISCELANEOS</v>
          </cell>
        </row>
        <row r="10159">
          <cell r="A10159" t="str">
            <v>TP-0013</v>
          </cell>
          <cell r="E10159" t="str">
            <v>PRODUCTOS MISCELANEOS</v>
          </cell>
        </row>
        <row r="10160">
          <cell r="A10160" t="str">
            <v>TP-0014</v>
          </cell>
          <cell r="E10160" t="str">
            <v>PRODUCTOS MISCELANEOS</v>
          </cell>
        </row>
        <row r="10161">
          <cell r="A10161" t="str">
            <v>TP-0015</v>
          </cell>
          <cell r="E10161" t="str">
            <v>PRODUCTOS MISCELANEOS</v>
          </cell>
        </row>
        <row r="10162">
          <cell r="A10162" t="str">
            <v>TP-0016</v>
          </cell>
          <cell r="E10162" t="str">
            <v>PRODUCTOS MISCELANEOS</v>
          </cell>
        </row>
        <row r="10163">
          <cell r="A10163" t="str">
            <v>TP-0017</v>
          </cell>
          <cell r="E10163" t="str">
            <v>PRODUCTOS MISCELANEOS</v>
          </cell>
        </row>
        <row r="10164">
          <cell r="A10164" t="str">
            <v>TP-0018</v>
          </cell>
          <cell r="E10164" t="str">
            <v>PRODUCTOS MISCELANEOS</v>
          </cell>
        </row>
        <row r="10165">
          <cell r="A10165" t="str">
            <v>TP-0020</v>
          </cell>
          <cell r="E10165" t="str">
            <v>PRODUCTOS MISCELANEOS</v>
          </cell>
        </row>
        <row r="10166">
          <cell r="A10166" t="str">
            <v>TP-0021</v>
          </cell>
          <cell r="E10166" t="str">
            <v>PRODUCTOS MISCELANEOS</v>
          </cell>
        </row>
        <row r="10167">
          <cell r="A10167" t="str">
            <v>TP-0022</v>
          </cell>
          <cell r="E10167" t="str">
            <v>PRODUCTOS MISCELANEOS</v>
          </cell>
        </row>
        <row r="10168">
          <cell r="A10168" t="str">
            <v>TP-0023</v>
          </cell>
          <cell r="E10168" t="str">
            <v>PRODUCTOS MISCELANEOS</v>
          </cell>
        </row>
        <row r="10169">
          <cell r="A10169" t="str">
            <v>TP-0024</v>
          </cell>
          <cell r="E10169" t="str">
            <v>PRODUCTOS MISCELANEOS</v>
          </cell>
        </row>
        <row r="10170">
          <cell r="A10170" t="str">
            <v>TP-0025</v>
          </cell>
          <cell r="E10170" t="str">
            <v>PRODUCTOS MISCELANEOS</v>
          </cell>
        </row>
        <row r="10171">
          <cell r="A10171" t="str">
            <v>TP-0027</v>
          </cell>
          <cell r="E10171" t="str">
            <v>PRODUCTOS MISCELANEOS</v>
          </cell>
        </row>
        <row r="10172">
          <cell r="A10172" t="str">
            <v>TP-0028</v>
          </cell>
          <cell r="E10172" t="str">
            <v>PRODUCTOS MISCELANEOS</v>
          </cell>
        </row>
        <row r="10173">
          <cell r="A10173" t="str">
            <v>TP-0029</v>
          </cell>
          <cell r="E10173" t="str">
            <v>PRODUCTOS MISCELANEOS</v>
          </cell>
        </row>
        <row r="10174">
          <cell r="A10174" t="str">
            <v>TP-0030</v>
          </cell>
          <cell r="E10174" t="str">
            <v>PRODUCTOS MISCELANEOS</v>
          </cell>
        </row>
        <row r="10175">
          <cell r="A10175" t="str">
            <v>TP-0031</v>
          </cell>
          <cell r="E10175" t="str">
            <v>PRODUCTOS MISCELANEOS</v>
          </cell>
        </row>
        <row r="10176">
          <cell r="A10176" t="str">
            <v>TP-0033</v>
          </cell>
          <cell r="E10176" t="str">
            <v>PRODUCTOS MISCELANEOS</v>
          </cell>
        </row>
        <row r="10177">
          <cell r="A10177" t="str">
            <v>TP-0034</v>
          </cell>
          <cell r="E10177" t="str">
            <v>PRODUCTOS MISCELANEOS</v>
          </cell>
        </row>
        <row r="10178">
          <cell r="A10178" t="str">
            <v>TP-0035</v>
          </cell>
          <cell r="E10178" t="str">
            <v>PRODUCTOS MISCELANEOS</v>
          </cell>
        </row>
        <row r="10179">
          <cell r="A10179" t="str">
            <v>TP-0036</v>
          </cell>
          <cell r="E10179" t="str">
            <v>PRODUCTOS MISCELANEOS</v>
          </cell>
        </row>
        <row r="10180">
          <cell r="A10180" t="str">
            <v>TP-0037</v>
          </cell>
          <cell r="E10180" t="str">
            <v>PRODUCTOS MISCELANEOS</v>
          </cell>
        </row>
        <row r="10181">
          <cell r="A10181" t="str">
            <v>TP-0038</v>
          </cell>
          <cell r="E10181" t="str">
            <v>PRODUCTOS MISCELANEOS</v>
          </cell>
        </row>
        <row r="10182">
          <cell r="A10182" t="str">
            <v>TP-0039</v>
          </cell>
          <cell r="E10182" t="str">
            <v>PRODUCTOS MISCELANEOS</v>
          </cell>
        </row>
        <row r="10183">
          <cell r="A10183" t="str">
            <v>TP-0040</v>
          </cell>
          <cell r="E10183" t="str">
            <v>PRODUCTOS MISCELANEOS</v>
          </cell>
        </row>
        <row r="10184">
          <cell r="A10184" t="str">
            <v>TP-0041</v>
          </cell>
          <cell r="E10184" t="str">
            <v>PRODUCTOS MISCELANEOS</v>
          </cell>
        </row>
        <row r="10185">
          <cell r="A10185" t="str">
            <v>TP-0042</v>
          </cell>
          <cell r="E10185" t="str">
            <v>PRODUCTOS MISCELANEOS</v>
          </cell>
        </row>
        <row r="10186">
          <cell r="A10186" t="str">
            <v>TP-0043</v>
          </cell>
          <cell r="E10186" t="str">
            <v>PRODUCTOS MISCELANEOS</v>
          </cell>
        </row>
        <row r="10187">
          <cell r="A10187" t="str">
            <v>TP-0046</v>
          </cell>
          <cell r="E10187" t="str">
            <v>PRODUCTOS MISCELANEOS</v>
          </cell>
        </row>
        <row r="10188">
          <cell r="A10188" t="str">
            <v>TP-0047</v>
          </cell>
          <cell r="E10188" t="str">
            <v>PRODUCTOS MISCELANEOS</v>
          </cell>
        </row>
        <row r="10189">
          <cell r="A10189" t="str">
            <v>TP-0048</v>
          </cell>
          <cell r="E10189" t="str">
            <v>PRODUCTOS MISCELANEOS</v>
          </cell>
        </row>
        <row r="10190">
          <cell r="A10190" t="str">
            <v>TP-0049</v>
          </cell>
          <cell r="E10190" t="str">
            <v>PRODUCTOS MISCELANEOS</v>
          </cell>
        </row>
        <row r="10191">
          <cell r="A10191" t="str">
            <v>TP-0050</v>
          </cell>
          <cell r="E10191" t="str">
            <v>PRODUCTOS MISCELANEOS</v>
          </cell>
        </row>
        <row r="10192">
          <cell r="A10192" t="str">
            <v>TP-0051</v>
          </cell>
          <cell r="E10192" t="str">
            <v>PRODUCTOS MISCELANEOS</v>
          </cell>
        </row>
        <row r="10193">
          <cell r="A10193" t="str">
            <v>TP-0053</v>
          </cell>
          <cell r="E10193" t="str">
            <v>PRODUCTOS MISCELANEOS</v>
          </cell>
        </row>
        <row r="10194">
          <cell r="A10194" t="str">
            <v>TP-0054</v>
          </cell>
          <cell r="E10194" t="str">
            <v>PRODUCTOS MISCELANEOS</v>
          </cell>
        </row>
        <row r="10195">
          <cell r="A10195" t="str">
            <v>TP-0055</v>
          </cell>
          <cell r="E10195" t="str">
            <v>PRODUCTOS MISCELANEOS</v>
          </cell>
        </row>
        <row r="10196">
          <cell r="A10196" t="str">
            <v>TP-0056</v>
          </cell>
          <cell r="E10196" t="str">
            <v>PRODUCTOS MISCELANEOS</v>
          </cell>
        </row>
        <row r="10197">
          <cell r="A10197" t="str">
            <v>TP-0059</v>
          </cell>
          <cell r="E10197" t="str">
            <v>PRODUCTOS MISCELANEOS</v>
          </cell>
        </row>
        <row r="10198">
          <cell r="A10198" t="str">
            <v>TP-0061</v>
          </cell>
          <cell r="E10198" t="str">
            <v>PRODUCTOS MISCELANEOS</v>
          </cell>
        </row>
        <row r="10199">
          <cell r="A10199" t="str">
            <v>TP-0064</v>
          </cell>
          <cell r="E10199" t="str">
            <v>PRODUCTOS MISCELANEOS</v>
          </cell>
        </row>
        <row r="10200">
          <cell r="A10200" t="str">
            <v>TP-0065</v>
          </cell>
          <cell r="E10200" t="str">
            <v>PRODUCTOS MISCELANEOS</v>
          </cell>
        </row>
        <row r="10201">
          <cell r="A10201" t="str">
            <v>TP-0066</v>
          </cell>
          <cell r="E10201" t="str">
            <v>PRODUCTOS MISCELANEOS</v>
          </cell>
        </row>
        <row r="10202">
          <cell r="A10202" t="str">
            <v>TP-0067</v>
          </cell>
          <cell r="E10202" t="str">
            <v>PRODUCTOS MISCELANEOS</v>
          </cell>
        </row>
        <row r="10203">
          <cell r="A10203" t="str">
            <v>TP-0068</v>
          </cell>
          <cell r="E10203" t="str">
            <v>PRODUCTOS MISCELANEOS</v>
          </cell>
        </row>
        <row r="10204">
          <cell r="A10204" t="str">
            <v>TP-0069</v>
          </cell>
          <cell r="E10204" t="str">
            <v>PRODUCTOS MISCELANEOS</v>
          </cell>
        </row>
        <row r="10205">
          <cell r="A10205" t="str">
            <v>TP-0070</v>
          </cell>
          <cell r="E10205" t="str">
            <v>PRODUCTOS MISCELANEOS</v>
          </cell>
        </row>
        <row r="10206">
          <cell r="A10206" t="str">
            <v>TP-0071</v>
          </cell>
          <cell r="E10206" t="str">
            <v>PRODUCTOS MISCELANEOS</v>
          </cell>
        </row>
        <row r="10207">
          <cell r="A10207" t="str">
            <v>TP-0072</v>
          </cell>
          <cell r="E10207" t="str">
            <v>PRODUCTOS MISCELANEOS</v>
          </cell>
        </row>
        <row r="10208">
          <cell r="A10208" t="str">
            <v>TP-0073</v>
          </cell>
          <cell r="E10208" t="str">
            <v>PRODUCTOS MISCELANEOS</v>
          </cell>
        </row>
        <row r="10209">
          <cell r="A10209" t="str">
            <v>TP-0074</v>
          </cell>
          <cell r="E10209" t="str">
            <v>PRODUCTOS MISCELANEOS</v>
          </cell>
        </row>
        <row r="10210">
          <cell r="A10210" t="str">
            <v>TP-0075</v>
          </cell>
          <cell r="E10210" t="str">
            <v>PRODUCTOS MISCELANEOS</v>
          </cell>
        </row>
        <row r="10211">
          <cell r="A10211" t="str">
            <v>TP-0076</v>
          </cell>
          <cell r="E10211" t="str">
            <v>PRODUCTOS MISCELANEOS</v>
          </cell>
        </row>
        <row r="10212">
          <cell r="A10212" t="str">
            <v>TP-0088</v>
          </cell>
          <cell r="E10212" t="str">
            <v>PRODUCTOS MISCELANEOS</v>
          </cell>
        </row>
        <row r="10213">
          <cell r="A10213" t="str">
            <v>TP-0089</v>
          </cell>
          <cell r="E10213" t="str">
            <v>PRODUCTOS MISCELANEOS</v>
          </cell>
        </row>
        <row r="10214">
          <cell r="A10214" t="str">
            <v>TP-0090</v>
          </cell>
          <cell r="E10214" t="str">
            <v>PRODUCTOS MISCELANEOS</v>
          </cell>
        </row>
        <row r="10215">
          <cell r="A10215" t="str">
            <v>TP-0092</v>
          </cell>
          <cell r="E10215" t="str">
            <v>PRODUCTOS MISCELANEOS</v>
          </cell>
        </row>
        <row r="10216">
          <cell r="A10216" t="str">
            <v>TP-0093</v>
          </cell>
          <cell r="E10216" t="str">
            <v>PRODUCTOS MISCELANEOS</v>
          </cell>
        </row>
        <row r="10217">
          <cell r="A10217" t="str">
            <v>TP-0094</v>
          </cell>
          <cell r="E10217" t="str">
            <v>PRODUCTOS MISCELANEOS</v>
          </cell>
        </row>
        <row r="10218">
          <cell r="A10218" t="str">
            <v>TP-0095</v>
          </cell>
          <cell r="E10218" t="str">
            <v>PRODUCTOS MISCELANEOS</v>
          </cell>
        </row>
        <row r="10219">
          <cell r="A10219" t="str">
            <v>TP-0101</v>
          </cell>
          <cell r="E10219" t="str">
            <v>PRODUCTOS MISCELANEOS</v>
          </cell>
        </row>
        <row r="10220">
          <cell r="A10220" t="str">
            <v>TP-0102</v>
          </cell>
          <cell r="E10220" t="str">
            <v>PRODUCTOS MISCELANEOS</v>
          </cell>
        </row>
        <row r="10221">
          <cell r="A10221" t="str">
            <v>TP-0103</v>
          </cell>
          <cell r="E10221" t="str">
            <v>PRODUCTOS MISCELANEOS</v>
          </cell>
        </row>
        <row r="10222">
          <cell r="A10222" t="str">
            <v>TP-0104</v>
          </cell>
          <cell r="E10222" t="str">
            <v>PRODUCTOS MISCELANEOS</v>
          </cell>
        </row>
        <row r="10223">
          <cell r="A10223" t="str">
            <v>TP-0105</v>
          </cell>
          <cell r="E10223" t="str">
            <v>PRODUCTOS MISCELANEOS</v>
          </cell>
        </row>
        <row r="10224">
          <cell r="A10224" t="str">
            <v>TP-0106</v>
          </cell>
          <cell r="E10224" t="str">
            <v>PRODUCTOS MISCELANEOS</v>
          </cell>
        </row>
        <row r="10225">
          <cell r="A10225" t="str">
            <v>TP-0107</v>
          </cell>
          <cell r="E10225" t="str">
            <v>PRODUCTOS MISCELANEOS</v>
          </cell>
        </row>
        <row r="10226">
          <cell r="A10226" t="str">
            <v>TP-0108</v>
          </cell>
          <cell r="E10226" t="str">
            <v>PRODUCTOS MISCELANEOS</v>
          </cell>
        </row>
        <row r="10227">
          <cell r="A10227" t="str">
            <v>TP-0109</v>
          </cell>
          <cell r="E10227" t="str">
            <v>PRODUCTOS MISCELANEOS</v>
          </cell>
        </row>
        <row r="10228">
          <cell r="A10228" t="str">
            <v>TP-0110</v>
          </cell>
          <cell r="E10228" t="str">
            <v>PRODUCTOS MISCELANEOS</v>
          </cell>
        </row>
        <row r="10229">
          <cell r="A10229" t="str">
            <v>TP-0119</v>
          </cell>
          <cell r="E10229" t="str">
            <v>PRODUCTOS MISCELANEOS</v>
          </cell>
        </row>
        <row r="10230">
          <cell r="A10230" t="str">
            <v>TP-0121</v>
          </cell>
          <cell r="E10230" t="str">
            <v>PRODUCTOS MISCELANEOS</v>
          </cell>
        </row>
        <row r="10231">
          <cell r="A10231" t="str">
            <v>TP-0122</v>
          </cell>
          <cell r="E10231" t="str">
            <v>PRODUCTOS MISCELANEOS</v>
          </cell>
        </row>
        <row r="10232">
          <cell r="A10232" t="str">
            <v>TP-0123</v>
          </cell>
          <cell r="E10232" t="str">
            <v>PRODUCTOS MISCELANEOS</v>
          </cell>
        </row>
        <row r="10233">
          <cell r="A10233" t="str">
            <v>TP-0124</v>
          </cell>
          <cell r="E10233" t="str">
            <v>PRODUCTOS MISCELANEOS</v>
          </cell>
        </row>
        <row r="10234">
          <cell r="A10234" t="str">
            <v>TP-0125</v>
          </cell>
          <cell r="E10234" t="str">
            <v>PRODUCTOS MISCELANEOS</v>
          </cell>
        </row>
        <row r="10235">
          <cell r="A10235" t="str">
            <v>TP-0126</v>
          </cell>
          <cell r="E10235" t="str">
            <v>PRODUCTOS MISCELANEOS</v>
          </cell>
        </row>
        <row r="10236">
          <cell r="A10236" t="str">
            <v>TP-0127</v>
          </cell>
          <cell r="E10236" t="str">
            <v>PRODUCTOS MISCELANEOS</v>
          </cell>
        </row>
        <row r="10237">
          <cell r="A10237" t="str">
            <v>TP-0128</v>
          </cell>
          <cell r="E10237" t="str">
            <v>PRODUCTOS MISCELANEOS</v>
          </cell>
        </row>
        <row r="10238">
          <cell r="A10238" t="str">
            <v>TP-0129</v>
          </cell>
          <cell r="E10238" t="str">
            <v>PRODUCTOS MISCELANEOS</v>
          </cell>
        </row>
        <row r="10239">
          <cell r="A10239" t="str">
            <v>TP-0130</v>
          </cell>
          <cell r="E10239" t="str">
            <v>PRODUCTOS MISCELANEOS</v>
          </cell>
        </row>
        <row r="10240">
          <cell r="A10240" t="str">
            <v>TP-0131</v>
          </cell>
          <cell r="E10240" t="str">
            <v>PRODUCTOS MISCELANEOS</v>
          </cell>
        </row>
        <row r="10241">
          <cell r="A10241" t="str">
            <v>TP-0135</v>
          </cell>
          <cell r="E10241" t="str">
            <v>PRODUCTOS MISCELANEOS</v>
          </cell>
        </row>
        <row r="10242">
          <cell r="A10242" t="str">
            <v>TP-0137</v>
          </cell>
          <cell r="E10242" t="str">
            <v>PRODUCTOS MISCELANEOS</v>
          </cell>
        </row>
        <row r="10243">
          <cell r="A10243" t="str">
            <v>TP-0141</v>
          </cell>
          <cell r="E10243" t="str">
            <v>PRODUCTOS MISCELANEOS</v>
          </cell>
        </row>
        <row r="10244">
          <cell r="A10244" t="str">
            <v>TP-0142</v>
          </cell>
          <cell r="E10244" t="str">
            <v>PRODUCTOS MISCELANEOS</v>
          </cell>
        </row>
        <row r="10245">
          <cell r="A10245" t="str">
            <v>TP-0143</v>
          </cell>
          <cell r="E10245" t="str">
            <v>PRODUCTOS MISCELANEOS</v>
          </cell>
        </row>
        <row r="10246">
          <cell r="A10246" t="str">
            <v>TP-0144</v>
          </cell>
          <cell r="E10246" t="str">
            <v>PRODUCTOS MISCELANEOS</v>
          </cell>
        </row>
        <row r="10247">
          <cell r="A10247" t="str">
            <v>TP-0145</v>
          </cell>
          <cell r="E10247" t="str">
            <v>PRODUCTOS MISCELANEOS</v>
          </cell>
        </row>
        <row r="10248">
          <cell r="A10248" t="str">
            <v>TP-0146</v>
          </cell>
          <cell r="E10248" t="str">
            <v>PRODUCTOS MISCELANEOS</v>
          </cell>
        </row>
        <row r="10249">
          <cell r="A10249" t="str">
            <v>TP-0147</v>
          </cell>
          <cell r="E10249" t="str">
            <v>PRODUCTOS MISCELANEOS</v>
          </cell>
        </row>
        <row r="10250">
          <cell r="A10250" t="str">
            <v>TP-0148</v>
          </cell>
          <cell r="E10250" t="str">
            <v>PRODUCTOS MISCELANEOS</v>
          </cell>
        </row>
        <row r="10251">
          <cell r="A10251" t="str">
            <v>TP-0149</v>
          </cell>
          <cell r="E10251" t="str">
            <v>PRODUCTOS MISCELANEOS</v>
          </cell>
        </row>
        <row r="10252">
          <cell r="A10252" t="str">
            <v>TP-0150</v>
          </cell>
          <cell r="E10252" t="str">
            <v>PRODUCTOS MISCELANEOS</v>
          </cell>
        </row>
        <row r="10253">
          <cell r="A10253" t="str">
            <v>TP-0151</v>
          </cell>
          <cell r="E10253" t="str">
            <v>PRODUCTOS MISCELANEOS</v>
          </cell>
        </row>
        <row r="10254">
          <cell r="A10254" t="str">
            <v>TP-0153</v>
          </cell>
          <cell r="E10254" t="str">
            <v>PRODUCTOS MISCELANEOS</v>
          </cell>
        </row>
        <row r="10255">
          <cell r="A10255" t="str">
            <v>TP-0154</v>
          </cell>
          <cell r="E10255" t="str">
            <v>PRODUCTOS MISCELANEOS</v>
          </cell>
        </row>
        <row r="10256">
          <cell r="A10256" t="str">
            <v>TP-0155</v>
          </cell>
          <cell r="E10256" t="str">
            <v>PRODUCTOS MISCELANEOS</v>
          </cell>
        </row>
        <row r="10257">
          <cell r="A10257" t="str">
            <v>TP-0156</v>
          </cell>
          <cell r="E10257" t="str">
            <v>PRODUCTOS MISCELANEOS</v>
          </cell>
        </row>
        <row r="10258">
          <cell r="A10258" t="str">
            <v>TP-0157</v>
          </cell>
          <cell r="E10258" t="str">
            <v>PRODUCTOS MISCELANEOS</v>
          </cell>
        </row>
        <row r="10259">
          <cell r="A10259" t="str">
            <v>TP-0158</v>
          </cell>
          <cell r="E10259" t="str">
            <v>PRODUCTOS MISCELANEOS</v>
          </cell>
        </row>
        <row r="10260">
          <cell r="A10260" t="str">
            <v>TP-0159</v>
          </cell>
          <cell r="E10260" t="str">
            <v>PRODUCTOS MISCELANEOS</v>
          </cell>
        </row>
        <row r="10261">
          <cell r="A10261" t="str">
            <v>TP-0160</v>
          </cell>
          <cell r="E10261" t="str">
            <v>PRODUCTOS MISCELANEOS</v>
          </cell>
        </row>
        <row r="10262">
          <cell r="A10262" t="str">
            <v>TP-0161</v>
          </cell>
          <cell r="E10262" t="str">
            <v>PRODUCTOS MISCELANEOS</v>
          </cell>
        </row>
        <row r="10263">
          <cell r="A10263" t="str">
            <v>TP-0162</v>
          </cell>
          <cell r="E10263" t="str">
            <v>PRODUCTOS MISCELANEOS</v>
          </cell>
        </row>
        <row r="10264">
          <cell r="A10264" t="str">
            <v>TP-0163</v>
          </cell>
          <cell r="E10264" t="str">
            <v>PRODUCTOS MISCELANEOS</v>
          </cell>
        </row>
        <row r="10265">
          <cell r="A10265" t="str">
            <v>TP-0171</v>
          </cell>
          <cell r="E10265" t="str">
            <v>PRODUCTOS MISCELANEOS</v>
          </cell>
        </row>
        <row r="10266">
          <cell r="A10266" t="str">
            <v>TP-0172</v>
          </cell>
          <cell r="E10266" t="str">
            <v>PRODUCTOS MISCELANEOS</v>
          </cell>
        </row>
        <row r="10267">
          <cell r="A10267" t="str">
            <v>TP-0173</v>
          </cell>
          <cell r="E10267" t="str">
            <v>PRODUCTOS MISCELANEOS</v>
          </cell>
        </row>
        <row r="10268">
          <cell r="A10268" t="str">
            <v>TP-0177</v>
          </cell>
          <cell r="E10268" t="str">
            <v>PRODUCTOS MISCELANEOS</v>
          </cell>
        </row>
        <row r="10269">
          <cell r="A10269" t="str">
            <v>TP-0178</v>
          </cell>
          <cell r="E10269" t="str">
            <v>PRODUCTOS MISCELANEOS</v>
          </cell>
        </row>
        <row r="10270">
          <cell r="A10270" t="str">
            <v>TP-0180</v>
          </cell>
          <cell r="E10270" t="str">
            <v>PRODUCTOS MISCELANEOS</v>
          </cell>
        </row>
        <row r="10271">
          <cell r="A10271" t="str">
            <v>TP-0183</v>
          </cell>
          <cell r="E10271" t="str">
            <v>PRODUCTOS MISCELANEOS</v>
          </cell>
        </row>
        <row r="10272">
          <cell r="A10272" t="str">
            <v>TP-0186</v>
          </cell>
          <cell r="E10272" t="str">
            <v>PRODUCTOS MISCELANEOS</v>
          </cell>
        </row>
        <row r="10273">
          <cell r="A10273" t="str">
            <v>TP-0187</v>
          </cell>
          <cell r="E10273" t="str">
            <v>PRODUCTOS MISCELANEOS</v>
          </cell>
        </row>
        <row r="10274">
          <cell r="A10274" t="str">
            <v>TP-0189</v>
          </cell>
          <cell r="E10274" t="str">
            <v>PRODUCTOS MISCELANEOS</v>
          </cell>
        </row>
        <row r="10275">
          <cell r="A10275" t="str">
            <v>TP-0193</v>
          </cell>
          <cell r="E10275" t="str">
            <v>PRODUCTOS MISCELANEOS</v>
          </cell>
        </row>
        <row r="10276">
          <cell r="A10276" t="str">
            <v>TP-0194</v>
          </cell>
          <cell r="E10276" t="str">
            <v>PRODUCTOS MISCELANEOS</v>
          </cell>
        </row>
        <row r="10277">
          <cell r="A10277" t="str">
            <v>TP-0198</v>
          </cell>
          <cell r="E10277" t="str">
            <v>PRODUCTOS MISCELANEOS</v>
          </cell>
        </row>
        <row r="10278">
          <cell r="A10278" t="str">
            <v>TP-0199</v>
          </cell>
          <cell r="E10278" t="str">
            <v>PRODUCTOS MISCELANEOS</v>
          </cell>
        </row>
        <row r="10279">
          <cell r="A10279" t="str">
            <v>TP-0201</v>
          </cell>
          <cell r="E10279" t="str">
            <v>PRODUCTOS MISCELANEOS</v>
          </cell>
        </row>
        <row r="10280">
          <cell r="A10280" t="str">
            <v>TP-0206</v>
          </cell>
          <cell r="E10280" t="str">
            <v>PRODUCTOS MISCELANEOS</v>
          </cell>
        </row>
        <row r="10281">
          <cell r="A10281" t="str">
            <v>TP-0207</v>
          </cell>
          <cell r="E10281" t="str">
            <v>PRODUCTOS MISCELANEOS</v>
          </cell>
        </row>
        <row r="10282">
          <cell r="A10282" t="str">
            <v>TP-0208</v>
          </cell>
          <cell r="E10282" t="str">
            <v>PRODUCTOS MISCELANEOS</v>
          </cell>
        </row>
        <row r="10283">
          <cell r="A10283" t="str">
            <v>TP-0209</v>
          </cell>
          <cell r="E10283" t="str">
            <v>PRODUCTOS MISCELANEOS</v>
          </cell>
        </row>
        <row r="10284">
          <cell r="A10284" t="str">
            <v>TP-0210</v>
          </cell>
          <cell r="E10284" t="str">
            <v>PRODUCTOS MISCELANEOS</v>
          </cell>
        </row>
        <row r="10285">
          <cell r="A10285" t="str">
            <v>TP-0211</v>
          </cell>
          <cell r="E10285" t="str">
            <v>PRODUCTOS MISCELANEOS</v>
          </cell>
        </row>
        <row r="10286">
          <cell r="A10286" t="str">
            <v>TP-0212</v>
          </cell>
          <cell r="E10286" t="str">
            <v>PRODUCTOS MISCELANEOS</v>
          </cell>
        </row>
        <row r="10287">
          <cell r="A10287" t="str">
            <v>TP-0213</v>
          </cell>
          <cell r="E10287" t="str">
            <v>PRODUCTOS MISCELANEOS</v>
          </cell>
        </row>
        <row r="10288">
          <cell r="A10288" t="str">
            <v>TP-0214</v>
          </cell>
          <cell r="E10288" t="str">
            <v>PRODUCTOS MISCELANEOS</v>
          </cell>
        </row>
        <row r="10289">
          <cell r="A10289" t="str">
            <v>TP-0215</v>
          </cell>
          <cell r="E10289" t="str">
            <v>PRODUCTOS MISCELANEOS</v>
          </cell>
        </row>
        <row r="10290">
          <cell r="A10290" t="str">
            <v>TP-0217</v>
          </cell>
          <cell r="E10290" t="str">
            <v>PRODUCTOS MISCELANEOS</v>
          </cell>
        </row>
        <row r="10291">
          <cell r="A10291" t="str">
            <v>TP-0219</v>
          </cell>
          <cell r="E10291" t="str">
            <v>PRODUCTOS MISCELANEOS</v>
          </cell>
        </row>
        <row r="10292">
          <cell r="A10292" t="str">
            <v>TP-0253</v>
          </cell>
          <cell r="E10292" t="str">
            <v>PRODUCTOS MISCELANEOS</v>
          </cell>
        </row>
        <row r="10293">
          <cell r="A10293" t="str">
            <v>TP-0254</v>
          </cell>
          <cell r="E10293" t="str">
            <v>PRODUCTOS MISCELANEOS</v>
          </cell>
        </row>
        <row r="10294">
          <cell r="A10294" t="str">
            <v>TP-0255</v>
          </cell>
          <cell r="E10294" t="str">
            <v>PRODUCTOS MISCELANEOS</v>
          </cell>
        </row>
        <row r="10295">
          <cell r="A10295" t="str">
            <v>TP-0256</v>
          </cell>
          <cell r="E10295" t="str">
            <v>PRODUCTOS MISCELANEOS</v>
          </cell>
        </row>
        <row r="10296">
          <cell r="A10296" t="str">
            <v>TP-0257</v>
          </cell>
          <cell r="E10296" t="str">
            <v>PRODUCTOS MISCELANEOS</v>
          </cell>
        </row>
        <row r="10297">
          <cell r="A10297" t="str">
            <v>TR-60194</v>
          </cell>
          <cell r="E10297" t="str">
            <v>SOLVENTES INDUSTRIALES</v>
          </cell>
        </row>
        <row r="10298">
          <cell r="A10298" t="str">
            <v>TR-60204</v>
          </cell>
          <cell r="E10298" t="str">
            <v>SOLVENTES INDUSTRIALES</v>
          </cell>
        </row>
        <row r="10299">
          <cell r="A10299" t="str">
            <v>TR-60604</v>
          </cell>
          <cell r="E10299" t="str">
            <v>SOLVENTES INDUSTRIALES</v>
          </cell>
        </row>
        <row r="10300">
          <cell r="A10300" t="str">
            <v>TR-9124-24-1</v>
          </cell>
          <cell r="E10300" t="str">
            <v>ACCESORIOS PARA LA APLICACION</v>
          </cell>
        </row>
        <row r="10301">
          <cell r="A10301" t="str">
            <v>TR-9124-26-1</v>
          </cell>
          <cell r="E10301" t="str">
            <v>ACCESORIOS PARA LA APLICACION</v>
          </cell>
        </row>
        <row r="10302">
          <cell r="A10302" t="str">
            <v>VG-30001</v>
          </cell>
          <cell r="E10302" t="str">
            <v>VINILICA - GLOSI 3 AÑOS</v>
          </cell>
        </row>
        <row r="10303">
          <cell r="A10303" t="str">
            <v>VG-30003</v>
          </cell>
          <cell r="E10303" t="str">
            <v>VINILICA - GLOSI 3 AÑOS</v>
          </cell>
        </row>
        <row r="10304">
          <cell r="A10304" t="str">
            <v>VG-30004</v>
          </cell>
          <cell r="E10304" t="str">
            <v>VINILICA - GLOSI 3 AÑOS</v>
          </cell>
        </row>
        <row r="10305">
          <cell r="A10305" t="str">
            <v>VG-30121</v>
          </cell>
          <cell r="E10305" t="str">
            <v>VINILICA - GLOSI 3 AÑOS</v>
          </cell>
        </row>
        <row r="10306">
          <cell r="A10306" t="str">
            <v>VG-30123</v>
          </cell>
          <cell r="E10306" t="str">
            <v>VINILICA - GLOSI 3 AÑOS</v>
          </cell>
        </row>
        <row r="10307">
          <cell r="A10307" t="str">
            <v>VG-30124</v>
          </cell>
          <cell r="E10307" t="str">
            <v>VINILICA - GLOSI 3 AÑOS</v>
          </cell>
        </row>
        <row r="10308">
          <cell r="A10308" t="str">
            <v>VG-30211</v>
          </cell>
          <cell r="E10308" t="str">
            <v>VINILICA - GLOSI 3 AÑOS</v>
          </cell>
        </row>
        <row r="10309">
          <cell r="A10309" t="str">
            <v>VG-30213</v>
          </cell>
          <cell r="E10309" t="str">
            <v>VINILICA - GLOSI 3 AÑOS</v>
          </cell>
        </row>
        <row r="10310">
          <cell r="A10310" t="str">
            <v>VG-30214</v>
          </cell>
          <cell r="E10310" t="str">
            <v>VINILICA - GLOSI 3 AÑOS</v>
          </cell>
        </row>
        <row r="10311">
          <cell r="A10311" t="str">
            <v>VG-30221</v>
          </cell>
          <cell r="E10311" t="str">
            <v>VINILICA - GLOSI 3 AÑOS</v>
          </cell>
        </row>
        <row r="10312">
          <cell r="A10312" t="str">
            <v>VG-30223</v>
          </cell>
          <cell r="E10312" t="str">
            <v>VINILICA - GLOSI 3 AÑOS</v>
          </cell>
        </row>
        <row r="10313">
          <cell r="A10313" t="str">
            <v>VG-30224</v>
          </cell>
          <cell r="E10313" t="str">
            <v>VINILICA - GLOSI 3 AÑOS</v>
          </cell>
        </row>
        <row r="10314">
          <cell r="A10314" t="str">
            <v>VG-30261</v>
          </cell>
          <cell r="E10314" t="str">
            <v>VINILICA - GLOSI 3 AÑOS</v>
          </cell>
        </row>
        <row r="10315">
          <cell r="A10315" t="str">
            <v>VG-30263</v>
          </cell>
          <cell r="E10315" t="str">
            <v>VINILICA - GLOSI 3 AÑOS</v>
          </cell>
        </row>
        <row r="10316">
          <cell r="A10316" t="str">
            <v>VG-30264</v>
          </cell>
          <cell r="E10316" t="str">
            <v>VINILICA - GLOSI 3 AÑOS</v>
          </cell>
        </row>
        <row r="10317">
          <cell r="A10317" t="str">
            <v>VG-30321</v>
          </cell>
          <cell r="E10317" t="str">
            <v>VINILICA - GLOSI 3 AÑOS</v>
          </cell>
        </row>
        <row r="10318">
          <cell r="A10318" t="str">
            <v>VG-30323</v>
          </cell>
          <cell r="E10318" t="str">
            <v>VINILICA - GLOSI 3 AÑOS</v>
          </cell>
        </row>
        <row r="10319">
          <cell r="A10319" t="str">
            <v>VG-30324</v>
          </cell>
          <cell r="E10319" t="str">
            <v>VINILICA - GLOSI 3 AÑOS</v>
          </cell>
        </row>
        <row r="10320">
          <cell r="A10320" t="str">
            <v>VG-30421</v>
          </cell>
          <cell r="E10320" t="str">
            <v>VINILICA - GLOSI 3 AÑOS</v>
          </cell>
        </row>
        <row r="10321">
          <cell r="A10321" t="str">
            <v>VG-30423</v>
          </cell>
          <cell r="E10321" t="str">
            <v>VINILICA - GLOSI 3 AÑOS</v>
          </cell>
        </row>
        <row r="10322">
          <cell r="A10322" t="str">
            <v>VG-30424</v>
          </cell>
          <cell r="E10322" t="str">
            <v>VINILICA - GLOSI 3 AÑOS</v>
          </cell>
        </row>
        <row r="10323">
          <cell r="A10323" t="str">
            <v>VG-30441</v>
          </cell>
          <cell r="E10323" t="str">
            <v>VINILICA - GLOSI 3 AÑOS</v>
          </cell>
        </row>
        <row r="10324">
          <cell r="A10324" t="str">
            <v>VG-30443</v>
          </cell>
          <cell r="E10324" t="str">
            <v>VINILICA - GLOSI 3 AÑOS</v>
          </cell>
        </row>
        <row r="10325">
          <cell r="A10325" t="str">
            <v>VG-30444</v>
          </cell>
          <cell r="E10325" t="str">
            <v>VINILICA - GLOSI 3 AÑOS</v>
          </cell>
        </row>
        <row r="10326">
          <cell r="A10326" t="str">
            <v>VG-30561</v>
          </cell>
          <cell r="E10326" t="str">
            <v>VINILICA - GLOSI 3 AÑOS</v>
          </cell>
        </row>
        <row r="10327">
          <cell r="A10327" t="str">
            <v>VG-30563</v>
          </cell>
          <cell r="E10327" t="str">
            <v>VINILICA - GLOSI 3 AÑOS</v>
          </cell>
        </row>
        <row r="10328">
          <cell r="A10328" t="str">
            <v>VG-30564</v>
          </cell>
          <cell r="E10328" t="str">
            <v>VINILICA - GLOSI 3 AÑOS</v>
          </cell>
        </row>
        <row r="10329">
          <cell r="A10329" t="str">
            <v>VG-30611</v>
          </cell>
          <cell r="E10329" t="str">
            <v>VINILICA - GLOSI 3 AÑOS</v>
          </cell>
        </row>
        <row r="10330">
          <cell r="A10330" t="str">
            <v>VG-30613</v>
          </cell>
          <cell r="E10330" t="str">
            <v>VINILICA - GLOSI 3 AÑOS</v>
          </cell>
        </row>
        <row r="10331">
          <cell r="A10331" t="str">
            <v>VG-30614</v>
          </cell>
          <cell r="E10331" t="str">
            <v>VINILICA - GLOSI 3 AÑOS</v>
          </cell>
        </row>
        <row r="10332">
          <cell r="A10332" t="str">
            <v>VG-30651</v>
          </cell>
          <cell r="E10332" t="str">
            <v>VINILICA - GLOSI 3 AÑOS</v>
          </cell>
        </row>
        <row r="10333">
          <cell r="A10333" t="str">
            <v>VG-30653</v>
          </cell>
          <cell r="E10333" t="str">
            <v>VINILICA - GLOSI 3 AÑOS</v>
          </cell>
        </row>
        <row r="10334">
          <cell r="A10334" t="str">
            <v>VG-30654</v>
          </cell>
          <cell r="E10334" t="str">
            <v>VINILICA - GLOSI 3 AÑOS</v>
          </cell>
        </row>
        <row r="10335">
          <cell r="A10335" t="str">
            <v>VG-30751</v>
          </cell>
          <cell r="E10335" t="str">
            <v>VINILICA - GLOSI 3 AÑOS</v>
          </cell>
        </row>
        <row r="10336">
          <cell r="A10336" t="str">
            <v>VG-30753</v>
          </cell>
          <cell r="E10336" t="str">
            <v>VINILICA - GLOSI 3 AÑOS</v>
          </cell>
        </row>
        <row r="10337">
          <cell r="A10337" t="str">
            <v>VG-30754</v>
          </cell>
          <cell r="E10337" t="str">
            <v>VINILICA - GLOSI 3 AÑOS</v>
          </cell>
        </row>
        <row r="10338">
          <cell r="A10338" t="str">
            <v>VG-30771</v>
          </cell>
          <cell r="E10338" t="str">
            <v>VINILICA - GLOSI 3 AÑOS</v>
          </cell>
        </row>
        <row r="10339">
          <cell r="A10339" t="str">
            <v>VG-30773</v>
          </cell>
          <cell r="E10339" t="str">
            <v>VINILICA - GLOSI 3 AÑOS</v>
          </cell>
        </row>
        <row r="10340">
          <cell r="A10340" t="str">
            <v>VG-30774</v>
          </cell>
          <cell r="E10340" t="str">
            <v>VINILICA - GLOSI 3 AÑOS</v>
          </cell>
        </row>
        <row r="10341">
          <cell r="A10341" t="str">
            <v>VG-50001</v>
          </cell>
          <cell r="E10341" t="str">
            <v>VINILICA - GLOSI 5 AÑOS</v>
          </cell>
        </row>
        <row r="10342">
          <cell r="A10342" t="str">
            <v>VG-50003</v>
          </cell>
          <cell r="E10342" t="str">
            <v>VINILICA - GLOSI 5 AÑOS</v>
          </cell>
        </row>
        <row r="10343">
          <cell r="A10343" t="str">
            <v>VG-50004</v>
          </cell>
          <cell r="E10343" t="str">
            <v>VINILICA - GLOSI 5 AÑOS</v>
          </cell>
        </row>
        <row r="10344">
          <cell r="A10344" t="str">
            <v>VG-50131</v>
          </cell>
          <cell r="E10344" t="str">
            <v>VINILICA - GLOSI 5 AÑOS</v>
          </cell>
        </row>
        <row r="10345">
          <cell r="A10345" t="str">
            <v>VG-50133</v>
          </cell>
          <cell r="E10345" t="str">
            <v>VINILICA - GLOSI 5 AÑOS</v>
          </cell>
        </row>
        <row r="10346">
          <cell r="A10346" t="str">
            <v>VG-50134</v>
          </cell>
          <cell r="E10346" t="str">
            <v>VINILICA - GLOSI 5 AÑOS</v>
          </cell>
        </row>
        <row r="10347">
          <cell r="A10347" t="str">
            <v>VG-50211</v>
          </cell>
          <cell r="E10347" t="str">
            <v>VINILICA - GLOSI 5 AÑOS</v>
          </cell>
        </row>
        <row r="10348">
          <cell r="A10348" t="str">
            <v>VG-50213</v>
          </cell>
          <cell r="E10348" t="str">
            <v>VINILICA - GLOSI 5 AÑOS</v>
          </cell>
        </row>
        <row r="10349">
          <cell r="A10349" t="str">
            <v>VG-50214</v>
          </cell>
          <cell r="E10349" t="str">
            <v>VINILICA - GLOSI 5 AÑOS</v>
          </cell>
        </row>
        <row r="10350">
          <cell r="A10350" t="str">
            <v>VG-50261</v>
          </cell>
          <cell r="E10350" t="str">
            <v>VINILICA - GLOSI 5 AÑOS</v>
          </cell>
        </row>
        <row r="10351">
          <cell r="A10351" t="str">
            <v>VG-50263</v>
          </cell>
          <cell r="E10351" t="str">
            <v>VINILICA - GLOSI 5 AÑOS</v>
          </cell>
        </row>
        <row r="10352">
          <cell r="A10352" t="str">
            <v>VG-50264</v>
          </cell>
          <cell r="E10352" t="str">
            <v>VINILICA - GLOSI 5 AÑOS</v>
          </cell>
        </row>
        <row r="10353">
          <cell r="A10353" t="str">
            <v>VG-50351</v>
          </cell>
          <cell r="E10353" t="str">
            <v>VINILICA - GLOSI 5 AÑOS</v>
          </cell>
        </row>
        <row r="10354">
          <cell r="A10354" t="str">
            <v>VG-50353</v>
          </cell>
          <cell r="E10354" t="str">
            <v>VINILICA - GLOSI 5 AÑOS</v>
          </cell>
        </row>
        <row r="10355">
          <cell r="A10355" t="str">
            <v>VG-50354</v>
          </cell>
          <cell r="E10355" t="str">
            <v>VINILICA - GLOSI 5 AÑOS</v>
          </cell>
        </row>
        <row r="10356">
          <cell r="A10356" t="str">
            <v>VG-50371</v>
          </cell>
          <cell r="E10356" t="str">
            <v>VINILICA - GLOSI 5 AÑOS</v>
          </cell>
        </row>
        <row r="10357">
          <cell r="A10357" t="str">
            <v>VG-50373</v>
          </cell>
          <cell r="E10357" t="str">
            <v>VINILICA - GLOSI 5 AÑOS</v>
          </cell>
        </row>
        <row r="10358">
          <cell r="A10358" t="str">
            <v>VG-50374</v>
          </cell>
          <cell r="E10358" t="str">
            <v>VINILICA - GLOSI 5 AÑOS</v>
          </cell>
        </row>
        <row r="10359">
          <cell r="A10359" t="str">
            <v>VG-50451</v>
          </cell>
          <cell r="E10359" t="str">
            <v>VINILICA - GLOSI 5 AÑOS</v>
          </cell>
        </row>
        <row r="10360">
          <cell r="A10360" t="str">
            <v>VG-50453</v>
          </cell>
          <cell r="E10360" t="str">
            <v>VINILICA - GLOSI 5 AÑOS</v>
          </cell>
        </row>
        <row r="10361">
          <cell r="A10361" t="str">
            <v>VG-50454</v>
          </cell>
          <cell r="E10361" t="str">
            <v>VINILICA - GLOSI 5 AÑOS</v>
          </cell>
        </row>
        <row r="10362">
          <cell r="A10362" t="str">
            <v>VG-50531</v>
          </cell>
          <cell r="E10362" t="str">
            <v>VINILICA - GLOSI 5 AÑOS</v>
          </cell>
        </row>
        <row r="10363">
          <cell r="A10363" t="str">
            <v>VG-50533</v>
          </cell>
          <cell r="E10363" t="str">
            <v>VINILICA - GLOSI 5 AÑOS</v>
          </cell>
        </row>
        <row r="10364">
          <cell r="A10364" t="str">
            <v>VG-50534</v>
          </cell>
          <cell r="E10364" t="str">
            <v>VINILICA - GLOSI 5 AÑOS</v>
          </cell>
        </row>
        <row r="10365">
          <cell r="A10365" t="str">
            <v>VG-50561</v>
          </cell>
          <cell r="E10365" t="str">
            <v>VINILICA - GLOSI 5 AÑOS</v>
          </cell>
        </row>
        <row r="10366">
          <cell r="A10366" t="str">
            <v>VG-50563</v>
          </cell>
          <cell r="E10366" t="str">
            <v>VINILICA - GLOSI 5 AÑOS</v>
          </cell>
        </row>
        <row r="10367">
          <cell r="A10367" t="str">
            <v>VG-50564</v>
          </cell>
          <cell r="E10367" t="str">
            <v>VINILICA - GLOSI 5 AÑOS</v>
          </cell>
        </row>
        <row r="10368">
          <cell r="A10368" t="str">
            <v>VG-50611</v>
          </cell>
          <cell r="E10368" t="str">
            <v>VINILICA - GLOSI 5 AÑOS</v>
          </cell>
        </row>
        <row r="10369">
          <cell r="A10369" t="str">
            <v>VG-50613</v>
          </cell>
          <cell r="E10369" t="str">
            <v>VINILICA - GLOSI 5 AÑOS</v>
          </cell>
        </row>
        <row r="10370">
          <cell r="A10370" t="str">
            <v>VG-50614</v>
          </cell>
          <cell r="E10370" t="str">
            <v>VINILICA - GLOSI 5 AÑOS</v>
          </cell>
        </row>
        <row r="10371">
          <cell r="A10371" t="str">
            <v>VG-50651</v>
          </cell>
          <cell r="E10371" t="str">
            <v>VINILICA - GLOSI 5 AÑOS</v>
          </cell>
        </row>
        <row r="10372">
          <cell r="A10372" t="str">
            <v>VG-50653</v>
          </cell>
          <cell r="E10372" t="str">
            <v>VINILICA - GLOSI 5 AÑOS</v>
          </cell>
        </row>
        <row r="10373">
          <cell r="A10373" t="str">
            <v>VG-50654</v>
          </cell>
          <cell r="E10373" t="str">
            <v>VINILICA - GLOSI 5 AÑOS</v>
          </cell>
        </row>
        <row r="10374">
          <cell r="A10374" t="str">
            <v>VG-50681</v>
          </cell>
          <cell r="E10374" t="str">
            <v>VINILICA - GLOSI 5 AÑOS</v>
          </cell>
        </row>
        <row r="10375">
          <cell r="A10375" t="str">
            <v>VG-50683</v>
          </cell>
          <cell r="E10375" t="str">
            <v>VINILICA - GLOSI 5 AÑOS</v>
          </cell>
        </row>
        <row r="10376">
          <cell r="A10376" t="str">
            <v>VG-50684</v>
          </cell>
          <cell r="E10376" t="str">
            <v>VINILICA - GLOSI 5 AÑOS</v>
          </cell>
        </row>
        <row r="10377">
          <cell r="A10377" t="str">
            <v>VG-50731</v>
          </cell>
          <cell r="E10377" t="str">
            <v>VINILICA - GLOSI 5 AÑOS</v>
          </cell>
        </row>
        <row r="10378">
          <cell r="A10378" t="str">
            <v>VG-50733</v>
          </cell>
          <cell r="E10378" t="str">
            <v>VINILICA - GLOSI 5 AÑOS</v>
          </cell>
        </row>
        <row r="10379">
          <cell r="A10379" t="str">
            <v>VG-50734</v>
          </cell>
          <cell r="E10379" t="str">
            <v>VINILICA - GLOSI 5 AÑOS</v>
          </cell>
        </row>
        <row r="10380">
          <cell r="A10380" t="str">
            <v>VG-50751</v>
          </cell>
          <cell r="E10380" t="str">
            <v>VINILICA - GLOSI 5 AÑOS</v>
          </cell>
        </row>
        <row r="10381">
          <cell r="A10381" t="str">
            <v>VG-50753</v>
          </cell>
          <cell r="E10381" t="str">
            <v>VINILICA - GLOSI 5 AÑOS</v>
          </cell>
        </row>
        <row r="10382">
          <cell r="A10382" t="str">
            <v>VG-50754</v>
          </cell>
          <cell r="E10382" t="str">
            <v>VINILICA - GLOSI 5 AÑOS</v>
          </cell>
        </row>
        <row r="10383">
          <cell r="A10383" t="str">
            <v>VG-50991</v>
          </cell>
          <cell r="E10383" t="str">
            <v>VINILICA - GLOSI 5 AÑOS</v>
          </cell>
        </row>
        <row r="10384">
          <cell r="A10384" t="str">
            <v>VG-50993</v>
          </cell>
          <cell r="E10384" t="str">
            <v>VINILICA - GLOSI 5 AÑOS</v>
          </cell>
        </row>
        <row r="10385">
          <cell r="A10385" t="str">
            <v>VG-50994</v>
          </cell>
          <cell r="E10385" t="str">
            <v>VINILICA - GLOSI 5 AÑOS</v>
          </cell>
        </row>
        <row r="10386">
          <cell r="A10386" t="str">
            <v>VTAACT2</v>
          </cell>
          <cell r="E10386" t="str">
            <v>ACTIVOS FIJOS</v>
          </cell>
        </row>
        <row r="10387">
          <cell r="A10387" t="str">
            <v>VTAACT3</v>
          </cell>
          <cell r="E10387" t="str">
            <v>ACTIVOS FIJOS</v>
          </cell>
        </row>
        <row r="10388">
          <cell r="A10388" t="str">
            <v>VTAACT4</v>
          </cell>
          <cell r="E10388" t="str">
            <v>ACTIVOS FIJOS</v>
          </cell>
        </row>
        <row r="10389">
          <cell r="A10389" t="str">
            <v>VTAACT5</v>
          </cell>
          <cell r="E10389" t="str">
            <v>ACTIVOS FIJOS</v>
          </cell>
        </row>
        <row r="10390">
          <cell r="A10390">
            <v>379</v>
          </cell>
          <cell r="E10390" t="str">
            <v>MERCADOTECNIA</v>
          </cell>
        </row>
        <row r="10391">
          <cell r="A10391">
            <v>396</v>
          </cell>
          <cell r="E10391" t="str">
            <v>MERCADOTECNIA</v>
          </cell>
        </row>
        <row r="10392">
          <cell r="A10392">
            <v>494</v>
          </cell>
          <cell r="E10392" t="str">
            <v>MERCADOTECNIA</v>
          </cell>
        </row>
        <row r="10393">
          <cell r="A10393" t="str">
            <v>0324-2</v>
          </cell>
          <cell r="E10393" t="str">
            <v>MERCADOTECNIA</v>
          </cell>
        </row>
        <row r="10394">
          <cell r="A10394">
            <v>28845</v>
          </cell>
          <cell r="E10394" t="str">
            <v>BARNIZ ALQUIDALICO SIGLO</v>
          </cell>
        </row>
        <row r="10395">
          <cell r="A10395">
            <v>28855</v>
          </cell>
          <cell r="E10395" t="str">
            <v>BARNIZ ALQUIDALICO SIGLO</v>
          </cell>
        </row>
        <row r="10396">
          <cell r="A10396">
            <v>71041</v>
          </cell>
          <cell r="E10396" t="str">
            <v>TINTAS MEGACOLOR</v>
          </cell>
        </row>
        <row r="10397">
          <cell r="A10397">
            <v>28885</v>
          </cell>
          <cell r="E10397" t="str">
            <v>BARNIZ ALQUIDALICO SIGLO</v>
          </cell>
        </row>
        <row r="10398">
          <cell r="A10398">
            <v>28895</v>
          </cell>
          <cell r="E10398" t="str">
            <v>BARNIZ ALQUIDALICO SIGLO</v>
          </cell>
        </row>
        <row r="10399">
          <cell r="A10399" t="str">
            <v>387-N</v>
          </cell>
          <cell r="E10399" t="str">
            <v>MERCADOTECNIA</v>
          </cell>
        </row>
        <row r="10400">
          <cell r="A10400" t="str">
            <v>490-N</v>
          </cell>
          <cell r="E10400" t="str">
            <v>MERCADOTECNIA</v>
          </cell>
        </row>
        <row r="10401">
          <cell r="A10401" t="str">
            <v>493-N</v>
          </cell>
          <cell r="E10401" t="str">
            <v>MERCADOTECNIA</v>
          </cell>
        </row>
        <row r="10402">
          <cell r="A10402" t="str">
            <v>505-N</v>
          </cell>
          <cell r="E10402" t="str">
            <v>MERCADOTECNIA</v>
          </cell>
        </row>
        <row r="10403">
          <cell r="A10403" t="str">
            <v>506-N</v>
          </cell>
          <cell r="E10403" t="str">
            <v>MERCADOTECNIA</v>
          </cell>
        </row>
        <row r="10404">
          <cell r="A10404" t="str">
            <v>508-N</v>
          </cell>
          <cell r="E10404" t="str">
            <v>MERCADOTECNIA</v>
          </cell>
        </row>
        <row r="10405">
          <cell r="A10405" t="str">
            <v>MPC-17003</v>
          </cell>
          <cell r="E10405" t="str">
            <v>ESM SECADO RAPIDO BASE SOLVENT</v>
          </cell>
        </row>
        <row r="10406">
          <cell r="A10406" t="str">
            <v>9920-100</v>
          </cell>
          <cell r="E10406" t="str">
            <v>ACCESORIOS PARA PREPARACION DE</v>
          </cell>
        </row>
        <row r="10407">
          <cell r="A10407" t="str">
            <v>ES-09721</v>
          </cell>
          <cell r="E10407" t="str">
            <v>PRIMARIO - ULTRA RAPID</v>
          </cell>
        </row>
        <row r="10408">
          <cell r="A10408" t="str">
            <v>MPC-860573</v>
          </cell>
          <cell r="E10408" t="str">
            <v>TINTAS MEGACOLOR</v>
          </cell>
        </row>
        <row r="10409">
          <cell r="A10409" t="str">
            <v>SRG-10076</v>
          </cell>
          <cell r="E10409" t="str">
            <v>ESMALTE - GLOSI SECADO RAPIDO</v>
          </cell>
        </row>
        <row r="10410">
          <cell r="A10410" t="str">
            <v>VTA_VEHICULOS</v>
          </cell>
          <cell r="E10410" t="str">
            <v>ACTIVOS FIJOS</v>
          </cell>
        </row>
        <row r="10411">
          <cell r="A10411">
            <v>347</v>
          </cell>
          <cell r="E10411" t="str">
            <v>ESTETICA AUTOMOTRIZ</v>
          </cell>
        </row>
        <row r="10412">
          <cell r="A10412">
            <v>71034</v>
          </cell>
          <cell r="E10412" t="str">
            <v>TINTAS MEGACOLOR</v>
          </cell>
        </row>
        <row r="10413">
          <cell r="A10413" t="str">
            <v>G-31111</v>
          </cell>
          <cell r="E10413" t="str">
            <v>VINILICA - GLOSI PROFESIONAL</v>
          </cell>
        </row>
        <row r="10414">
          <cell r="A10414" t="str">
            <v>ES-78461</v>
          </cell>
          <cell r="E10414" t="str">
            <v>ESMALTE - COLOREX BASE AGUA</v>
          </cell>
        </row>
        <row r="10415">
          <cell r="A10415">
            <v>10294</v>
          </cell>
          <cell r="E10415" t="str">
            <v>FONDO DE NITROCELULOSA</v>
          </cell>
        </row>
        <row r="10416">
          <cell r="A10416" t="str">
            <v>ES-09850</v>
          </cell>
          <cell r="E10416" t="str">
            <v>ACABADO MARTILLADO  SR</v>
          </cell>
        </row>
        <row r="10417">
          <cell r="A10417" t="str">
            <v>ES-65643</v>
          </cell>
          <cell r="E10417" t="str">
            <v>ACABADOS DE PU</v>
          </cell>
        </row>
        <row r="10418">
          <cell r="A10418" t="str">
            <v>MPC-59001</v>
          </cell>
          <cell r="E10418" t="str">
            <v>ACABADOS EPOXICOS</v>
          </cell>
        </row>
        <row r="10419">
          <cell r="A10419" t="str">
            <v>MPC-59803</v>
          </cell>
          <cell r="E10419" t="str">
            <v>ACABADOS EPOXICOS</v>
          </cell>
        </row>
        <row r="10420">
          <cell r="A10420">
            <v>36044</v>
          </cell>
          <cell r="E10420" t="str">
            <v>SELLADOR - VINILICO (RIVI)</v>
          </cell>
        </row>
        <row r="10421">
          <cell r="A10421" t="str">
            <v>VG-50013</v>
          </cell>
          <cell r="E10421" t="str">
            <v>VINILICA - GLOSI 3 AÑOS</v>
          </cell>
        </row>
        <row r="10422">
          <cell r="A10422" t="str">
            <v>VG-50011</v>
          </cell>
          <cell r="E10422" t="str">
            <v>VINILICA - GLOSI 3 AÑOS</v>
          </cell>
        </row>
        <row r="10423">
          <cell r="A10423" t="str">
            <v>VG-50014</v>
          </cell>
          <cell r="E10423" t="str">
            <v>VINILICA - GLOSI 3 AÑOS</v>
          </cell>
        </row>
        <row r="10424">
          <cell r="A10424" t="str">
            <v>ES-09873</v>
          </cell>
          <cell r="E10424" t="str">
            <v>OTROS ACABADOS INDUSTRIALES</v>
          </cell>
        </row>
        <row r="10425">
          <cell r="A10425" t="str">
            <v>VG-30013</v>
          </cell>
          <cell r="E10425" t="str">
            <v>VINILICA - GLOSI BASIC</v>
          </cell>
        </row>
        <row r="10426">
          <cell r="A10426" t="str">
            <v>VG-30014</v>
          </cell>
          <cell r="E10426" t="str">
            <v>VINILICA - GLOSI BASIC</v>
          </cell>
        </row>
        <row r="10427">
          <cell r="A10427">
            <v>479</v>
          </cell>
          <cell r="E10427" t="str">
            <v>MERCADOTECNIA</v>
          </cell>
        </row>
        <row r="10428">
          <cell r="A10428" t="str">
            <v>0282-25</v>
          </cell>
          <cell r="E10428" t="str">
            <v>MERCADOTECNIA</v>
          </cell>
        </row>
        <row r="10429">
          <cell r="A10429" t="str">
            <v>0416-25</v>
          </cell>
          <cell r="E10429" t="str">
            <v>MERCADOTECNIA</v>
          </cell>
        </row>
        <row r="10430">
          <cell r="A10430" t="str">
            <v>KW2700</v>
          </cell>
          <cell r="E10430" t="str">
            <v>SIGLO AUTOMOTIVO</v>
          </cell>
        </row>
        <row r="10431">
          <cell r="A10431" t="str">
            <v>VG-30011</v>
          </cell>
          <cell r="E10431" t="str">
            <v>VINILICA - GLOSI 3 AÑOS</v>
          </cell>
        </row>
        <row r="10432">
          <cell r="A10432" t="str">
            <v>0305-10</v>
          </cell>
          <cell r="E10432" t="str">
            <v>MERCADOTECNIA</v>
          </cell>
        </row>
        <row r="10433">
          <cell r="A10433">
            <v>71032</v>
          </cell>
          <cell r="E10433" t="str">
            <v>TINTAS MEGACOLOR</v>
          </cell>
        </row>
        <row r="10434">
          <cell r="A10434" t="str">
            <v>ES-46140</v>
          </cell>
          <cell r="E10434" t="str">
            <v>FONDO POLIACRILICO Y POLIESTER</v>
          </cell>
        </row>
        <row r="10435">
          <cell r="A10435" t="str">
            <v>ES-65013</v>
          </cell>
          <cell r="E10435" t="str">
            <v>ACABADOS EPOXICOS</v>
          </cell>
        </row>
        <row r="10436">
          <cell r="A10436" t="str">
            <v>ES-65024</v>
          </cell>
          <cell r="E10436" t="str">
            <v>ACABADOS EPOXICOS</v>
          </cell>
        </row>
        <row r="10437">
          <cell r="A10437" t="str">
            <v>G-31114</v>
          </cell>
          <cell r="E10437" t="str">
            <v>VINILICA - GLOSI PROFESIONAL</v>
          </cell>
        </row>
        <row r="10438">
          <cell r="A10438">
            <v>391</v>
          </cell>
          <cell r="E10438" t="str">
            <v>MERCADOTECNIA</v>
          </cell>
        </row>
        <row r="10439">
          <cell r="A10439" t="str">
            <v>343-N</v>
          </cell>
          <cell r="E10439" t="str">
            <v>MERCADOTECNIA</v>
          </cell>
        </row>
        <row r="10440">
          <cell r="A10440">
            <v>485</v>
          </cell>
          <cell r="E10440" t="str">
            <v>MERCADOTECNIA</v>
          </cell>
        </row>
        <row r="10441">
          <cell r="A10441" t="str">
            <v>11007A</v>
          </cell>
          <cell r="E10441" t="str">
            <v>MAQUILA TIJUANA</v>
          </cell>
        </row>
        <row r="10442">
          <cell r="A10442" t="str">
            <v>11031B</v>
          </cell>
          <cell r="E10442" t="str">
            <v>MAQUILA TIJUANA</v>
          </cell>
        </row>
        <row r="10443">
          <cell r="A10443" t="str">
            <v>ES-92291</v>
          </cell>
          <cell r="E10443" t="str">
            <v>OTROS ACABADOS INDUSTRIALES</v>
          </cell>
        </row>
        <row r="10444">
          <cell r="A10444" t="str">
            <v>ES-10030</v>
          </cell>
          <cell r="E10444" t="str">
            <v>PRIMARIOS ESTRUCTURALES ALQUID</v>
          </cell>
        </row>
        <row r="10445">
          <cell r="A10445" t="str">
            <v>N29506</v>
          </cell>
          <cell r="E10445" t="str">
            <v>PULIMENTO</v>
          </cell>
        </row>
        <row r="10446">
          <cell r="A10446">
            <v>36043</v>
          </cell>
          <cell r="E10446" t="str">
            <v>SELLADOR - VINILICO (RIVI)</v>
          </cell>
        </row>
        <row r="10447">
          <cell r="A10447" t="str">
            <v>ES-64953</v>
          </cell>
          <cell r="E10447" t="str">
            <v>ACABADOS EPOXICOS</v>
          </cell>
        </row>
        <row r="10448">
          <cell r="A10448">
            <v>36041</v>
          </cell>
          <cell r="E10448" t="str">
            <v>SELLADOR - VINILICO (RIVI)</v>
          </cell>
        </row>
        <row r="10449">
          <cell r="A10449">
            <v>71037</v>
          </cell>
          <cell r="E10449" t="str">
            <v>TINTAS MEGACOLOR</v>
          </cell>
        </row>
        <row r="10450">
          <cell r="A10450" t="str">
            <v>ES-47124</v>
          </cell>
          <cell r="E10450" t="str">
            <v>LACA NITRO INDUSTRIAL</v>
          </cell>
        </row>
        <row r="10451">
          <cell r="A10451">
            <v>60423</v>
          </cell>
          <cell r="E10451" t="str">
            <v>SOLVENTES INDUSTRIALES</v>
          </cell>
        </row>
        <row r="10452">
          <cell r="A10452" t="str">
            <v>ES-46613</v>
          </cell>
          <cell r="E10452" t="str">
            <v>OTROS ACABADOS PARA MADERA SIG</v>
          </cell>
        </row>
        <row r="10453">
          <cell r="A10453" t="str">
            <v>ES-45870</v>
          </cell>
          <cell r="E10453" t="str">
            <v>SOLVENTES INDUSTRIALES</v>
          </cell>
        </row>
        <row r="10454">
          <cell r="A10454" t="str">
            <v>N29596</v>
          </cell>
          <cell r="E10454" t="str">
            <v>SIGLO AUTOMOTIVO</v>
          </cell>
        </row>
        <row r="10455">
          <cell r="A10455" t="str">
            <v>ES-46931</v>
          </cell>
          <cell r="E10455" t="str">
            <v>BARNIZ POLIURETANO SIGLO</v>
          </cell>
        </row>
        <row r="10456">
          <cell r="A10456" t="str">
            <v>ES-47113</v>
          </cell>
          <cell r="E10456" t="str">
            <v>SIGLO MADERAS</v>
          </cell>
        </row>
        <row r="10457">
          <cell r="A10457" t="str">
            <v>N29504</v>
          </cell>
          <cell r="E10457" t="str">
            <v>SIGLO AUTOMOTIVO</v>
          </cell>
        </row>
        <row r="10458">
          <cell r="A10458">
            <v>498</v>
          </cell>
          <cell r="E10458" t="str">
            <v>MERCADOTECNIA</v>
          </cell>
        </row>
        <row r="10459">
          <cell r="A10459" t="str">
            <v>G-31113</v>
          </cell>
          <cell r="E10459" t="str">
            <v>VINILICA - GLOSI PROFESIONAL</v>
          </cell>
        </row>
        <row r="10460">
          <cell r="A10460" t="str">
            <v>N29505</v>
          </cell>
          <cell r="E10460" t="str">
            <v>SIGLO AUTOMOTIVO</v>
          </cell>
        </row>
        <row r="10461">
          <cell r="A10461" t="str">
            <v>ES-65463</v>
          </cell>
          <cell r="E10461" t="str">
            <v>PRIMARIOS EPOXICOS</v>
          </cell>
        </row>
        <row r="10462">
          <cell r="A10462" t="str">
            <v>ES-47131</v>
          </cell>
          <cell r="E10462" t="str">
            <v>LACA NITRO INDUSTRIAL</v>
          </cell>
        </row>
        <row r="10463">
          <cell r="A10463" t="str">
            <v>ES-46933</v>
          </cell>
          <cell r="E10463" t="str">
            <v>BARNIZ POLIURETANO SIGLO</v>
          </cell>
        </row>
        <row r="10464">
          <cell r="A10464" t="str">
            <v>N29594</v>
          </cell>
          <cell r="E10464" t="str">
            <v>SIGLO AUTOMOTIVO</v>
          </cell>
        </row>
        <row r="10465">
          <cell r="A10465" t="str">
            <v>N29595</v>
          </cell>
          <cell r="E10465" t="str">
            <v>SIGLO AUTOMOTIVO</v>
          </cell>
        </row>
        <row r="10466">
          <cell r="A10466">
            <v>527</v>
          </cell>
          <cell r="E10466" t="str">
            <v>MERCADOTECNIA</v>
          </cell>
        </row>
        <row r="10467">
          <cell r="A10467" t="str">
            <v>ES-09950</v>
          </cell>
          <cell r="E10467" t="str">
            <v>ACABADO MARTILLADO  SR</v>
          </cell>
        </row>
        <row r="10468">
          <cell r="A10468" t="str">
            <v>ES-47114</v>
          </cell>
          <cell r="E10468" t="str">
            <v>SIGLO MADERAS</v>
          </cell>
        </row>
        <row r="10469">
          <cell r="A10469">
            <v>30306770</v>
          </cell>
          <cell r="E10469" t="str">
            <v>MADER</v>
          </cell>
        </row>
        <row r="10470">
          <cell r="A10470" t="str">
            <v>ES-08493</v>
          </cell>
          <cell r="E10470" t="str">
            <v>ESMALTE - ULTRA RAPID</v>
          </cell>
        </row>
        <row r="10471">
          <cell r="A10471" t="str">
            <v>9037-02</v>
          </cell>
          <cell r="E10471" t="str">
            <v>EQUIPOS MEGACOLOR</v>
          </cell>
        </row>
        <row r="10472">
          <cell r="A10472">
            <v>36094</v>
          </cell>
          <cell r="E10472" t="str">
            <v>SELLADOR - VINILICO GLOSI</v>
          </cell>
        </row>
        <row r="10473">
          <cell r="A10473" t="str">
            <v>ES-64983</v>
          </cell>
          <cell r="E10473" t="str">
            <v>ACABADOS EPOXICOS</v>
          </cell>
        </row>
        <row r="10474">
          <cell r="A10474" t="str">
            <v>ES-64994</v>
          </cell>
          <cell r="E10474" t="str">
            <v>ACABADOS EPOXICOS</v>
          </cell>
        </row>
        <row r="10475">
          <cell r="A10475" t="str">
            <v>MPC-55003</v>
          </cell>
          <cell r="E10475" t="str">
            <v>ACABADOS DE PU</v>
          </cell>
        </row>
        <row r="10476">
          <cell r="A10476" t="str">
            <v>ES-65543</v>
          </cell>
          <cell r="E10476" t="str">
            <v>LINEA PARA PISOS</v>
          </cell>
        </row>
        <row r="10477">
          <cell r="A10477">
            <v>89044</v>
          </cell>
          <cell r="E10477" t="str">
            <v>MERCADOTECNIA</v>
          </cell>
        </row>
        <row r="10478">
          <cell r="A10478">
            <v>488</v>
          </cell>
          <cell r="E10478" t="str">
            <v>MERCADOTECNIA</v>
          </cell>
        </row>
        <row r="10479">
          <cell r="A10479">
            <v>516</v>
          </cell>
          <cell r="E10479" t="str">
            <v>MERCADOTECNIA</v>
          </cell>
        </row>
        <row r="10480">
          <cell r="A10480">
            <v>517</v>
          </cell>
          <cell r="E10480" t="str">
            <v>MERCADOTECNIA</v>
          </cell>
        </row>
        <row r="10481">
          <cell r="A10481" t="str">
            <v>ES-47133</v>
          </cell>
          <cell r="E10481" t="str">
            <v>LACA NITRO INDUSTRIAL</v>
          </cell>
        </row>
        <row r="10482">
          <cell r="A10482" t="str">
            <v>0415-25</v>
          </cell>
          <cell r="E10482" t="str">
            <v>MERCADOTECNIA</v>
          </cell>
        </row>
        <row r="10483">
          <cell r="A10483" t="str">
            <v>ES-08403</v>
          </cell>
          <cell r="E10483" t="str">
            <v>ESMALTE - ULTRA RAPID</v>
          </cell>
        </row>
        <row r="10484">
          <cell r="A10484">
            <v>311</v>
          </cell>
          <cell r="E10484" t="str">
            <v>MERCADOTECNIA</v>
          </cell>
        </row>
        <row r="10485">
          <cell r="A10485">
            <v>340</v>
          </cell>
          <cell r="E10485" t="str">
            <v>MERCADOTECNIA</v>
          </cell>
        </row>
        <row r="10486">
          <cell r="A10486" t="str">
            <v>MPC-55803</v>
          </cell>
          <cell r="E10486" t="str">
            <v>ACABADOS DE PU</v>
          </cell>
        </row>
        <row r="10487">
          <cell r="A10487" t="str">
            <v>ES-47161</v>
          </cell>
          <cell r="E10487" t="str">
            <v>OTROS ACABADOS PARA MADERA SIG</v>
          </cell>
        </row>
        <row r="10488">
          <cell r="A10488">
            <v>89025</v>
          </cell>
          <cell r="E10488" t="str">
            <v>ENVASES</v>
          </cell>
        </row>
        <row r="10489">
          <cell r="A10489">
            <v>35573</v>
          </cell>
          <cell r="E10489" t="str">
            <v>VINILICA - PRISASPORT</v>
          </cell>
        </row>
        <row r="10490">
          <cell r="A10490">
            <v>33010</v>
          </cell>
          <cell r="E10490" t="str">
            <v>VINILICA - PINTAVIN</v>
          </cell>
        </row>
        <row r="10491">
          <cell r="A10491">
            <v>60383</v>
          </cell>
          <cell r="E10491" t="str">
            <v>SOLVENTES INDUSTRIALES</v>
          </cell>
        </row>
        <row r="10492">
          <cell r="A10492">
            <v>89912</v>
          </cell>
          <cell r="E10492" t="str">
            <v>ENVASES</v>
          </cell>
        </row>
        <row r="10493">
          <cell r="A10493" t="str">
            <v>ES-47181</v>
          </cell>
          <cell r="E10493" t="str">
            <v>OTROS ACABADOS INDUSTRIALES</v>
          </cell>
        </row>
        <row r="10494">
          <cell r="A10494" t="str">
            <v>ES-08343</v>
          </cell>
          <cell r="E10494" t="str">
            <v>PRIMARIO - ULTRA RAPID</v>
          </cell>
        </row>
        <row r="10495">
          <cell r="A10495">
            <v>486</v>
          </cell>
          <cell r="E10495" t="str">
            <v>MERCADOTECNIA</v>
          </cell>
        </row>
        <row r="10496">
          <cell r="A10496">
            <v>56843</v>
          </cell>
          <cell r="E10496" t="str">
            <v>LINEA PARA PISOS</v>
          </cell>
        </row>
        <row r="10497">
          <cell r="A10497" t="str">
            <v>ES-09580</v>
          </cell>
          <cell r="E10497" t="str">
            <v>PRIMARIOS BASE AGUA</v>
          </cell>
        </row>
        <row r="10498">
          <cell r="A10498">
            <v>35803</v>
          </cell>
          <cell r="E10498" t="str">
            <v>VINILICA - PRISASPORT</v>
          </cell>
        </row>
        <row r="10499">
          <cell r="A10499">
            <v>71032</v>
          </cell>
          <cell r="E10499" t="str">
            <v>TINTAS MEGACOLOR</v>
          </cell>
        </row>
        <row r="10500">
          <cell r="A10500" t="str">
            <v>MPC-55003</v>
          </cell>
          <cell r="E10500" t="str">
            <v>ACABADOS DE PU</v>
          </cell>
        </row>
        <row r="10501">
          <cell r="A10501">
            <v>89111</v>
          </cell>
          <cell r="E10501" t="str">
            <v>ENVASES VACIOS</v>
          </cell>
        </row>
        <row r="10502">
          <cell r="A10502">
            <v>60450</v>
          </cell>
          <cell r="E10502" t="str">
            <v>SOLVENTES INDUSTRIALES</v>
          </cell>
        </row>
        <row r="10503">
          <cell r="A10503" t="str">
            <v>ES-47134</v>
          </cell>
          <cell r="E10503" t="str">
            <v>LACA NITRO INDUSTRIAL</v>
          </cell>
        </row>
        <row r="10504">
          <cell r="A10504" t="str">
            <v>ES-47144</v>
          </cell>
          <cell r="E10504" t="str">
            <v>LACA NITRO INDUSTRIAL</v>
          </cell>
        </row>
        <row r="10505">
          <cell r="A10505" t="str">
            <v>ES-47154</v>
          </cell>
          <cell r="E10505" t="str">
            <v>LACA NITRO INDUSTRIAL</v>
          </cell>
        </row>
        <row r="10506">
          <cell r="A10506">
            <v>89516</v>
          </cell>
          <cell r="E10506" t="str">
            <v>ENVASES VACIOS</v>
          </cell>
        </row>
        <row r="10507">
          <cell r="A10507">
            <v>89896</v>
          </cell>
          <cell r="E10507" t="str">
            <v>ETIQUETAS</v>
          </cell>
        </row>
        <row r="10508">
          <cell r="A10508">
            <v>89948</v>
          </cell>
          <cell r="E10508" t="str">
            <v>ENVASES</v>
          </cell>
        </row>
        <row r="10509">
          <cell r="A10509" t="str">
            <v>89951-R</v>
          </cell>
          <cell r="E10509" t="str">
            <v>ENVASES</v>
          </cell>
        </row>
        <row r="10510">
          <cell r="A10510" t="str">
            <v>89958-R</v>
          </cell>
          <cell r="E10510" t="str">
            <v>ENVASES</v>
          </cell>
        </row>
        <row r="10511">
          <cell r="A10511" t="str">
            <v>ES-65033</v>
          </cell>
          <cell r="E10511" t="str">
            <v>PRIMARIOS BASE AGUA</v>
          </cell>
        </row>
        <row r="10512">
          <cell r="A10512" t="str">
            <v>ES-08313</v>
          </cell>
          <cell r="E10512" t="str">
            <v>PRIMARIO - ULTRA RAPID</v>
          </cell>
        </row>
        <row r="10513">
          <cell r="A10513" t="str">
            <v>ES-65613</v>
          </cell>
          <cell r="E10513" t="str">
            <v>LINEA PARA PISOS</v>
          </cell>
        </row>
        <row r="10514">
          <cell r="A10514" t="str">
            <v>ES-47123</v>
          </cell>
          <cell r="E10514" t="str">
            <v>LACA NITRO INDUSTRIAL</v>
          </cell>
        </row>
        <row r="10515">
          <cell r="A10515" t="str">
            <v>KA2800</v>
          </cell>
          <cell r="E10515" t="str">
            <v>SIGLO AUTOMOTIVO</v>
          </cell>
        </row>
        <row r="10516">
          <cell r="A10516" t="str">
            <v>SRG-10074</v>
          </cell>
          <cell r="E10516" t="str">
            <v>ESMALTE - GLOSI SECADO RAPIDO</v>
          </cell>
        </row>
        <row r="10517">
          <cell r="A10517" t="str">
            <v>6763-10B</v>
          </cell>
          <cell r="E10517" t="str">
            <v>ACCESORIOS PARA LA APLICACION</v>
          </cell>
        </row>
        <row r="10518">
          <cell r="A10518" t="str">
            <v>6763-15B</v>
          </cell>
          <cell r="E10518" t="str">
            <v>ACCESORIOS PARA LA APLICACION</v>
          </cell>
        </row>
        <row r="10519">
          <cell r="A10519" t="str">
            <v>6763-20B</v>
          </cell>
          <cell r="E10519" t="str">
            <v>ACCESORIOS PARA LA APLICACION</v>
          </cell>
        </row>
        <row r="10520">
          <cell r="A10520" t="str">
            <v>6763-25B</v>
          </cell>
          <cell r="E10520" t="str">
            <v>ACCESORIOS PARA LA APLICACION</v>
          </cell>
        </row>
        <row r="10521">
          <cell r="A10521" t="str">
            <v>6763-30B</v>
          </cell>
          <cell r="E10521" t="str">
            <v>ACCESORIOS PARA LA APLICACION</v>
          </cell>
        </row>
        <row r="10522">
          <cell r="A10522" t="str">
            <v>6763-40B</v>
          </cell>
          <cell r="E10522" t="str">
            <v>ACCESORIOS PARA LA APLICACION</v>
          </cell>
        </row>
        <row r="10523">
          <cell r="A10523" t="str">
            <v>6764-02B</v>
          </cell>
          <cell r="E10523" t="str">
            <v>ACCESORIOS PARA LA APLICACION</v>
          </cell>
        </row>
        <row r="10524">
          <cell r="A10524" t="str">
            <v>6764-03B</v>
          </cell>
          <cell r="E10524" t="str">
            <v>ACCESORIOS PARA LA APLICACION</v>
          </cell>
        </row>
        <row r="10525">
          <cell r="A10525" t="str">
            <v>9124-04B</v>
          </cell>
          <cell r="E10525" t="str">
            <v>ACCESORIOS PARA LA APLICACION</v>
          </cell>
        </row>
        <row r="10526">
          <cell r="A10526" t="str">
            <v>9124-05B</v>
          </cell>
          <cell r="E10526" t="str">
            <v>ACCESORIOS PARA LA APLICACION</v>
          </cell>
        </row>
        <row r="10527">
          <cell r="A10527" t="str">
            <v>9124-06B</v>
          </cell>
          <cell r="E10527" t="str">
            <v>ACCESORIOS PARA LA APLICACION</v>
          </cell>
        </row>
        <row r="10528">
          <cell r="A10528" t="str">
            <v>9124-08B</v>
          </cell>
          <cell r="E10528" t="str">
            <v>ACCESORIOS PARA LA APLICACION</v>
          </cell>
        </row>
        <row r="10529">
          <cell r="A10529" t="str">
            <v>9124-21B</v>
          </cell>
          <cell r="E10529" t="str">
            <v>ACCESORIOS PARA LA APLICACION</v>
          </cell>
        </row>
        <row r="10530">
          <cell r="A10530" t="str">
            <v>9124-22B</v>
          </cell>
          <cell r="E10530" t="str">
            <v>ACCESORIOS PARA LA APLICACION</v>
          </cell>
        </row>
        <row r="10531">
          <cell r="A10531" t="str">
            <v>9124-32B</v>
          </cell>
          <cell r="E10531" t="str">
            <v>ACCESORIOS PARA LA APLICACION</v>
          </cell>
        </row>
        <row r="10532">
          <cell r="A10532" t="str">
            <v>9124-33B</v>
          </cell>
          <cell r="E10532" t="str">
            <v>ACCESORIOS PARA LA APLICACION</v>
          </cell>
        </row>
        <row r="10533">
          <cell r="A10533" t="str">
            <v>9124-34B</v>
          </cell>
          <cell r="E10533" t="str">
            <v>ACCESORIOS PARA LA APLICACION</v>
          </cell>
        </row>
        <row r="10534">
          <cell r="A10534" t="str">
            <v>9124-44B</v>
          </cell>
          <cell r="E10534" t="str">
            <v>ACCESORIOS PARA LA APLICACION</v>
          </cell>
        </row>
        <row r="10535">
          <cell r="A10535" t="str">
            <v>9131B</v>
          </cell>
          <cell r="E10535" t="str">
            <v>ACCESORIOS PARA LA APLICACION</v>
          </cell>
        </row>
        <row r="10536">
          <cell r="A10536" t="str">
            <v>9249B</v>
          </cell>
          <cell r="E10536" t="str">
            <v>ACCESORIOS PARA LA APLICACION</v>
          </cell>
        </row>
        <row r="10537">
          <cell r="A10537" t="str">
            <v>ES-47023</v>
          </cell>
          <cell r="E10537" t="str">
            <v>TAPAPOROS Y RESANES PARA MADER</v>
          </cell>
        </row>
        <row r="10538">
          <cell r="A10538" t="str">
            <v>ES-08373</v>
          </cell>
          <cell r="E10538" t="str">
            <v>PRIMARIO - ULTRA RAPID</v>
          </cell>
        </row>
        <row r="10539">
          <cell r="A10539">
            <v>85118</v>
          </cell>
          <cell r="E10539" t="str">
            <v>ACEITES</v>
          </cell>
        </row>
        <row r="10540">
          <cell r="A10540">
            <v>89024</v>
          </cell>
          <cell r="E10540" t="str">
            <v>ENVASES</v>
          </cell>
        </row>
        <row r="10541">
          <cell r="A10541" t="str">
            <v>ES-47121</v>
          </cell>
          <cell r="E10541" t="str">
            <v>LACA NITRO INDUSTRIAL</v>
          </cell>
        </row>
        <row r="10542">
          <cell r="A10542" t="str">
            <v>ES-47141</v>
          </cell>
          <cell r="E10542" t="str">
            <v>LACA NITRO INDUSTRIAL</v>
          </cell>
        </row>
        <row r="10543">
          <cell r="A10543" t="str">
            <v>6763-50B</v>
          </cell>
          <cell r="E10543" t="str">
            <v>ACCESORIOS PARA LA APLICACION</v>
          </cell>
        </row>
        <row r="10544">
          <cell r="A10544" t="str">
            <v>6763-60B</v>
          </cell>
          <cell r="E10544" t="str">
            <v>ACCESORIOS PARA LA APLICACION</v>
          </cell>
        </row>
        <row r="10545">
          <cell r="A10545" t="str">
            <v>ES-47200</v>
          </cell>
          <cell r="E10545" t="str">
            <v>LACA NITRO TRANSPARENTE SIGLO</v>
          </cell>
        </row>
        <row r="10546">
          <cell r="A10546" t="str">
            <v>6766-10B</v>
          </cell>
          <cell r="E10546" t="str">
            <v>ACCESORIOS PARA LA APLICACION</v>
          </cell>
        </row>
        <row r="10547">
          <cell r="A10547" t="str">
            <v>6766-15B</v>
          </cell>
          <cell r="E10547" t="str">
            <v>ACCESORIOS PARA LA APLICACION</v>
          </cell>
        </row>
        <row r="10548">
          <cell r="A10548" t="str">
            <v>6766-20B</v>
          </cell>
          <cell r="E10548" t="str">
            <v>ACCESORIOS PARA LA APLICACION</v>
          </cell>
        </row>
        <row r="10549">
          <cell r="A10549" t="str">
            <v>6766-25B</v>
          </cell>
          <cell r="E10549" t="str">
            <v>ACCESORIOS PARA LA APLICACION</v>
          </cell>
        </row>
        <row r="10550">
          <cell r="A10550" t="str">
            <v>6766-30B</v>
          </cell>
          <cell r="E10550" t="str">
            <v>ACCESORIOS PARA LA APLICACION</v>
          </cell>
        </row>
        <row r="10551">
          <cell r="A10551" t="str">
            <v>6766-40B</v>
          </cell>
          <cell r="E10551" t="str">
            <v>ACCESORIOS PARA LA APLICACION</v>
          </cell>
        </row>
        <row r="10552">
          <cell r="A10552" t="str">
            <v>6766-50B</v>
          </cell>
          <cell r="E10552" t="str">
            <v>ACCESORIOS PARA LA APLICACION</v>
          </cell>
        </row>
        <row r="10553">
          <cell r="A10553" t="str">
            <v>6766-60B</v>
          </cell>
          <cell r="E10553" t="str">
            <v>ACCESORIOS PARA LA APLICACION</v>
          </cell>
        </row>
        <row r="10554">
          <cell r="A10554" t="str">
            <v>9124-01B</v>
          </cell>
          <cell r="E10554" t="str">
            <v>ACCESORIOS PARA LA APLICACION</v>
          </cell>
        </row>
        <row r="10555">
          <cell r="A10555" t="str">
            <v>9124-02B</v>
          </cell>
          <cell r="E10555" t="str">
            <v>ACCESORIOS PARA LA APLICACION</v>
          </cell>
        </row>
        <row r="10556">
          <cell r="A10556" t="str">
            <v>9124-03B</v>
          </cell>
          <cell r="E10556" t="str">
            <v>ACCESORIOS PARA LA APLICACION</v>
          </cell>
        </row>
        <row r="10557">
          <cell r="A10557" t="str">
            <v>9124-28B</v>
          </cell>
          <cell r="E10557" t="str">
            <v>ACCESORIOS PARA LA APLICACION</v>
          </cell>
        </row>
        <row r="10558">
          <cell r="A10558" t="str">
            <v>ES-08870</v>
          </cell>
          <cell r="E10558" t="str">
            <v>ESMALTE DE HORNEO BASE SOLVENT</v>
          </cell>
        </row>
        <row r="10559">
          <cell r="A10559">
            <v>532</v>
          </cell>
          <cell r="E10559" t="str">
            <v>MERCADOTECNIA</v>
          </cell>
        </row>
        <row r="10560">
          <cell r="A10560" t="str">
            <v>MPC-16184</v>
          </cell>
          <cell r="E10560" t="str">
            <v>ESM SECADO RAPIDO BASE SOLVENT</v>
          </cell>
        </row>
        <row r="10561">
          <cell r="A10561" t="str">
            <v>MPC-17004</v>
          </cell>
          <cell r="E10561" t="str">
            <v>ESM SECADO RAPIDO BASE SOLVENT</v>
          </cell>
        </row>
      </sheetData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D90D PZAS"/>
      <sheetName val="TD90D"/>
      <sheetName val="Resumen_Recompra_90D"/>
      <sheetName val="clientes rec"/>
      <sheetName val="Detalle_Transacciones"/>
    </sheetNames>
    <sheetDataSet>
      <sheetData sheetId="0">
        <row r="3">
          <cell r="A3" t="str">
            <v>Suma de TOTAL_PIEZAS</v>
          </cell>
        </row>
        <row r="4">
          <cell r="A4" t="str">
            <v>SKU</v>
          </cell>
          <cell r="CW4" t="str">
            <v>Total general</v>
          </cell>
          <cell r="CX4" t="str">
            <v># DE CLIENTES QUE HICIERON LA RECOMPRA DE ESE PRODUCTO</v>
          </cell>
          <cell r="DA4" t="str">
            <v>RKNG</v>
          </cell>
        </row>
        <row r="5">
          <cell r="A5" t="str">
            <v>2399</v>
          </cell>
          <cell r="CW5">
            <v>502</v>
          </cell>
          <cell r="CX5">
            <v>15</v>
          </cell>
          <cell r="DA5">
            <v>5</v>
          </cell>
        </row>
        <row r="6">
          <cell r="A6" t="str">
            <v>IG-30561</v>
          </cell>
          <cell r="CW6">
            <v>353</v>
          </cell>
          <cell r="CX6">
            <v>23</v>
          </cell>
          <cell r="DA6">
            <v>1</v>
          </cell>
        </row>
        <row r="7">
          <cell r="A7" t="str">
            <v>28004</v>
          </cell>
          <cell r="CW7">
            <v>308</v>
          </cell>
          <cell r="CX7">
            <v>20</v>
          </cell>
          <cell r="DA7">
            <v>4</v>
          </cell>
        </row>
        <row r="8">
          <cell r="A8" t="str">
            <v>28984</v>
          </cell>
          <cell r="CW8">
            <v>293</v>
          </cell>
          <cell r="CX8">
            <v>21</v>
          </cell>
          <cell r="DA8">
            <v>3</v>
          </cell>
        </row>
        <row r="9">
          <cell r="A9" t="str">
            <v>IG-30001</v>
          </cell>
          <cell r="CW9">
            <v>244</v>
          </cell>
          <cell r="CX9">
            <v>23</v>
          </cell>
          <cell r="DA9">
            <v>2</v>
          </cell>
        </row>
        <row r="10">
          <cell r="A10" t="str">
            <v>2300</v>
          </cell>
          <cell r="CW10">
            <v>229</v>
          </cell>
          <cell r="CX10">
            <v>13</v>
          </cell>
          <cell r="DA10">
            <v>7</v>
          </cell>
        </row>
        <row r="11">
          <cell r="A11" t="str">
            <v>79234</v>
          </cell>
          <cell r="CW11">
            <v>211</v>
          </cell>
          <cell r="CX11">
            <v>10</v>
          </cell>
          <cell r="DA11">
            <v>12</v>
          </cell>
        </row>
        <row r="12">
          <cell r="A12" t="str">
            <v>28005</v>
          </cell>
          <cell r="CW12">
            <v>211</v>
          </cell>
          <cell r="CX12">
            <v>15</v>
          </cell>
          <cell r="DA12">
            <v>6</v>
          </cell>
        </row>
        <row r="13">
          <cell r="A13" t="str">
            <v>2398</v>
          </cell>
          <cell r="CW13">
            <v>156</v>
          </cell>
          <cell r="CX13">
            <v>9</v>
          </cell>
          <cell r="DA13">
            <v>13</v>
          </cell>
        </row>
        <row r="14">
          <cell r="A14" t="str">
            <v>28986</v>
          </cell>
          <cell r="CW14">
            <v>154</v>
          </cell>
          <cell r="CX14">
            <v>11</v>
          </cell>
          <cell r="DA14">
            <v>8</v>
          </cell>
        </row>
        <row r="15">
          <cell r="A15" t="str">
            <v>29014</v>
          </cell>
          <cell r="CW15">
            <v>140</v>
          </cell>
          <cell r="CX15">
            <v>11</v>
          </cell>
          <cell r="DA15">
            <v>9</v>
          </cell>
        </row>
        <row r="16">
          <cell r="A16" t="str">
            <v>28006</v>
          </cell>
          <cell r="CW16">
            <v>130</v>
          </cell>
          <cell r="CX16">
            <v>11</v>
          </cell>
          <cell r="DA16">
            <v>10</v>
          </cell>
        </row>
        <row r="17">
          <cell r="A17" t="str">
            <v>IG-50561</v>
          </cell>
          <cell r="CW17">
            <v>109</v>
          </cell>
          <cell r="CX17">
            <v>6</v>
          </cell>
          <cell r="DA17">
            <v>14</v>
          </cell>
        </row>
        <row r="18">
          <cell r="A18" t="str">
            <v>28985</v>
          </cell>
          <cell r="CW18">
            <v>105</v>
          </cell>
          <cell r="CX18">
            <v>11</v>
          </cell>
          <cell r="DA18">
            <v>11</v>
          </cell>
        </row>
        <row r="19">
          <cell r="A19" t="str">
            <v>29012</v>
          </cell>
          <cell r="CW19">
            <v>100</v>
          </cell>
          <cell r="CX19">
            <v>3</v>
          </cell>
        </row>
        <row r="20">
          <cell r="A20" t="str">
            <v>9184</v>
          </cell>
          <cell r="CW20">
            <v>100</v>
          </cell>
          <cell r="CX20">
            <v>1</v>
          </cell>
        </row>
        <row r="21">
          <cell r="A21" t="str">
            <v>2397</v>
          </cell>
          <cell r="CW21">
            <v>97</v>
          </cell>
          <cell r="CX21">
            <v>4</v>
          </cell>
        </row>
        <row r="22">
          <cell r="A22" t="str">
            <v>SRG-10994</v>
          </cell>
          <cell r="CW22">
            <v>66</v>
          </cell>
          <cell r="CX22">
            <v>5</v>
          </cell>
        </row>
        <row r="23">
          <cell r="A23" t="str">
            <v>IG-50001</v>
          </cell>
          <cell r="CW23">
            <v>63</v>
          </cell>
          <cell r="CX23">
            <v>2</v>
          </cell>
        </row>
        <row r="24">
          <cell r="A24" t="str">
            <v>2345</v>
          </cell>
          <cell r="CW24">
            <v>61</v>
          </cell>
          <cell r="CX24">
            <v>4</v>
          </cell>
        </row>
        <row r="25">
          <cell r="A25" t="str">
            <v>SRG-10983</v>
          </cell>
          <cell r="CW25">
            <v>48</v>
          </cell>
          <cell r="CX25">
            <v>2</v>
          </cell>
        </row>
        <row r="26">
          <cell r="A26" t="str">
            <v>VG-50014</v>
          </cell>
          <cell r="CW26">
            <v>45</v>
          </cell>
          <cell r="CX26">
            <v>4</v>
          </cell>
        </row>
        <row r="27">
          <cell r="A27" t="str">
            <v>2390</v>
          </cell>
          <cell r="CW27">
            <v>45</v>
          </cell>
          <cell r="CX27">
            <v>4</v>
          </cell>
        </row>
        <row r="28">
          <cell r="A28" t="str">
            <v>2454</v>
          </cell>
          <cell r="CW28">
            <v>42</v>
          </cell>
          <cell r="CX28">
            <v>2</v>
          </cell>
        </row>
        <row r="29">
          <cell r="A29" t="str">
            <v>VG-30014</v>
          </cell>
          <cell r="CW29">
            <v>42</v>
          </cell>
          <cell r="CX29">
            <v>2</v>
          </cell>
        </row>
        <row r="30">
          <cell r="A30" t="str">
            <v>29004</v>
          </cell>
          <cell r="CW30">
            <v>42</v>
          </cell>
          <cell r="CX30">
            <v>1</v>
          </cell>
        </row>
        <row r="31">
          <cell r="A31" t="str">
            <v>VG-50013</v>
          </cell>
          <cell r="CW31">
            <v>39</v>
          </cell>
          <cell r="CX31">
            <v>5</v>
          </cell>
        </row>
        <row r="32">
          <cell r="A32" t="str">
            <v>VG-30013</v>
          </cell>
          <cell r="CW32">
            <v>38</v>
          </cell>
          <cell r="CX32">
            <v>4</v>
          </cell>
        </row>
        <row r="33">
          <cell r="A33" t="str">
            <v>VG-50011</v>
          </cell>
          <cell r="CW33">
            <v>36</v>
          </cell>
          <cell r="CX33">
            <v>5</v>
          </cell>
        </row>
        <row r="34">
          <cell r="A34" t="str">
            <v>VG-30004</v>
          </cell>
          <cell r="CW34">
            <v>36</v>
          </cell>
          <cell r="CX34">
            <v>3</v>
          </cell>
        </row>
        <row r="35">
          <cell r="A35" t="str">
            <v>2364</v>
          </cell>
          <cell r="CW35">
            <v>36</v>
          </cell>
          <cell r="CX35">
            <v>1</v>
          </cell>
        </row>
        <row r="36">
          <cell r="A36" t="str">
            <v>2393</v>
          </cell>
          <cell r="CW36">
            <v>36</v>
          </cell>
          <cell r="CX36">
            <v>2</v>
          </cell>
        </row>
        <row r="37">
          <cell r="A37" t="str">
            <v>28806</v>
          </cell>
          <cell r="CW37">
            <v>36</v>
          </cell>
          <cell r="CX37">
            <v>3</v>
          </cell>
        </row>
        <row r="38">
          <cell r="A38" t="str">
            <v>28014</v>
          </cell>
          <cell r="CW38">
            <v>28</v>
          </cell>
          <cell r="CX38">
            <v>3</v>
          </cell>
        </row>
        <row r="39">
          <cell r="A39" t="str">
            <v>SRG-10004</v>
          </cell>
          <cell r="CW39">
            <v>28</v>
          </cell>
          <cell r="CX39">
            <v>3</v>
          </cell>
        </row>
        <row r="40">
          <cell r="A40" t="str">
            <v>VG-50994</v>
          </cell>
          <cell r="CW40">
            <v>28</v>
          </cell>
          <cell r="CX40">
            <v>3</v>
          </cell>
        </row>
        <row r="41">
          <cell r="A41" t="str">
            <v>IG-30563</v>
          </cell>
          <cell r="CW41">
            <v>25</v>
          </cell>
          <cell r="CX41">
            <v>3</v>
          </cell>
        </row>
        <row r="42">
          <cell r="A42" t="str">
            <v>28774</v>
          </cell>
          <cell r="CW42">
            <v>24</v>
          </cell>
          <cell r="CX42">
            <v>2</v>
          </cell>
        </row>
        <row r="43">
          <cell r="A43" t="str">
            <v>VG-30011</v>
          </cell>
          <cell r="CW43">
            <v>24</v>
          </cell>
          <cell r="CX43">
            <v>5</v>
          </cell>
        </row>
        <row r="44">
          <cell r="A44" t="str">
            <v>2335</v>
          </cell>
          <cell r="CW44">
            <v>24</v>
          </cell>
          <cell r="CX44">
            <v>2</v>
          </cell>
        </row>
        <row r="45">
          <cell r="A45" t="str">
            <v>2314</v>
          </cell>
          <cell r="CW45">
            <v>24</v>
          </cell>
          <cell r="CX45">
            <v>2</v>
          </cell>
        </row>
        <row r="46">
          <cell r="A46" t="str">
            <v>SRG-10006</v>
          </cell>
          <cell r="CW46">
            <v>24</v>
          </cell>
          <cell r="CX46">
            <v>1</v>
          </cell>
        </row>
        <row r="47">
          <cell r="A47" t="str">
            <v>2315</v>
          </cell>
          <cell r="CW47">
            <v>24</v>
          </cell>
          <cell r="CX47">
            <v>2</v>
          </cell>
        </row>
        <row r="48">
          <cell r="A48" t="str">
            <v>2396</v>
          </cell>
          <cell r="CW48">
            <v>24</v>
          </cell>
          <cell r="CX48">
            <v>2</v>
          </cell>
        </row>
        <row r="49">
          <cell r="A49" t="str">
            <v>2344</v>
          </cell>
          <cell r="CW49">
            <v>24</v>
          </cell>
          <cell r="CX49">
            <v>1</v>
          </cell>
        </row>
        <row r="50">
          <cell r="A50" t="str">
            <v>SRG-10996</v>
          </cell>
          <cell r="CW50">
            <v>24</v>
          </cell>
          <cell r="CX50">
            <v>1</v>
          </cell>
        </row>
        <row r="51">
          <cell r="A51" t="str">
            <v>29393</v>
          </cell>
          <cell r="CW51">
            <v>24</v>
          </cell>
          <cell r="CX51">
            <v>1</v>
          </cell>
        </row>
        <row r="52">
          <cell r="A52" t="str">
            <v>2373</v>
          </cell>
          <cell r="CW52">
            <v>24</v>
          </cell>
          <cell r="CX52">
            <v>2</v>
          </cell>
        </row>
        <row r="53">
          <cell r="A53" t="str">
            <v>29505</v>
          </cell>
          <cell r="CW53">
            <v>23</v>
          </cell>
          <cell r="CX53">
            <v>1</v>
          </cell>
        </row>
        <row r="54">
          <cell r="A54" t="str">
            <v>VG-30003</v>
          </cell>
          <cell r="CW54">
            <v>23</v>
          </cell>
          <cell r="CX54">
            <v>3</v>
          </cell>
        </row>
        <row r="55">
          <cell r="A55" t="str">
            <v>IG-40001</v>
          </cell>
          <cell r="CW55">
            <v>23</v>
          </cell>
          <cell r="CX55">
            <v>4</v>
          </cell>
        </row>
        <row r="56">
          <cell r="A56" t="str">
            <v>29596</v>
          </cell>
          <cell r="CW56">
            <v>22</v>
          </cell>
          <cell r="CX56">
            <v>2</v>
          </cell>
        </row>
        <row r="57">
          <cell r="A57" t="str">
            <v>SRG-10003</v>
          </cell>
          <cell r="CW57">
            <v>19</v>
          </cell>
          <cell r="CX57">
            <v>3</v>
          </cell>
        </row>
        <row r="58">
          <cell r="A58" t="str">
            <v>28964</v>
          </cell>
          <cell r="CW58">
            <v>19</v>
          </cell>
          <cell r="CX58">
            <v>2</v>
          </cell>
        </row>
        <row r="59">
          <cell r="A59" t="str">
            <v>VG-50001</v>
          </cell>
          <cell r="CW59">
            <v>19</v>
          </cell>
          <cell r="CX59">
            <v>3</v>
          </cell>
        </row>
        <row r="60">
          <cell r="A60" t="str">
            <v>28003</v>
          </cell>
          <cell r="CW60">
            <v>18</v>
          </cell>
          <cell r="CX60">
            <v>2</v>
          </cell>
        </row>
        <row r="61">
          <cell r="A61" t="str">
            <v>28916</v>
          </cell>
          <cell r="CW61">
            <v>18</v>
          </cell>
          <cell r="CX61">
            <v>2</v>
          </cell>
        </row>
        <row r="62">
          <cell r="A62" t="str">
            <v>SRG-10584</v>
          </cell>
          <cell r="CW62">
            <v>18</v>
          </cell>
          <cell r="CX62">
            <v>1</v>
          </cell>
        </row>
        <row r="63">
          <cell r="A63" t="str">
            <v>2358</v>
          </cell>
          <cell r="CW63">
            <v>18</v>
          </cell>
          <cell r="CX63">
            <v>2</v>
          </cell>
        </row>
        <row r="64">
          <cell r="A64" t="str">
            <v>2301</v>
          </cell>
          <cell r="CW64">
            <v>18</v>
          </cell>
          <cell r="CX64">
            <v>2</v>
          </cell>
        </row>
        <row r="65">
          <cell r="A65" t="str">
            <v>29506</v>
          </cell>
          <cell r="CW65">
            <v>17</v>
          </cell>
          <cell r="CX65">
            <v>1</v>
          </cell>
        </row>
        <row r="66">
          <cell r="A66" t="str">
            <v>28966</v>
          </cell>
          <cell r="CW66">
            <v>16</v>
          </cell>
          <cell r="CX66">
            <v>2</v>
          </cell>
        </row>
        <row r="67">
          <cell r="A67" t="str">
            <v>VG-50993</v>
          </cell>
          <cell r="CW67">
            <v>15</v>
          </cell>
          <cell r="CX67">
            <v>1</v>
          </cell>
        </row>
        <row r="68">
          <cell r="A68" t="str">
            <v>36093</v>
          </cell>
          <cell r="CW68">
            <v>14</v>
          </cell>
          <cell r="CX68">
            <v>1</v>
          </cell>
        </row>
        <row r="69">
          <cell r="A69" t="str">
            <v>28983</v>
          </cell>
          <cell r="CW69">
            <v>14</v>
          </cell>
          <cell r="CX69">
            <v>2</v>
          </cell>
        </row>
        <row r="70">
          <cell r="A70" t="str">
            <v>SRG-10005</v>
          </cell>
          <cell r="CW70">
            <v>13</v>
          </cell>
          <cell r="CX70">
            <v>1</v>
          </cell>
        </row>
        <row r="71">
          <cell r="A71" t="str">
            <v>VG-30001</v>
          </cell>
          <cell r="CW71">
            <v>13</v>
          </cell>
          <cell r="CX71">
            <v>3</v>
          </cell>
        </row>
        <row r="72">
          <cell r="A72" t="str">
            <v>22994</v>
          </cell>
          <cell r="CW72">
            <v>12</v>
          </cell>
          <cell r="CX72">
            <v>1</v>
          </cell>
        </row>
        <row r="73">
          <cell r="A73" t="str">
            <v>34003</v>
          </cell>
          <cell r="CW73">
            <v>12</v>
          </cell>
          <cell r="CX73">
            <v>1</v>
          </cell>
        </row>
        <row r="74">
          <cell r="A74" t="str">
            <v>2367</v>
          </cell>
          <cell r="CW74">
            <v>12</v>
          </cell>
          <cell r="CX74">
            <v>1</v>
          </cell>
        </row>
        <row r="75">
          <cell r="A75" t="str">
            <v>28216</v>
          </cell>
          <cell r="CW75">
            <v>12</v>
          </cell>
          <cell r="CX75">
            <v>1</v>
          </cell>
        </row>
        <row r="76">
          <cell r="A76" t="str">
            <v>28214</v>
          </cell>
          <cell r="CW76">
            <v>12</v>
          </cell>
          <cell r="CX76">
            <v>1</v>
          </cell>
        </row>
        <row r="77">
          <cell r="A77" t="str">
            <v>2463</v>
          </cell>
          <cell r="CW77">
            <v>12</v>
          </cell>
          <cell r="CX77">
            <v>1</v>
          </cell>
        </row>
        <row r="78">
          <cell r="A78" t="str">
            <v>33014</v>
          </cell>
          <cell r="CW78">
            <v>12</v>
          </cell>
          <cell r="CX78">
            <v>1</v>
          </cell>
        </row>
        <row r="79">
          <cell r="A79" t="str">
            <v>2376</v>
          </cell>
          <cell r="CW79">
            <v>12</v>
          </cell>
          <cell r="CX79">
            <v>1</v>
          </cell>
        </row>
        <row r="80">
          <cell r="A80" t="str">
            <v>28585</v>
          </cell>
          <cell r="CW80">
            <v>12</v>
          </cell>
          <cell r="CX80">
            <v>2</v>
          </cell>
        </row>
        <row r="81">
          <cell r="A81" t="str">
            <v>BAG-10885</v>
          </cell>
          <cell r="CW81">
            <v>12</v>
          </cell>
          <cell r="CX81">
            <v>2</v>
          </cell>
        </row>
        <row r="82">
          <cell r="A82" t="str">
            <v>28586</v>
          </cell>
          <cell r="CW82">
            <v>12</v>
          </cell>
          <cell r="CX82">
            <v>2</v>
          </cell>
        </row>
        <row r="83">
          <cell r="A83" t="str">
            <v>2316</v>
          </cell>
          <cell r="CW83">
            <v>12</v>
          </cell>
          <cell r="CX83">
            <v>1</v>
          </cell>
        </row>
        <row r="84">
          <cell r="A84" t="str">
            <v>28104</v>
          </cell>
          <cell r="CW84">
            <v>12</v>
          </cell>
          <cell r="CX84">
            <v>1</v>
          </cell>
        </row>
        <row r="85">
          <cell r="A85" t="str">
            <v>2317</v>
          </cell>
          <cell r="CW85">
            <v>12</v>
          </cell>
          <cell r="CX85">
            <v>1</v>
          </cell>
        </row>
        <row r="86">
          <cell r="A86" t="str">
            <v>22995</v>
          </cell>
          <cell r="CW86">
            <v>12</v>
          </cell>
          <cell r="CX86">
            <v>1</v>
          </cell>
        </row>
        <row r="87">
          <cell r="A87" t="str">
            <v>2462</v>
          </cell>
          <cell r="CW87">
            <v>12</v>
          </cell>
          <cell r="CX87">
            <v>1</v>
          </cell>
        </row>
        <row r="88">
          <cell r="A88" t="str">
            <v>28934</v>
          </cell>
          <cell r="CW88">
            <v>12</v>
          </cell>
          <cell r="CX88">
            <v>1</v>
          </cell>
        </row>
        <row r="89">
          <cell r="A89" t="str">
            <v>28454</v>
          </cell>
          <cell r="CW89">
            <v>12</v>
          </cell>
          <cell r="CX89">
            <v>1</v>
          </cell>
        </row>
        <row r="90">
          <cell r="A90" t="str">
            <v>28963</v>
          </cell>
          <cell r="CW90">
            <v>12</v>
          </cell>
          <cell r="CX90">
            <v>2</v>
          </cell>
        </row>
        <row r="91">
          <cell r="A91" t="str">
            <v>28584</v>
          </cell>
          <cell r="CW91">
            <v>12</v>
          </cell>
          <cell r="CX91">
            <v>1</v>
          </cell>
        </row>
        <row r="92">
          <cell r="A92" t="str">
            <v>2366</v>
          </cell>
          <cell r="CW92">
            <v>12</v>
          </cell>
          <cell r="CX92">
            <v>1</v>
          </cell>
        </row>
        <row r="93">
          <cell r="A93" t="str">
            <v>2451</v>
          </cell>
          <cell r="CW93">
            <v>12</v>
          </cell>
          <cell r="CX93">
            <v>1</v>
          </cell>
        </row>
        <row r="94">
          <cell r="A94" t="str">
            <v>2324</v>
          </cell>
          <cell r="CW94">
            <v>12</v>
          </cell>
          <cell r="CX94">
            <v>1</v>
          </cell>
        </row>
        <row r="95">
          <cell r="A95" t="str">
            <v>2322</v>
          </cell>
          <cell r="CW95">
            <v>12</v>
          </cell>
          <cell r="CX95">
            <v>1</v>
          </cell>
        </row>
        <row r="96">
          <cell r="A96" t="str">
            <v>BAG-10896</v>
          </cell>
          <cell r="CW96">
            <v>12</v>
          </cell>
          <cell r="CX96">
            <v>2</v>
          </cell>
        </row>
        <row r="97">
          <cell r="A97" t="str">
            <v>2461</v>
          </cell>
          <cell r="CW97">
            <v>12</v>
          </cell>
          <cell r="CX97">
            <v>1</v>
          </cell>
        </row>
        <row r="98">
          <cell r="A98" t="str">
            <v>2380</v>
          </cell>
          <cell r="CW98">
            <v>12</v>
          </cell>
          <cell r="CX98">
            <v>1</v>
          </cell>
        </row>
        <row r="99">
          <cell r="A99" t="str">
            <v>2343</v>
          </cell>
          <cell r="CW99">
            <v>12</v>
          </cell>
          <cell r="CX99">
            <v>1</v>
          </cell>
        </row>
        <row r="100">
          <cell r="A100" t="str">
            <v>2381</v>
          </cell>
          <cell r="CW100">
            <v>12</v>
          </cell>
          <cell r="CX100">
            <v>1</v>
          </cell>
        </row>
        <row r="101">
          <cell r="A101" t="str">
            <v>28965</v>
          </cell>
          <cell r="CW101">
            <v>12</v>
          </cell>
          <cell r="CX101">
            <v>1</v>
          </cell>
        </row>
        <row r="102">
          <cell r="A102" t="str">
            <v>29504</v>
          </cell>
          <cell r="CW102">
            <v>11</v>
          </cell>
          <cell r="CX102">
            <v>1</v>
          </cell>
        </row>
        <row r="103">
          <cell r="A103" t="str">
            <v>VG-50614</v>
          </cell>
          <cell r="CW103">
            <v>9</v>
          </cell>
          <cell r="CX103">
            <v>1</v>
          </cell>
        </row>
        <row r="104">
          <cell r="A104" t="str">
            <v>28215</v>
          </cell>
          <cell r="CW104">
            <v>9</v>
          </cell>
          <cell r="CX104">
            <v>1</v>
          </cell>
        </row>
        <row r="105">
          <cell r="A105" t="str">
            <v>R-32001</v>
          </cell>
          <cell r="CW105">
            <v>7</v>
          </cell>
          <cell r="CX105">
            <v>1</v>
          </cell>
        </row>
        <row r="106">
          <cell r="A106" t="str">
            <v>61101</v>
          </cell>
          <cell r="CW106">
            <v>6</v>
          </cell>
          <cell r="CX106">
            <v>1</v>
          </cell>
        </row>
        <row r="107">
          <cell r="A107" t="str">
            <v>22003</v>
          </cell>
          <cell r="CW107">
            <v>6</v>
          </cell>
          <cell r="CX107">
            <v>1</v>
          </cell>
        </row>
        <row r="108">
          <cell r="A108" t="str">
            <v>28804</v>
          </cell>
          <cell r="CW108">
            <v>6</v>
          </cell>
          <cell r="CX108">
            <v>1</v>
          </cell>
        </row>
        <row r="109">
          <cell r="A109" t="str">
            <v>BAG-10845</v>
          </cell>
          <cell r="CW109">
            <v>6</v>
          </cell>
          <cell r="CX109">
            <v>1</v>
          </cell>
        </row>
        <row r="110">
          <cell r="A110" t="str">
            <v>28494</v>
          </cell>
          <cell r="CW110">
            <v>6</v>
          </cell>
          <cell r="CX110">
            <v>1</v>
          </cell>
        </row>
        <row r="111">
          <cell r="A111" t="str">
            <v>BAG-10846</v>
          </cell>
          <cell r="CW111">
            <v>6</v>
          </cell>
          <cell r="CX111">
            <v>1</v>
          </cell>
        </row>
        <row r="112">
          <cell r="A112" t="str">
            <v>28566</v>
          </cell>
          <cell r="CW112">
            <v>6</v>
          </cell>
          <cell r="CX112">
            <v>1</v>
          </cell>
        </row>
        <row r="113">
          <cell r="A113" t="str">
            <v>28444</v>
          </cell>
          <cell r="CW113">
            <v>6</v>
          </cell>
          <cell r="CX113">
            <v>1</v>
          </cell>
        </row>
        <row r="114">
          <cell r="A114" t="str">
            <v>17163</v>
          </cell>
          <cell r="CW114">
            <v>6</v>
          </cell>
          <cell r="CX114">
            <v>1</v>
          </cell>
        </row>
        <row r="115">
          <cell r="A115" t="str">
            <v>BAG-10886</v>
          </cell>
          <cell r="CW115">
            <v>6</v>
          </cell>
          <cell r="CX115">
            <v>1</v>
          </cell>
        </row>
        <row r="116">
          <cell r="A116" t="str">
            <v>28016</v>
          </cell>
          <cell r="CW116">
            <v>6</v>
          </cell>
          <cell r="CX116">
            <v>2</v>
          </cell>
        </row>
        <row r="117">
          <cell r="A117" t="str">
            <v>28446</v>
          </cell>
          <cell r="CW117">
            <v>6</v>
          </cell>
          <cell r="CX117">
            <v>1</v>
          </cell>
        </row>
        <row r="118">
          <cell r="A118" t="str">
            <v>34001</v>
          </cell>
          <cell r="CW118">
            <v>6</v>
          </cell>
          <cell r="CX118">
            <v>1</v>
          </cell>
        </row>
        <row r="119">
          <cell r="A119" t="str">
            <v>E-75424</v>
          </cell>
          <cell r="CW119">
            <v>6</v>
          </cell>
          <cell r="CX119">
            <v>1</v>
          </cell>
        </row>
        <row r="120">
          <cell r="A120" t="str">
            <v>28456</v>
          </cell>
          <cell r="CW120">
            <v>6</v>
          </cell>
          <cell r="CX120">
            <v>1</v>
          </cell>
        </row>
        <row r="121">
          <cell r="A121" t="str">
            <v>28496</v>
          </cell>
          <cell r="CW121">
            <v>6</v>
          </cell>
          <cell r="CX121">
            <v>1</v>
          </cell>
        </row>
        <row r="122">
          <cell r="A122" t="str">
            <v>E-81481</v>
          </cell>
          <cell r="CW122">
            <v>5</v>
          </cell>
          <cell r="CX122">
            <v>1</v>
          </cell>
        </row>
        <row r="123">
          <cell r="A123" t="str">
            <v>36091</v>
          </cell>
          <cell r="CW123">
            <v>4</v>
          </cell>
          <cell r="CX123">
            <v>1</v>
          </cell>
        </row>
        <row r="124">
          <cell r="A124" t="str">
            <v>IG-40561</v>
          </cell>
          <cell r="CW124">
            <v>4</v>
          </cell>
          <cell r="CX124">
            <v>1</v>
          </cell>
        </row>
        <row r="125">
          <cell r="A125" t="str">
            <v>33013</v>
          </cell>
          <cell r="CW125">
            <v>4</v>
          </cell>
          <cell r="CX125">
            <v>1</v>
          </cell>
        </row>
        <row r="126">
          <cell r="A126" t="str">
            <v>61200</v>
          </cell>
          <cell r="CW126">
            <v>4</v>
          </cell>
          <cell r="CX126">
            <v>2</v>
          </cell>
        </row>
        <row r="127">
          <cell r="A127" t="str">
            <v>28583</v>
          </cell>
          <cell r="CW127">
            <v>4</v>
          </cell>
          <cell r="CX127">
            <v>1</v>
          </cell>
        </row>
        <row r="128">
          <cell r="A128" t="str">
            <v>61202</v>
          </cell>
          <cell r="CW128">
            <v>3</v>
          </cell>
          <cell r="CX128">
            <v>1</v>
          </cell>
        </row>
        <row r="129">
          <cell r="A129" t="str">
            <v>29501</v>
          </cell>
          <cell r="CW129">
            <v>3</v>
          </cell>
          <cell r="CX129">
            <v>1</v>
          </cell>
        </row>
        <row r="130">
          <cell r="A130" t="str">
            <v>BAG-10895</v>
          </cell>
          <cell r="CW130">
            <v>3</v>
          </cell>
          <cell r="CX130">
            <v>1</v>
          </cell>
        </row>
        <row r="131">
          <cell r="A131" t="str">
            <v>G-31111</v>
          </cell>
          <cell r="CW131">
            <v>3</v>
          </cell>
          <cell r="CX131">
            <v>1</v>
          </cell>
        </row>
        <row r="132">
          <cell r="A132" t="str">
            <v>22001</v>
          </cell>
          <cell r="CW132">
            <v>3</v>
          </cell>
          <cell r="CX132">
            <v>1</v>
          </cell>
        </row>
        <row r="133">
          <cell r="A133" t="str">
            <v>28001</v>
          </cell>
          <cell r="CW133">
            <v>3</v>
          </cell>
          <cell r="CX133">
            <v>1</v>
          </cell>
        </row>
        <row r="134">
          <cell r="A134" t="str">
            <v>PRG-10934</v>
          </cell>
          <cell r="CW134">
            <v>3</v>
          </cell>
          <cell r="CX134">
            <v>1</v>
          </cell>
        </row>
        <row r="135">
          <cell r="A135" t="str">
            <v>28013</v>
          </cell>
          <cell r="CW135">
            <v>3</v>
          </cell>
          <cell r="CX135">
            <v>1</v>
          </cell>
        </row>
        <row r="136">
          <cell r="A136" t="str">
            <v>28105</v>
          </cell>
          <cell r="CW136">
            <v>3</v>
          </cell>
          <cell r="CX136">
            <v>1</v>
          </cell>
        </row>
        <row r="137">
          <cell r="A137" t="str">
            <v>PRG-10564</v>
          </cell>
          <cell r="CW137">
            <v>3</v>
          </cell>
          <cell r="CX137">
            <v>1</v>
          </cell>
        </row>
        <row r="138">
          <cell r="A138" t="str">
            <v>G-31883</v>
          </cell>
          <cell r="CW138">
            <v>2</v>
          </cell>
          <cell r="CX138">
            <v>1</v>
          </cell>
        </row>
        <row r="139">
          <cell r="A139" t="str">
            <v>29595</v>
          </cell>
          <cell r="CW139">
            <v>2</v>
          </cell>
          <cell r="CX139">
            <v>1</v>
          </cell>
        </row>
        <row r="140">
          <cell r="A140" t="str">
            <v>29024</v>
          </cell>
          <cell r="CW140">
            <v>2</v>
          </cell>
          <cell r="CX140">
            <v>1</v>
          </cell>
        </row>
        <row r="141">
          <cell r="A141" t="str">
            <v>22991</v>
          </cell>
          <cell r="CW141">
            <v>2</v>
          </cell>
          <cell r="CX141">
            <v>1</v>
          </cell>
        </row>
        <row r="142">
          <cell r="A142" t="str">
            <v>17161</v>
          </cell>
          <cell r="CW142">
            <v>2</v>
          </cell>
          <cell r="CX142">
            <v>1</v>
          </cell>
        </row>
        <row r="143">
          <cell r="A143" t="str">
            <v>ES-47024</v>
          </cell>
          <cell r="CW143">
            <v>2</v>
          </cell>
          <cell r="CX143">
            <v>1</v>
          </cell>
        </row>
        <row r="144">
          <cell r="A144" t="str">
            <v>29403</v>
          </cell>
          <cell r="CW144">
            <v>1</v>
          </cell>
          <cell r="CX144">
            <v>1</v>
          </cell>
        </row>
        <row r="145">
          <cell r="A145" t="str">
            <v>25003</v>
          </cell>
          <cell r="CW145">
            <v>1</v>
          </cell>
          <cell r="CX145">
            <v>1</v>
          </cell>
        </row>
        <row r="146">
          <cell r="A146" t="str">
            <v>29333</v>
          </cell>
          <cell r="CW146">
            <v>1</v>
          </cell>
          <cell r="CX146">
            <v>1</v>
          </cell>
        </row>
        <row r="147">
          <cell r="A147" t="str">
            <v>29591</v>
          </cell>
          <cell r="CW147">
            <v>0</v>
          </cell>
          <cell r="CX147">
            <v>0</v>
          </cell>
        </row>
        <row r="148">
          <cell r="A148" t="str">
            <v>VG-30611</v>
          </cell>
          <cell r="CW148">
            <v>0</v>
          </cell>
          <cell r="CX148">
            <v>0</v>
          </cell>
        </row>
        <row r="149">
          <cell r="A149" t="str">
            <v>VG-30263</v>
          </cell>
          <cell r="CW149">
            <v>0</v>
          </cell>
          <cell r="CX149">
            <v>0</v>
          </cell>
        </row>
        <row r="150">
          <cell r="A150" t="str">
            <v>E-66954</v>
          </cell>
          <cell r="CW150">
            <v>0</v>
          </cell>
          <cell r="CX150">
            <v>0</v>
          </cell>
        </row>
        <row r="151">
          <cell r="A151" t="str">
            <v>G-31871</v>
          </cell>
          <cell r="CW151">
            <v>0</v>
          </cell>
          <cell r="CX151">
            <v>0</v>
          </cell>
        </row>
        <row r="152">
          <cell r="A152" t="str">
            <v>28654</v>
          </cell>
          <cell r="CW152">
            <v>0</v>
          </cell>
          <cell r="CX152">
            <v>0</v>
          </cell>
        </row>
        <row r="153">
          <cell r="A153" t="str">
            <v>VG-50454</v>
          </cell>
          <cell r="CW153">
            <v>0</v>
          </cell>
          <cell r="CX153">
            <v>0</v>
          </cell>
        </row>
        <row r="154">
          <cell r="A154" t="str">
            <v>9913</v>
          </cell>
          <cell r="CW154">
            <v>0</v>
          </cell>
          <cell r="CX154">
            <v>0</v>
          </cell>
        </row>
        <row r="155">
          <cell r="A155" t="str">
            <v>DESC_3PP</v>
          </cell>
          <cell r="CW155">
            <v>0</v>
          </cell>
          <cell r="CX155">
            <v>0</v>
          </cell>
        </row>
        <row r="156">
          <cell r="A156" t="str">
            <v>N29506</v>
          </cell>
          <cell r="CW156">
            <v>0</v>
          </cell>
          <cell r="CX156">
            <v>0</v>
          </cell>
        </row>
        <row r="157">
          <cell r="A157" t="str">
            <v>VG-30651</v>
          </cell>
          <cell r="CW157">
            <v>0</v>
          </cell>
          <cell r="CX157">
            <v>0</v>
          </cell>
        </row>
        <row r="158">
          <cell r="A158" t="str">
            <v>PRG-10931</v>
          </cell>
          <cell r="CW158">
            <v>0</v>
          </cell>
          <cell r="CX158">
            <v>0</v>
          </cell>
        </row>
        <row r="159">
          <cell r="A159" t="str">
            <v>61103</v>
          </cell>
          <cell r="CW159">
            <v>0</v>
          </cell>
          <cell r="CX159">
            <v>0</v>
          </cell>
        </row>
        <row r="160">
          <cell r="A160" t="str">
            <v>60364</v>
          </cell>
          <cell r="CW160">
            <v>0</v>
          </cell>
          <cell r="CX160">
            <v>0</v>
          </cell>
        </row>
        <row r="161">
          <cell r="A161" t="str">
            <v>VG-50354</v>
          </cell>
          <cell r="CW161">
            <v>0</v>
          </cell>
          <cell r="CX161">
            <v>0</v>
          </cell>
        </row>
        <row r="162">
          <cell r="A162" t="str">
            <v>VG-30211</v>
          </cell>
          <cell r="CW162">
            <v>0</v>
          </cell>
          <cell r="CX162">
            <v>0</v>
          </cell>
        </row>
        <row r="163">
          <cell r="A163" t="str">
            <v>IG-30003</v>
          </cell>
          <cell r="CW163">
            <v>0</v>
          </cell>
          <cell r="CX163">
            <v>0</v>
          </cell>
        </row>
        <row r="164">
          <cell r="A164" t="str">
            <v>VG-30221</v>
          </cell>
          <cell r="CW164">
            <v>0</v>
          </cell>
          <cell r="CX164">
            <v>0</v>
          </cell>
        </row>
        <row r="165">
          <cell r="A165" t="str">
            <v>VG-30321</v>
          </cell>
          <cell r="CW165">
            <v>0</v>
          </cell>
          <cell r="CX165">
            <v>0</v>
          </cell>
        </row>
        <row r="166">
          <cell r="A166" t="str">
            <v>E-90191</v>
          </cell>
          <cell r="CW166">
            <v>-1</v>
          </cell>
          <cell r="CX166">
            <v>0</v>
          </cell>
        </row>
        <row r="167">
          <cell r="A167" t="str">
            <v>29384</v>
          </cell>
          <cell r="CW167">
            <v>-2</v>
          </cell>
          <cell r="CX167">
            <v>0</v>
          </cell>
        </row>
        <row r="168">
          <cell r="A168" t="str">
            <v>29484</v>
          </cell>
          <cell r="CW168">
            <v>-2</v>
          </cell>
          <cell r="CX168">
            <v>0</v>
          </cell>
        </row>
        <row r="169">
          <cell r="A169" t="str">
            <v>19BYC</v>
          </cell>
          <cell r="CW169">
            <v>-5</v>
          </cell>
          <cell r="CX169">
            <v>0</v>
          </cell>
        </row>
        <row r="170">
          <cell r="A170" t="str">
            <v>Total general</v>
          </cell>
          <cell r="CW170">
            <v>5418</v>
          </cell>
          <cell r="CX170">
            <v>90</v>
          </cell>
        </row>
      </sheetData>
      <sheetData sheetId="1">
        <row r="3">
          <cell r="A3" t="str">
            <v>Suma de NUM_COMPRAS</v>
          </cell>
        </row>
        <row r="4">
          <cell r="A4" t="str">
            <v>SKU</v>
          </cell>
          <cell r="CW4" t="str">
            <v>Total general</v>
          </cell>
          <cell r="CX4" t="str">
            <v># DE CLIENTES QUE HICIERON LA RECOMPRA DE ESE PRODUCTO</v>
          </cell>
          <cell r="DA4" t="str">
            <v>RKNG</v>
          </cell>
        </row>
        <row r="5">
          <cell r="A5" t="str">
            <v>IG-30561</v>
          </cell>
          <cell r="CW5">
            <v>81</v>
          </cell>
          <cell r="CX5">
            <v>25</v>
          </cell>
          <cell r="DA5">
            <v>1</v>
          </cell>
        </row>
        <row r="6">
          <cell r="A6" t="str">
            <v>IG-30001</v>
          </cell>
          <cell r="CW6">
            <v>65</v>
          </cell>
          <cell r="CX6">
            <v>25</v>
          </cell>
          <cell r="DA6">
            <v>2</v>
          </cell>
        </row>
        <row r="7">
          <cell r="A7" t="str">
            <v>28984</v>
          </cell>
          <cell r="CW7">
            <v>58</v>
          </cell>
          <cell r="CX7">
            <v>22</v>
          </cell>
          <cell r="DA7">
            <v>3</v>
          </cell>
        </row>
        <row r="8">
          <cell r="A8" t="str">
            <v>28004</v>
          </cell>
          <cell r="CW8">
            <v>57</v>
          </cell>
          <cell r="CX8">
            <v>21</v>
          </cell>
          <cell r="DA8">
            <v>4</v>
          </cell>
        </row>
        <row r="9">
          <cell r="A9" t="str">
            <v>28005</v>
          </cell>
          <cell r="CW9">
            <v>46</v>
          </cell>
          <cell r="CX9">
            <v>16</v>
          </cell>
          <cell r="DA9">
            <v>5</v>
          </cell>
        </row>
        <row r="10">
          <cell r="A10" t="str">
            <v>2399</v>
          </cell>
          <cell r="CW10">
            <v>44</v>
          </cell>
          <cell r="CX10">
            <v>16</v>
          </cell>
          <cell r="DA10">
            <v>6</v>
          </cell>
        </row>
        <row r="11">
          <cell r="A11" t="str">
            <v>DESC_3PP</v>
          </cell>
          <cell r="CW11">
            <v>33</v>
          </cell>
          <cell r="CX11">
            <v>5</v>
          </cell>
        </row>
        <row r="12">
          <cell r="A12" t="str">
            <v>79234</v>
          </cell>
          <cell r="CW12">
            <v>31</v>
          </cell>
          <cell r="CX12">
            <v>11</v>
          </cell>
          <cell r="DA12">
            <v>9</v>
          </cell>
        </row>
        <row r="13">
          <cell r="A13" t="str">
            <v>2300</v>
          </cell>
          <cell r="CW13">
            <v>30</v>
          </cell>
          <cell r="CX13">
            <v>13</v>
          </cell>
          <cell r="DA13">
            <v>7</v>
          </cell>
        </row>
        <row r="14">
          <cell r="A14" t="str">
            <v>28986</v>
          </cell>
          <cell r="CW14">
            <v>29</v>
          </cell>
          <cell r="CX14">
            <v>11</v>
          </cell>
          <cell r="DA14">
            <v>10</v>
          </cell>
        </row>
        <row r="15">
          <cell r="A15" t="str">
            <v>28985</v>
          </cell>
          <cell r="CW15">
            <v>28</v>
          </cell>
          <cell r="CX15">
            <v>12</v>
          </cell>
          <cell r="DA15">
            <v>8</v>
          </cell>
        </row>
        <row r="16">
          <cell r="A16" t="str">
            <v>29014</v>
          </cell>
          <cell r="CW16">
            <v>27</v>
          </cell>
          <cell r="CX16">
            <v>11</v>
          </cell>
          <cell r="DA16">
            <v>11</v>
          </cell>
        </row>
        <row r="17">
          <cell r="A17" t="str">
            <v>2398</v>
          </cell>
          <cell r="CW17">
            <v>26</v>
          </cell>
          <cell r="CX17">
            <v>10</v>
          </cell>
        </row>
        <row r="18">
          <cell r="A18" t="str">
            <v>28006</v>
          </cell>
          <cell r="CW18">
            <v>26</v>
          </cell>
          <cell r="CX18">
            <v>11</v>
          </cell>
          <cell r="DA18">
            <v>12</v>
          </cell>
        </row>
        <row r="19">
          <cell r="A19" t="str">
            <v>IG-50561</v>
          </cell>
          <cell r="CW19">
            <v>20</v>
          </cell>
          <cell r="CX19">
            <v>7</v>
          </cell>
        </row>
        <row r="20">
          <cell r="A20" t="str">
            <v>2390</v>
          </cell>
          <cell r="CW20">
            <v>16</v>
          </cell>
          <cell r="CX20">
            <v>6</v>
          </cell>
        </row>
        <row r="21">
          <cell r="A21" t="str">
            <v>2345</v>
          </cell>
          <cell r="CW21">
            <v>16</v>
          </cell>
          <cell r="CX21">
            <v>6</v>
          </cell>
        </row>
        <row r="22">
          <cell r="A22" t="str">
            <v>VG-50013</v>
          </cell>
          <cell r="CW22">
            <v>13</v>
          </cell>
          <cell r="CX22">
            <v>6</v>
          </cell>
        </row>
        <row r="23">
          <cell r="A23" t="str">
            <v>SRG-10983</v>
          </cell>
          <cell r="CW23">
            <v>11</v>
          </cell>
          <cell r="CX23">
            <v>2</v>
          </cell>
        </row>
        <row r="24">
          <cell r="A24" t="str">
            <v>2397</v>
          </cell>
          <cell r="CW24">
            <v>11</v>
          </cell>
          <cell r="CX24">
            <v>5</v>
          </cell>
        </row>
        <row r="25">
          <cell r="A25" t="str">
            <v>IG-30563</v>
          </cell>
          <cell r="CW25">
            <v>11</v>
          </cell>
          <cell r="CX25">
            <v>5</v>
          </cell>
        </row>
        <row r="26">
          <cell r="A26" t="str">
            <v>29012</v>
          </cell>
          <cell r="CW26">
            <v>11</v>
          </cell>
          <cell r="CX26">
            <v>3</v>
          </cell>
        </row>
        <row r="27">
          <cell r="A27" t="str">
            <v>VG-30011</v>
          </cell>
          <cell r="CW27">
            <v>10</v>
          </cell>
          <cell r="CX27">
            <v>5</v>
          </cell>
        </row>
        <row r="28">
          <cell r="A28" t="str">
            <v>VG-30004</v>
          </cell>
          <cell r="CW28">
            <v>10</v>
          </cell>
          <cell r="CX28">
            <v>4</v>
          </cell>
        </row>
        <row r="29">
          <cell r="A29" t="str">
            <v>VG-50011</v>
          </cell>
          <cell r="CW29">
            <v>10</v>
          </cell>
          <cell r="CX29">
            <v>5</v>
          </cell>
        </row>
        <row r="30">
          <cell r="A30" t="str">
            <v>SRG-10994</v>
          </cell>
          <cell r="CW30">
            <v>10</v>
          </cell>
          <cell r="CX30">
            <v>5</v>
          </cell>
        </row>
        <row r="31">
          <cell r="A31" t="str">
            <v>VG-30013</v>
          </cell>
          <cell r="CW31">
            <v>9</v>
          </cell>
          <cell r="CX31">
            <v>4</v>
          </cell>
        </row>
        <row r="32">
          <cell r="A32" t="str">
            <v>IG-40001</v>
          </cell>
          <cell r="CW32">
            <v>9</v>
          </cell>
          <cell r="CX32">
            <v>4</v>
          </cell>
        </row>
        <row r="33">
          <cell r="A33" t="str">
            <v>VG-50014</v>
          </cell>
          <cell r="CW33">
            <v>9</v>
          </cell>
          <cell r="CX33">
            <v>4</v>
          </cell>
        </row>
        <row r="34">
          <cell r="A34" t="str">
            <v>28806</v>
          </cell>
          <cell r="CW34">
            <v>8</v>
          </cell>
          <cell r="CX34">
            <v>3</v>
          </cell>
        </row>
        <row r="35">
          <cell r="A35" t="str">
            <v>VG-30014</v>
          </cell>
          <cell r="CW35">
            <v>8</v>
          </cell>
          <cell r="CX35">
            <v>4</v>
          </cell>
        </row>
        <row r="36">
          <cell r="A36" t="str">
            <v>VG-30001</v>
          </cell>
          <cell r="CW36">
            <v>8</v>
          </cell>
          <cell r="CX36">
            <v>3</v>
          </cell>
        </row>
        <row r="37">
          <cell r="A37" t="str">
            <v>28014</v>
          </cell>
          <cell r="CW37">
            <v>8</v>
          </cell>
          <cell r="CX37">
            <v>4</v>
          </cell>
        </row>
        <row r="38">
          <cell r="A38" t="str">
            <v>SRG-10003</v>
          </cell>
          <cell r="CW38">
            <v>8</v>
          </cell>
          <cell r="CX38">
            <v>3</v>
          </cell>
        </row>
        <row r="39">
          <cell r="A39" t="str">
            <v>28963</v>
          </cell>
          <cell r="CW39">
            <v>7</v>
          </cell>
          <cell r="CX39">
            <v>2</v>
          </cell>
        </row>
        <row r="40">
          <cell r="A40" t="str">
            <v>VG-50994</v>
          </cell>
          <cell r="CW40">
            <v>7</v>
          </cell>
          <cell r="CX40">
            <v>3</v>
          </cell>
        </row>
        <row r="41">
          <cell r="A41" t="str">
            <v>29505</v>
          </cell>
          <cell r="CW41">
            <v>7</v>
          </cell>
          <cell r="CX41">
            <v>1</v>
          </cell>
        </row>
        <row r="42">
          <cell r="A42" t="str">
            <v>VG-50001</v>
          </cell>
          <cell r="CW42">
            <v>6</v>
          </cell>
          <cell r="CX42">
            <v>3</v>
          </cell>
        </row>
        <row r="43">
          <cell r="A43" t="str">
            <v>28964</v>
          </cell>
          <cell r="CW43">
            <v>6</v>
          </cell>
          <cell r="CX43">
            <v>2</v>
          </cell>
        </row>
        <row r="44">
          <cell r="A44" t="str">
            <v>2393</v>
          </cell>
          <cell r="CW44">
            <v>6</v>
          </cell>
          <cell r="CX44">
            <v>3</v>
          </cell>
        </row>
        <row r="45">
          <cell r="A45" t="str">
            <v>28586</v>
          </cell>
          <cell r="CW45">
            <v>6</v>
          </cell>
          <cell r="CX45">
            <v>2</v>
          </cell>
        </row>
        <row r="46">
          <cell r="A46" t="str">
            <v>29596</v>
          </cell>
          <cell r="CW46">
            <v>6</v>
          </cell>
          <cell r="CX46">
            <v>3</v>
          </cell>
        </row>
        <row r="47">
          <cell r="A47" t="str">
            <v>VG-30003</v>
          </cell>
          <cell r="CW47">
            <v>6</v>
          </cell>
          <cell r="CX47">
            <v>3</v>
          </cell>
        </row>
        <row r="48">
          <cell r="A48" t="str">
            <v>28003</v>
          </cell>
          <cell r="CW48">
            <v>6</v>
          </cell>
          <cell r="CX48">
            <v>2</v>
          </cell>
        </row>
        <row r="49">
          <cell r="A49" t="str">
            <v>2335</v>
          </cell>
          <cell r="CW49">
            <v>6</v>
          </cell>
          <cell r="CX49">
            <v>3</v>
          </cell>
        </row>
        <row r="50">
          <cell r="A50" t="str">
            <v>2451</v>
          </cell>
          <cell r="CW50">
            <v>6</v>
          </cell>
          <cell r="CX50">
            <v>2</v>
          </cell>
        </row>
        <row r="51">
          <cell r="A51" t="str">
            <v>SRG-10004</v>
          </cell>
          <cell r="CW51">
            <v>6</v>
          </cell>
          <cell r="CX51">
            <v>3</v>
          </cell>
        </row>
        <row r="52">
          <cell r="A52" t="str">
            <v>28983</v>
          </cell>
          <cell r="CW52">
            <v>6</v>
          </cell>
          <cell r="CX52">
            <v>2</v>
          </cell>
        </row>
        <row r="53">
          <cell r="A53" t="str">
            <v>19BYC</v>
          </cell>
          <cell r="CW53">
            <v>5</v>
          </cell>
          <cell r="CX53">
            <v>2</v>
          </cell>
        </row>
        <row r="54">
          <cell r="A54" t="str">
            <v>2358</v>
          </cell>
          <cell r="CW54">
            <v>5</v>
          </cell>
          <cell r="CX54">
            <v>2</v>
          </cell>
        </row>
        <row r="55">
          <cell r="A55" t="str">
            <v>BAG-10896</v>
          </cell>
          <cell r="CW55">
            <v>5</v>
          </cell>
          <cell r="CX55">
            <v>2</v>
          </cell>
        </row>
        <row r="56">
          <cell r="A56" t="str">
            <v>2373</v>
          </cell>
          <cell r="CW56">
            <v>5</v>
          </cell>
          <cell r="CX56">
            <v>2</v>
          </cell>
        </row>
        <row r="57">
          <cell r="A57" t="str">
            <v>28916</v>
          </cell>
          <cell r="CW57">
            <v>5</v>
          </cell>
          <cell r="CX57">
            <v>2</v>
          </cell>
        </row>
        <row r="58">
          <cell r="A58" t="str">
            <v>2301</v>
          </cell>
          <cell r="CW58">
            <v>5</v>
          </cell>
          <cell r="CX58">
            <v>2</v>
          </cell>
        </row>
        <row r="59">
          <cell r="A59" t="str">
            <v>BAG-10885</v>
          </cell>
          <cell r="CW59">
            <v>5</v>
          </cell>
          <cell r="CX59">
            <v>2</v>
          </cell>
        </row>
        <row r="60">
          <cell r="A60" t="str">
            <v>2454</v>
          </cell>
          <cell r="CW60">
            <v>5</v>
          </cell>
          <cell r="CX60">
            <v>2</v>
          </cell>
        </row>
        <row r="61">
          <cell r="A61" t="str">
            <v>28774</v>
          </cell>
          <cell r="CW61">
            <v>4</v>
          </cell>
          <cell r="CX61">
            <v>2</v>
          </cell>
        </row>
        <row r="62">
          <cell r="A62" t="str">
            <v>IG-50001</v>
          </cell>
          <cell r="CW62">
            <v>4</v>
          </cell>
          <cell r="CX62">
            <v>2</v>
          </cell>
        </row>
        <row r="63">
          <cell r="A63" t="str">
            <v>28966</v>
          </cell>
          <cell r="CW63">
            <v>4</v>
          </cell>
          <cell r="CX63">
            <v>2</v>
          </cell>
        </row>
        <row r="64">
          <cell r="A64" t="str">
            <v>29506</v>
          </cell>
          <cell r="CW64">
            <v>4</v>
          </cell>
          <cell r="CX64">
            <v>1</v>
          </cell>
        </row>
        <row r="65">
          <cell r="A65" t="str">
            <v>28585</v>
          </cell>
          <cell r="CW65">
            <v>4</v>
          </cell>
          <cell r="CX65">
            <v>2</v>
          </cell>
        </row>
        <row r="66">
          <cell r="A66" t="str">
            <v>34003</v>
          </cell>
          <cell r="CW66">
            <v>4</v>
          </cell>
          <cell r="CX66">
            <v>1</v>
          </cell>
        </row>
        <row r="67">
          <cell r="A67" t="str">
            <v>2315</v>
          </cell>
          <cell r="CW67">
            <v>4</v>
          </cell>
          <cell r="CX67">
            <v>2</v>
          </cell>
        </row>
        <row r="68">
          <cell r="A68" t="str">
            <v>61200</v>
          </cell>
          <cell r="CW68">
            <v>4</v>
          </cell>
          <cell r="CX68">
            <v>2</v>
          </cell>
        </row>
        <row r="69">
          <cell r="A69" t="str">
            <v>29504</v>
          </cell>
          <cell r="CW69">
            <v>4</v>
          </cell>
          <cell r="CX69">
            <v>1</v>
          </cell>
        </row>
        <row r="70">
          <cell r="A70" t="str">
            <v>BAG-10845</v>
          </cell>
          <cell r="CW70">
            <v>4</v>
          </cell>
          <cell r="CX70">
            <v>1</v>
          </cell>
        </row>
        <row r="71">
          <cell r="A71" t="str">
            <v>PRG-10931</v>
          </cell>
          <cell r="CW71">
            <v>4</v>
          </cell>
          <cell r="CX71">
            <v>1</v>
          </cell>
        </row>
        <row r="72">
          <cell r="A72" t="str">
            <v>2366</v>
          </cell>
          <cell r="CW72">
            <v>4</v>
          </cell>
          <cell r="CX72">
            <v>2</v>
          </cell>
        </row>
        <row r="73">
          <cell r="A73" t="str">
            <v>2314</v>
          </cell>
          <cell r="CW73">
            <v>4</v>
          </cell>
          <cell r="CX73">
            <v>2</v>
          </cell>
        </row>
        <row r="74">
          <cell r="A74" t="str">
            <v>BAG-10886</v>
          </cell>
          <cell r="CW74">
            <v>4</v>
          </cell>
          <cell r="CX74">
            <v>1</v>
          </cell>
        </row>
        <row r="75">
          <cell r="A75" t="str">
            <v>2396</v>
          </cell>
          <cell r="CW75">
            <v>4</v>
          </cell>
          <cell r="CX75">
            <v>2</v>
          </cell>
        </row>
        <row r="76">
          <cell r="A76" t="str">
            <v>29024</v>
          </cell>
          <cell r="CW76">
            <v>4</v>
          </cell>
          <cell r="CX76">
            <v>1</v>
          </cell>
        </row>
        <row r="77">
          <cell r="A77" t="str">
            <v>28016</v>
          </cell>
          <cell r="CW77">
            <v>4</v>
          </cell>
          <cell r="CX77">
            <v>2</v>
          </cell>
        </row>
        <row r="78">
          <cell r="A78" t="str">
            <v>28104</v>
          </cell>
          <cell r="CW78">
            <v>4</v>
          </cell>
          <cell r="CX78">
            <v>1</v>
          </cell>
        </row>
        <row r="79">
          <cell r="A79" t="str">
            <v>29484</v>
          </cell>
          <cell r="CW79">
            <v>3</v>
          </cell>
          <cell r="CX79">
            <v>1</v>
          </cell>
        </row>
        <row r="80">
          <cell r="A80" t="str">
            <v>G-31883</v>
          </cell>
          <cell r="CW80">
            <v>3</v>
          </cell>
          <cell r="CX80">
            <v>1</v>
          </cell>
        </row>
        <row r="81">
          <cell r="A81" t="str">
            <v>E-90191</v>
          </cell>
          <cell r="CW81">
            <v>3</v>
          </cell>
          <cell r="CX81">
            <v>1</v>
          </cell>
        </row>
        <row r="82">
          <cell r="A82" t="str">
            <v>28446</v>
          </cell>
          <cell r="CW82">
            <v>3</v>
          </cell>
          <cell r="CX82">
            <v>1</v>
          </cell>
        </row>
        <row r="83">
          <cell r="A83" t="str">
            <v>29403</v>
          </cell>
          <cell r="CW83">
            <v>3</v>
          </cell>
          <cell r="CX83">
            <v>1</v>
          </cell>
        </row>
        <row r="84">
          <cell r="A84" t="str">
            <v>2381</v>
          </cell>
          <cell r="CW84">
            <v>3</v>
          </cell>
          <cell r="CX84">
            <v>1</v>
          </cell>
        </row>
        <row r="85">
          <cell r="A85" t="str">
            <v>28566</v>
          </cell>
          <cell r="CW85">
            <v>3</v>
          </cell>
          <cell r="CX85">
            <v>1</v>
          </cell>
        </row>
        <row r="86">
          <cell r="A86" t="str">
            <v>28456</v>
          </cell>
          <cell r="CW86">
            <v>3</v>
          </cell>
          <cell r="CX86">
            <v>1</v>
          </cell>
        </row>
        <row r="87">
          <cell r="A87" t="str">
            <v>29384</v>
          </cell>
          <cell r="CW87">
            <v>3</v>
          </cell>
          <cell r="CX87">
            <v>1</v>
          </cell>
        </row>
        <row r="88">
          <cell r="A88" t="str">
            <v>E-75424</v>
          </cell>
          <cell r="CW88">
            <v>3</v>
          </cell>
          <cell r="CX88">
            <v>1</v>
          </cell>
        </row>
        <row r="89">
          <cell r="A89" t="str">
            <v>28965</v>
          </cell>
          <cell r="CW89">
            <v>3</v>
          </cell>
          <cell r="CX89">
            <v>1</v>
          </cell>
        </row>
        <row r="90">
          <cell r="A90" t="str">
            <v>28494</v>
          </cell>
          <cell r="CW90">
            <v>3</v>
          </cell>
          <cell r="CX90">
            <v>1</v>
          </cell>
        </row>
        <row r="91">
          <cell r="A91" t="str">
            <v>2364</v>
          </cell>
          <cell r="CW91">
            <v>3</v>
          </cell>
          <cell r="CX91">
            <v>1</v>
          </cell>
        </row>
        <row r="92">
          <cell r="A92" t="str">
            <v>28496</v>
          </cell>
          <cell r="CW92">
            <v>3</v>
          </cell>
          <cell r="CX92">
            <v>1</v>
          </cell>
        </row>
        <row r="93">
          <cell r="A93" t="str">
            <v>25003</v>
          </cell>
          <cell r="CW93">
            <v>3</v>
          </cell>
          <cell r="CX93">
            <v>1</v>
          </cell>
        </row>
        <row r="94">
          <cell r="A94" t="str">
            <v>SRG-10005</v>
          </cell>
          <cell r="CW94">
            <v>3</v>
          </cell>
          <cell r="CX94">
            <v>1</v>
          </cell>
        </row>
        <row r="95">
          <cell r="A95" t="str">
            <v>17163</v>
          </cell>
          <cell r="CW95">
            <v>3</v>
          </cell>
          <cell r="CX95">
            <v>1</v>
          </cell>
        </row>
        <row r="96">
          <cell r="A96" t="str">
            <v>28105</v>
          </cell>
          <cell r="CW96">
            <v>3</v>
          </cell>
          <cell r="CX96">
            <v>1</v>
          </cell>
        </row>
        <row r="97">
          <cell r="A97" t="str">
            <v>28444</v>
          </cell>
          <cell r="CW97">
            <v>3</v>
          </cell>
          <cell r="CX97">
            <v>1</v>
          </cell>
        </row>
        <row r="98">
          <cell r="A98" t="str">
            <v>ES-47024</v>
          </cell>
          <cell r="CW98">
            <v>3</v>
          </cell>
          <cell r="CX98">
            <v>1</v>
          </cell>
        </row>
        <row r="99">
          <cell r="A99" t="str">
            <v>29333</v>
          </cell>
          <cell r="CW99">
            <v>3</v>
          </cell>
          <cell r="CX99">
            <v>1</v>
          </cell>
        </row>
        <row r="100">
          <cell r="A100" t="str">
            <v>29595</v>
          </cell>
          <cell r="CW100">
            <v>2</v>
          </cell>
          <cell r="CX100">
            <v>1</v>
          </cell>
        </row>
        <row r="101">
          <cell r="A101" t="str">
            <v>2343</v>
          </cell>
          <cell r="CW101">
            <v>2</v>
          </cell>
          <cell r="CX101">
            <v>1</v>
          </cell>
        </row>
        <row r="102">
          <cell r="A102" t="str">
            <v>PRG-10934</v>
          </cell>
          <cell r="CW102">
            <v>2</v>
          </cell>
          <cell r="CX102">
            <v>1</v>
          </cell>
        </row>
        <row r="103">
          <cell r="A103" t="str">
            <v>34001</v>
          </cell>
          <cell r="CW103">
            <v>2</v>
          </cell>
          <cell r="CX103">
            <v>1</v>
          </cell>
        </row>
        <row r="104">
          <cell r="A104" t="str">
            <v>VG-30211</v>
          </cell>
          <cell r="CW104">
            <v>2</v>
          </cell>
          <cell r="CX104">
            <v>1</v>
          </cell>
        </row>
        <row r="105">
          <cell r="A105" t="str">
            <v>28583</v>
          </cell>
          <cell r="CW105">
            <v>2</v>
          </cell>
          <cell r="CX105">
            <v>1</v>
          </cell>
        </row>
        <row r="106">
          <cell r="A106" t="str">
            <v>22995</v>
          </cell>
          <cell r="CW106">
            <v>2</v>
          </cell>
          <cell r="CX106">
            <v>1</v>
          </cell>
        </row>
        <row r="107">
          <cell r="A107" t="str">
            <v>36091</v>
          </cell>
          <cell r="CW107">
            <v>2</v>
          </cell>
          <cell r="CX107">
            <v>1</v>
          </cell>
        </row>
        <row r="108">
          <cell r="A108" t="str">
            <v>28216</v>
          </cell>
          <cell r="CW108">
            <v>2</v>
          </cell>
          <cell r="CX108">
            <v>1</v>
          </cell>
        </row>
        <row r="109">
          <cell r="A109" t="str">
            <v>36093</v>
          </cell>
          <cell r="CW109">
            <v>2</v>
          </cell>
          <cell r="CX109">
            <v>1</v>
          </cell>
        </row>
        <row r="110">
          <cell r="A110" t="str">
            <v>28454</v>
          </cell>
          <cell r="CW110">
            <v>2</v>
          </cell>
          <cell r="CX110">
            <v>1</v>
          </cell>
        </row>
        <row r="111">
          <cell r="A111" t="str">
            <v>60364</v>
          </cell>
          <cell r="CW111">
            <v>2</v>
          </cell>
          <cell r="CX111">
            <v>1</v>
          </cell>
        </row>
        <row r="112">
          <cell r="A112" t="str">
            <v>VG-30611</v>
          </cell>
          <cell r="CW112">
            <v>2</v>
          </cell>
          <cell r="CX112">
            <v>1</v>
          </cell>
        </row>
        <row r="113">
          <cell r="A113" t="str">
            <v>61101</v>
          </cell>
          <cell r="CW113">
            <v>2</v>
          </cell>
          <cell r="CX113">
            <v>1</v>
          </cell>
        </row>
        <row r="114">
          <cell r="A114" t="str">
            <v>VG-50614</v>
          </cell>
          <cell r="CW114">
            <v>2</v>
          </cell>
          <cell r="CX114">
            <v>1</v>
          </cell>
        </row>
        <row r="115">
          <cell r="A115" t="str">
            <v>61103</v>
          </cell>
          <cell r="CW115">
            <v>2</v>
          </cell>
          <cell r="CX115">
            <v>1</v>
          </cell>
        </row>
        <row r="116">
          <cell r="A116" t="str">
            <v>PRG-10564</v>
          </cell>
          <cell r="CW116">
            <v>2</v>
          </cell>
          <cell r="CX116">
            <v>1</v>
          </cell>
        </row>
        <row r="117">
          <cell r="A117" t="str">
            <v>28584</v>
          </cell>
          <cell r="CW117">
            <v>2</v>
          </cell>
          <cell r="CX117">
            <v>1</v>
          </cell>
        </row>
        <row r="118">
          <cell r="A118" t="str">
            <v>28214</v>
          </cell>
          <cell r="CW118">
            <v>2</v>
          </cell>
          <cell r="CX118">
            <v>1</v>
          </cell>
        </row>
        <row r="119">
          <cell r="A119" t="str">
            <v>61202</v>
          </cell>
          <cell r="CW119">
            <v>2</v>
          </cell>
          <cell r="CX119">
            <v>1</v>
          </cell>
        </row>
        <row r="120">
          <cell r="A120" t="str">
            <v>SRG-10584</v>
          </cell>
          <cell r="CW120">
            <v>2</v>
          </cell>
          <cell r="CX120">
            <v>1</v>
          </cell>
        </row>
        <row r="121">
          <cell r="A121" t="str">
            <v>2462</v>
          </cell>
          <cell r="CW121">
            <v>2</v>
          </cell>
          <cell r="CX121">
            <v>1</v>
          </cell>
        </row>
        <row r="122">
          <cell r="A122" t="str">
            <v>29393</v>
          </cell>
          <cell r="CW122">
            <v>2</v>
          </cell>
          <cell r="CX122">
            <v>1</v>
          </cell>
        </row>
        <row r="123">
          <cell r="A123" t="str">
            <v>9184</v>
          </cell>
          <cell r="CW123">
            <v>2</v>
          </cell>
          <cell r="CX123">
            <v>1</v>
          </cell>
        </row>
        <row r="124">
          <cell r="A124" t="str">
            <v>22001</v>
          </cell>
          <cell r="CW124">
            <v>2</v>
          </cell>
          <cell r="CX124">
            <v>1</v>
          </cell>
        </row>
        <row r="125">
          <cell r="A125" t="str">
            <v>9913</v>
          </cell>
          <cell r="CW125">
            <v>2</v>
          </cell>
          <cell r="CX125">
            <v>1</v>
          </cell>
        </row>
        <row r="126">
          <cell r="A126" t="str">
            <v>VG-30263</v>
          </cell>
          <cell r="CW126">
            <v>2</v>
          </cell>
          <cell r="CX126">
            <v>1</v>
          </cell>
        </row>
        <row r="127">
          <cell r="A127" t="str">
            <v>2463</v>
          </cell>
          <cell r="CW127">
            <v>2</v>
          </cell>
          <cell r="CX127">
            <v>1</v>
          </cell>
        </row>
        <row r="128">
          <cell r="A128" t="str">
            <v>22991</v>
          </cell>
          <cell r="CW128">
            <v>2</v>
          </cell>
          <cell r="CX128">
            <v>1</v>
          </cell>
        </row>
        <row r="129">
          <cell r="A129" t="str">
            <v>BAG-10846</v>
          </cell>
          <cell r="CW129">
            <v>2</v>
          </cell>
          <cell r="CX129">
            <v>1</v>
          </cell>
        </row>
        <row r="130">
          <cell r="A130" t="str">
            <v>VG-50354</v>
          </cell>
          <cell r="CW130">
            <v>2</v>
          </cell>
          <cell r="CX130">
            <v>1</v>
          </cell>
        </row>
        <row r="131">
          <cell r="A131" t="str">
            <v>28654</v>
          </cell>
          <cell r="CW131">
            <v>2</v>
          </cell>
          <cell r="CX131">
            <v>1</v>
          </cell>
        </row>
        <row r="132">
          <cell r="A132" t="str">
            <v>33013</v>
          </cell>
          <cell r="CW132">
            <v>2</v>
          </cell>
          <cell r="CX132">
            <v>1</v>
          </cell>
        </row>
        <row r="133">
          <cell r="A133" t="str">
            <v>22994</v>
          </cell>
          <cell r="CW133">
            <v>2</v>
          </cell>
          <cell r="CX133">
            <v>1</v>
          </cell>
        </row>
        <row r="134">
          <cell r="A134" t="str">
            <v>N29506</v>
          </cell>
          <cell r="CW134">
            <v>2</v>
          </cell>
          <cell r="CX134">
            <v>1</v>
          </cell>
        </row>
        <row r="135">
          <cell r="A135" t="str">
            <v>BAG-10895</v>
          </cell>
          <cell r="CW135">
            <v>2</v>
          </cell>
          <cell r="CX135">
            <v>1</v>
          </cell>
        </row>
        <row r="136">
          <cell r="A136" t="str">
            <v>29004</v>
          </cell>
          <cell r="CW136">
            <v>2</v>
          </cell>
          <cell r="CX136">
            <v>1</v>
          </cell>
        </row>
        <row r="137">
          <cell r="A137" t="str">
            <v>28804</v>
          </cell>
          <cell r="CW137">
            <v>2</v>
          </cell>
          <cell r="CX137">
            <v>1</v>
          </cell>
        </row>
        <row r="138">
          <cell r="A138" t="str">
            <v>R-32001</v>
          </cell>
          <cell r="CW138">
            <v>2</v>
          </cell>
          <cell r="CX138">
            <v>1</v>
          </cell>
        </row>
        <row r="139">
          <cell r="A139" t="str">
            <v>28001</v>
          </cell>
          <cell r="CW139">
            <v>2</v>
          </cell>
          <cell r="CX139">
            <v>1</v>
          </cell>
        </row>
        <row r="140">
          <cell r="A140" t="str">
            <v>28215</v>
          </cell>
          <cell r="CW140">
            <v>2</v>
          </cell>
          <cell r="CX140">
            <v>1</v>
          </cell>
        </row>
        <row r="141">
          <cell r="A141" t="str">
            <v>E-66954</v>
          </cell>
          <cell r="CW141">
            <v>2</v>
          </cell>
          <cell r="CX141">
            <v>1</v>
          </cell>
        </row>
        <row r="142">
          <cell r="A142" t="str">
            <v>SRG-10006</v>
          </cell>
          <cell r="CW142">
            <v>2</v>
          </cell>
          <cell r="CX142">
            <v>1</v>
          </cell>
        </row>
        <row r="143">
          <cell r="A143" t="str">
            <v>2367</v>
          </cell>
          <cell r="CW143">
            <v>2</v>
          </cell>
          <cell r="CX143">
            <v>1</v>
          </cell>
        </row>
        <row r="144">
          <cell r="A144" t="str">
            <v>17161</v>
          </cell>
          <cell r="CW144">
            <v>2</v>
          </cell>
          <cell r="CX144">
            <v>1</v>
          </cell>
        </row>
        <row r="145">
          <cell r="A145" t="str">
            <v>E-81481</v>
          </cell>
          <cell r="CW145">
            <v>2</v>
          </cell>
          <cell r="CX145">
            <v>1</v>
          </cell>
        </row>
        <row r="146">
          <cell r="A146" t="str">
            <v>SRG-10996</v>
          </cell>
          <cell r="CW146">
            <v>2</v>
          </cell>
          <cell r="CX146">
            <v>1</v>
          </cell>
        </row>
        <row r="147">
          <cell r="A147" t="str">
            <v>28934</v>
          </cell>
          <cell r="CW147">
            <v>2</v>
          </cell>
          <cell r="CX147">
            <v>1</v>
          </cell>
        </row>
        <row r="148">
          <cell r="A148" t="str">
            <v>2344</v>
          </cell>
          <cell r="CW148">
            <v>2</v>
          </cell>
          <cell r="CX148">
            <v>1</v>
          </cell>
        </row>
        <row r="149">
          <cell r="A149" t="str">
            <v>2316</v>
          </cell>
          <cell r="CW149">
            <v>2</v>
          </cell>
          <cell r="CX149">
            <v>1</v>
          </cell>
        </row>
        <row r="150">
          <cell r="A150" t="str">
            <v>29501</v>
          </cell>
          <cell r="CW150">
            <v>2</v>
          </cell>
          <cell r="CX150">
            <v>1</v>
          </cell>
        </row>
        <row r="151">
          <cell r="A151" t="str">
            <v>G-31111</v>
          </cell>
          <cell r="CW151">
            <v>2</v>
          </cell>
          <cell r="CX151">
            <v>1</v>
          </cell>
        </row>
        <row r="152">
          <cell r="A152" t="str">
            <v>22003</v>
          </cell>
          <cell r="CW152">
            <v>2</v>
          </cell>
          <cell r="CX152">
            <v>1</v>
          </cell>
        </row>
        <row r="153">
          <cell r="A153" t="str">
            <v>G-31871</v>
          </cell>
          <cell r="CW153">
            <v>2</v>
          </cell>
          <cell r="CX153">
            <v>1</v>
          </cell>
        </row>
        <row r="154">
          <cell r="A154" t="str">
            <v>VG-30221</v>
          </cell>
          <cell r="CW154">
            <v>2</v>
          </cell>
          <cell r="CX154">
            <v>1</v>
          </cell>
        </row>
        <row r="155">
          <cell r="A155" t="str">
            <v>2376</v>
          </cell>
          <cell r="CW155">
            <v>2</v>
          </cell>
          <cell r="CX155">
            <v>1</v>
          </cell>
        </row>
        <row r="156">
          <cell r="A156" t="str">
            <v>VG-30321</v>
          </cell>
          <cell r="CW156">
            <v>2</v>
          </cell>
          <cell r="CX156">
            <v>1</v>
          </cell>
        </row>
        <row r="157">
          <cell r="A157" t="str">
            <v>2380</v>
          </cell>
          <cell r="CW157">
            <v>2</v>
          </cell>
          <cell r="CX157">
            <v>1</v>
          </cell>
        </row>
        <row r="158">
          <cell r="A158" t="str">
            <v>VG-30651</v>
          </cell>
          <cell r="CW158">
            <v>2</v>
          </cell>
          <cell r="CX158">
            <v>1</v>
          </cell>
        </row>
        <row r="159">
          <cell r="A159" t="str">
            <v>IG-30003</v>
          </cell>
          <cell r="CW159">
            <v>2</v>
          </cell>
          <cell r="CX159">
            <v>1</v>
          </cell>
        </row>
        <row r="160">
          <cell r="A160" t="str">
            <v>29591</v>
          </cell>
          <cell r="CW160">
            <v>2</v>
          </cell>
          <cell r="CX160">
            <v>1</v>
          </cell>
        </row>
        <row r="161">
          <cell r="A161" t="str">
            <v>28013</v>
          </cell>
          <cell r="CW161">
            <v>2</v>
          </cell>
          <cell r="CX161">
            <v>1</v>
          </cell>
        </row>
        <row r="162">
          <cell r="A162" t="str">
            <v>2461</v>
          </cell>
          <cell r="CW162">
            <v>2</v>
          </cell>
          <cell r="CX162">
            <v>1</v>
          </cell>
        </row>
        <row r="163">
          <cell r="A163" t="str">
            <v>2317</v>
          </cell>
          <cell r="CW163">
            <v>2</v>
          </cell>
          <cell r="CX163">
            <v>1</v>
          </cell>
        </row>
        <row r="164">
          <cell r="A164" t="str">
            <v>VG-50454</v>
          </cell>
          <cell r="CW164">
            <v>2</v>
          </cell>
          <cell r="CX164">
            <v>1</v>
          </cell>
        </row>
        <row r="165">
          <cell r="A165" t="str">
            <v>2322</v>
          </cell>
          <cell r="CW165">
            <v>2</v>
          </cell>
          <cell r="CX165">
            <v>1</v>
          </cell>
        </row>
        <row r="166">
          <cell r="A166" t="str">
            <v>VG-50993</v>
          </cell>
          <cell r="CW166">
            <v>2</v>
          </cell>
          <cell r="CX166">
            <v>1</v>
          </cell>
        </row>
        <row r="167">
          <cell r="A167" t="str">
            <v>IG-40561</v>
          </cell>
          <cell r="CW167">
            <v>2</v>
          </cell>
          <cell r="CX167">
            <v>1</v>
          </cell>
        </row>
        <row r="168">
          <cell r="A168" t="str">
            <v>33014</v>
          </cell>
          <cell r="CW168">
            <v>2</v>
          </cell>
          <cell r="CX168">
            <v>1</v>
          </cell>
        </row>
        <row r="169">
          <cell r="A169" t="str">
            <v>2324</v>
          </cell>
          <cell r="CW169">
            <v>2</v>
          </cell>
          <cell r="CX169">
            <v>1</v>
          </cell>
        </row>
        <row r="170">
          <cell r="A170" t="str">
            <v>Total general</v>
          </cell>
          <cell r="CW170">
            <v>1199</v>
          </cell>
          <cell r="CX170">
            <v>98</v>
          </cell>
        </row>
      </sheetData>
      <sheetData sheetId="2"/>
      <sheetData sheetId="3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lia Karen Macias A" refreshedDate="46276.694743749998" createdVersion="8" refreshedVersion="8" minRefreshableVersion="3" recordCount="1277" xr:uid="{6A20FA01-C14F-4083-9E14-70B1C7B39744}">
  <cacheSource type="worksheet">
    <worksheetSource ref="A1:G1278" sheet="Sheet1"/>
  </cacheSource>
  <cacheFields count="7">
    <cacheField name="ID_CLIENTE" numFmtId="0">
      <sharedItems containsSemiMixedTypes="0" containsString="0" containsNumber="1" containsInteger="1" minValue="1001423" maxValue="1002656" count="131">
        <n v="1001423"/>
        <n v="1001441"/>
        <n v="1001446"/>
        <n v="1001448"/>
        <n v="1001456"/>
        <n v="1001467"/>
        <n v="1001492"/>
        <n v="1001512"/>
        <n v="1001514"/>
        <n v="1001515"/>
        <n v="1001521"/>
        <n v="1001564"/>
        <n v="1001569"/>
        <n v="1001574"/>
        <n v="1001578"/>
        <n v="1001582"/>
        <n v="1001588"/>
        <n v="1001594"/>
        <n v="1001595"/>
        <n v="1001599"/>
        <n v="1001600"/>
        <n v="1001608"/>
        <n v="1001609"/>
        <n v="1001611"/>
        <n v="1001615"/>
        <n v="1001626"/>
        <n v="1001630"/>
        <n v="1001631"/>
        <n v="1001637"/>
        <n v="1001640"/>
        <n v="1001641"/>
        <n v="1001648"/>
        <n v="1001649"/>
        <n v="1001696"/>
        <n v="1001703"/>
        <n v="1001706"/>
        <n v="1001709"/>
        <n v="1001714"/>
        <n v="1001717"/>
        <n v="1001720"/>
        <n v="1001734"/>
        <n v="1001742"/>
        <n v="1001765"/>
        <n v="1001767"/>
        <n v="1001772"/>
        <n v="1001784"/>
        <n v="1001792"/>
        <n v="1001793"/>
        <n v="1001804"/>
        <n v="1001808"/>
        <n v="1001818"/>
        <n v="1001843"/>
        <n v="1001844"/>
        <n v="1001848"/>
        <n v="1001849"/>
        <n v="1001852"/>
        <n v="1001858"/>
        <n v="1001859"/>
        <n v="1001871"/>
        <n v="1001883"/>
        <n v="1001884"/>
        <n v="1001896"/>
        <n v="1001900"/>
        <n v="1001914"/>
        <n v="1001919"/>
        <n v="1001949"/>
        <n v="1001981"/>
        <n v="1001983"/>
        <n v="1001999"/>
        <n v="1002001"/>
        <n v="1002005"/>
        <n v="1002010"/>
        <n v="1002048"/>
        <n v="1002058"/>
        <n v="1002063"/>
        <n v="1002093"/>
        <n v="1002094"/>
        <n v="1002103"/>
        <n v="1002105"/>
        <n v="1002109"/>
        <n v="1002125"/>
        <n v="1002129"/>
        <n v="1002134"/>
        <n v="1002136"/>
        <n v="1002146"/>
        <n v="1002148"/>
        <n v="1002150"/>
        <n v="1002154"/>
        <n v="1002159"/>
        <n v="1002161"/>
        <n v="1002162"/>
        <n v="1002170"/>
        <n v="1002189"/>
        <n v="1002196"/>
        <n v="1002201"/>
        <n v="1002208"/>
        <n v="1002209"/>
        <n v="1002232"/>
        <n v="1002239"/>
        <n v="1002241"/>
        <n v="1002246"/>
        <n v="1002262"/>
        <n v="1002283"/>
        <n v="1002309"/>
        <n v="1002321"/>
        <n v="1002348"/>
        <n v="1002356"/>
        <n v="1002372"/>
        <n v="1002385"/>
        <n v="1002399"/>
        <n v="1002400"/>
        <n v="1002421"/>
        <n v="1002422"/>
        <n v="1002425"/>
        <n v="1002433"/>
        <n v="1002441"/>
        <n v="1002459"/>
        <n v="1002502"/>
        <n v="1002514"/>
        <n v="1002521"/>
        <n v="1002542"/>
        <n v="1002549"/>
        <n v="1002551"/>
        <n v="1002559"/>
        <n v="1002562"/>
        <n v="1002575"/>
        <n v="1002581"/>
        <n v="1002583"/>
        <n v="1002617"/>
        <n v="1002644"/>
        <n v="1002656"/>
      </sharedItems>
    </cacheField>
    <cacheField name="FECHA_ALTA" numFmtId="164">
      <sharedItems containsSemiMixedTypes="0" containsNonDate="0" containsDate="1" containsString="0" minDate="2026-01-02T00:00:00" maxDate="2026-08-15T00:00:00"/>
    </cacheField>
    <cacheField name="FECHA_VENTA" numFmtId="164">
      <sharedItems containsSemiMixedTypes="0" containsNonDate="0" containsDate="1" containsString="0" minDate="2026-01-06T00:00:00" maxDate="2026-08-26T00:00:00"/>
    </cacheField>
    <cacheField name="DIAS_DESDE_ALTA" numFmtId="0">
      <sharedItems containsSemiMixedTypes="0" containsString="0" containsNumber="1" containsInteger="1" minValue="0" maxValue="30"/>
    </cacheField>
    <cacheField name="SKU" numFmtId="0">
      <sharedItems count="256">
        <s v="2398"/>
        <s v="2399"/>
        <s v="2451"/>
        <s v="2300"/>
        <s v="2301"/>
        <s v="2343"/>
        <s v="2344"/>
        <s v="2345"/>
        <s v="2390"/>
        <s v="2397"/>
        <s v="2454"/>
        <s v="2463"/>
        <s v="29595"/>
        <s v="29596"/>
        <s v="SRG-10005"/>
        <s v="SRG-10824"/>
        <s v="SRG-10995"/>
        <s v="VG-50001"/>
        <s v="28004"/>
        <s v="28584"/>
        <s v="28984"/>
        <s v="IG-30003"/>
        <s v="IG-30563"/>
        <s v="IG-50561"/>
        <s v="VG-30003"/>
        <s v="VG-50004"/>
        <s v="2393"/>
        <s v="28005"/>
        <s v="28153"/>
        <s v="28455"/>
        <s v="28586"/>
        <s v="28646"/>
        <s v="28934"/>
        <s v="28963"/>
        <s v="28964"/>
        <s v="28983"/>
        <s v="28985"/>
        <s v="29004"/>
        <s v="SRG-10983"/>
        <s v="28006"/>
        <s v="28583"/>
        <s v="SRG-10991"/>
        <s v="28014"/>
        <s v="28001"/>
        <s v="28003"/>
        <s v="28454"/>
        <s v="SRG-10001"/>
        <s v="SRG-10993"/>
        <s v="SRG-10004"/>
        <s v="79234"/>
        <s v="29012"/>
        <s v="28265"/>
        <s v="28575"/>
        <s v="2396"/>
        <s v="29501"/>
        <s v="29014"/>
        <s v="29024"/>
        <s v="28585"/>
        <s v="28935"/>
        <s v="28806"/>
        <s v="BAG-10886"/>
        <s v="BAG-10896"/>
        <s v="36091"/>
        <s v="VG-50261"/>
        <s v="VG-50751"/>
        <s v="36093"/>
        <s v="360-N"/>
        <s v="SRG-10003"/>
        <s v="VG-50991"/>
        <s v="BAG-10846"/>
        <s v="VG-50994"/>
        <s v="29505"/>
        <s v="29506"/>
        <s v="29594"/>
        <s v="29504"/>
        <s v="28986"/>
        <s v="IG-30001"/>
        <s v="IG-30561"/>
        <s v="IG-40001"/>
        <s v="IG-50001"/>
        <s v="28214"/>
        <s v="28916"/>
        <s v="28965"/>
        <s v="SRG-10996"/>
        <s v="VG-30004"/>
        <s v="SRG-10994"/>
        <s v="28915"/>
        <s v="29591"/>
        <s v="2315"/>
        <s v="29104"/>
        <s v="2366"/>
        <s v="2373"/>
        <s v="2381"/>
        <s v="9913"/>
        <s v="VG-30263"/>
        <s v="28154"/>
        <s v="BAG-10845"/>
        <s v="BAG-10885"/>
        <s v="VG-30001"/>
        <s v="28774"/>
        <s v="VG-30211"/>
        <s v="VG-50133"/>
        <s v="VG-50653"/>
        <s v="29384"/>
        <s v="29484"/>
        <s v="E-90191"/>
        <s v="PRG-10931"/>
        <s v="28913"/>
        <s v="VG-50211"/>
        <s v="28105"/>
        <s v="2358"/>
        <s v="VG-30751"/>
        <s v="IG-40561"/>
        <s v="G-31111"/>
        <s v="VG-50654"/>
        <s v="VG-50214"/>
        <s v="25003"/>
        <s v="ES-47024"/>
        <s v="28944"/>
        <s v="28894"/>
        <s v="28804"/>
        <s v="25483"/>
        <s v="25993"/>
        <s v="25963"/>
        <s v="70003"/>
        <s v="17163"/>
        <s v="22001"/>
        <s v="22003"/>
        <s v="22991"/>
        <s v="22994"/>
        <s v="34001"/>
        <s v="34003"/>
        <s v="R-32001"/>
        <s v="DESC_3PP"/>
        <s v="15934"/>
        <s v="28104"/>
        <s v="22993"/>
        <s v="22995"/>
        <s v="22931"/>
        <s v="2380"/>
        <s v="9184"/>
        <s v="10983"/>
        <s v="SRG-10453"/>
        <s v="9185"/>
        <s v="PRG-10934"/>
        <s v="76004"/>
        <s v="VG-30223"/>
        <s v="G-31103"/>
        <s v="G-31821"/>
        <s v="28015"/>
        <s v="SRG-10006"/>
        <s v="SRG-10984"/>
        <s v="SRG-11004"/>
        <s v="61200"/>
        <s v="VG-50013"/>
        <s v="VG-50683"/>
        <s v="VG-30221"/>
        <s v="VG-30321"/>
        <s v="VG-30611"/>
        <s v="VG-30651"/>
        <s v="28634"/>
        <s v="28654"/>
        <s v="28456"/>
        <s v="28936"/>
        <s v="VG-50014"/>
        <s v="BAG-10895"/>
        <s v="VG-50373"/>
        <s v="38061"/>
        <s v="38551"/>
        <s v="2322"/>
        <s v="2375"/>
        <s v="21003"/>
        <s v="21584"/>
        <s v="21644"/>
        <s v="21993"/>
        <s v="22005"/>
        <s v="22006"/>
        <s v="VG-50614"/>
        <s v="29284"/>
        <s v="2335"/>
        <s v="28574"/>
        <s v="28775"/>
        <s v="2364"/>
        <s v="28136"/>
        <s v="28266"/>
        <s v="28356"/>
        <s v="28656"/>
        <s v="BAG-10894"/>
        <s v="VG-50134"/>
        <s v="VG-50993"/>
        <s v="10641"/>
        <s v="VG-50011"/>
        <s v="VG-30213"/>
        <s v="VG-30014"/>
        <s v="19BYC"/>
        <s v="VG-30011"/>
        <s v="VG-30013"/>
        <s v="SRG-10134"/>
        <s v="SRG-10584"/>
        <s v="28644"/>
        <s v="BAG-10844"/>
        <s v="28914"/>
        <s v="61001"/>
        <s v="12774"/>
        <s v="13974"/>
        <s v="15344"/>
        <s v="61003"/>
        <s v="61202"/>
        <s v="BAG-10884"/>
        <s v="PRG-10563"/>
        <s v="PRG-10564"/>
        <s v="PRG-10933"/>
        <s v="61103"/>
        <s v="61101"/>
        <s v="KW2700"/>
        <s v="G-31813"/>
        <s v="G-31823"/>
        <s v="G-31873"/>
        <s v="G-31883"/>
        <s v="G-31893"/>
        <s v="G-31973"/>
        <s v="E-83251"/>
        <s v="E-81481"/>
        <s v="28655"/>
        <s v="28645"/>
        <s v="28016"/>
        <s v="28106"/>
        <s v="28445"/>
        <s v="28446"/>
        <s v="28565"/>
        <s v="28566"/>
        <s v="28635"/>
        <s v="28636"/>
        <s v="28755"/>
        <s v="28756"/>
        <s v="28933"/>
        <s v="28966"/>
        <s v="2367"/>
        <s v="29002"/>
        <s v="2324"/>
        <s v="VG-50354"/>
        <s v="VG-50454"/>
        <s v="VG-50534"/>
        <s v="VG-50734"/>
        <s v="21983"/>
        <s v="22643"/>
        <s v="28864"/>
        <s v="28884"/>
        <s v="33013"/>
        <s v="33014"/>
        <s v="21986"/>
        <s v="22004"/>
        <s v="15994"/>
        <s v="60364"/>
        <s v="60361"/>
        <s v="28034"/>
      </sharedItems>
    </cacheField>
    <cacheField name="DESCRIPCION" numFmtId="0">
      <sharedItems/>
    </cacheField>
    <cacheField name="PIEZAS" numFmtId="0">
      <sharedItems containsSemiMixedTypes="0" containsString="0" containsNumber="1" containsInteger="1" minValue="-2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7">
  <r>
    <x v="0"/>
    <d v="2026-01-02T00:00:00"/>
    <d v="2026-01-06T00:00:00"/>
    <n v="4"/>
    <x v="0"/>
    <s v="AEROSOL NEGRO MATE"/>
    <n v="6"/>
  </r>
  <r>
    <x v="0"/>
    <d v="2026-01-02T00:00:00"/>
    <d v="2026-01-09T00:00:00"/>
    <n v="7"/>
    <x v="1"/>
    <s v="AEROSOL NEGRO BRILLANTE"/>
    <n v="12"/>
  </r>
  <r>
    <x v="0"/>
    <d v="2026-01-02T00:00:00"/>
    <d v="2026-01-19T00:00:00"/>
    <n v="17"/>
    <x v="2"/>
    <s v="AEROSOL SUPER ORO"/>
    <n v="6"/>
  </r>
  <r>
    <x v="0"/>
    <d v="2026-01-02T00:00:00"/>
    <d v="2026-01-29T00:00:00"/>
    <n v="27"/>
    <x v="3"/>
    <s v="AEROSOL BLANCO BRILLANTE"/>
    <n v="3"/>
  </r>
  <r>
    <x v="0"/>
    <d v="2026-01-02T00:00:00"/>
    <d v="2026-01-29T00:00:00"/>
    <n v="27"/>
    <x v="4"/>
    <s v="AEROSOL BLANCO MATE"/>
    <n v="6"/>
  </r>
  <r>
    <x v="0"/>
    <d v="2026-01-02T00:00:00"/>
    <d v="2026-01-29T00:00:00"/>
    <n v="27"/>
    <x v="5"/>
    <s v="AEROSOL ROSA"/>
    <n v="3"/>
  </r>
  <r>
    <x v="0"/>
    <d v="2026-01-02T00:00:00"/>
    <d v="2026-01-29T00:00:00"/>
    <n v="27"/>
    <x v="6"/>
    <s v="AEROSOL MORADO"/>
    <n v="3"/>
  </r>
  <r>
    <x v="0"/>
    <d v="2026-01-02T00:00:00"/>
    <d v="2026-01-29T00:00:00"/>
    <n v="27"/>
    <x v="7"/>
    <s v="AEROSOL ROJO"/>
    <n v="3"/>
  </r>
  <r>
    <x v="0"/>
    <d v="2026-01-02T00:00:00"/>
    <d v="2026-01-29T00:00:00"/>
    <n v="27"/>
    <x v="8"/>
    <s v="AEROSOL ALUMINIO"/>
    <n v="3"/>
  </r>
  <r>
    <x v="0"/>
    <d v="2026-01-02T00:00:00"/>
    <d v="2026-01-29T00:00:00"/>
    <n v="27"/>
    <x v="9"/>
    <s v="AEROSOL  NEGRO SEMI BRILLANTE"/>
    <n v="3"/>
  </r>
  <r>
    <x v="0"/>
    <d v="2026-01-02T00:00:00"/>
    <d v="2026-01-29T00:00:00"/>
    <n v="27"/>
    <x v="0"/>
    <s v="AEROSOL NEGRO MATE"/>
    <n v="6"/>
  </r>
  <r>
    <x v="0"/>
    <d v="2026-01-02T00:00:00"/>
    <d v="2026-01-29T00:00:00"/>
    <n v="27"/>
    <x v="10"/>
    <s v="AEROSOL PRISA SUPER CROMO"/>
    <n v="3"/>
  </r>
  <r>
    <x v="0"/>
    <d v="2026-01-02T00:00:00"/>
    <d v="2026-01-29T00:00:00"/>
    <n v="27"/>
    <x v="11"/>
    <s v="AEROSOL AZUL METALICO"/>
    <n v="3"/>
  </r>
  <r>
    <x v="1"/>
    <d v="2026-01-05T00:00:00"/>
    <d v="2026-01-23T00:00:00"/>
    <n v="18"/>
    <x v="2"/>
    <s v="AEROSOL SUPER ORO"/>
    <n v="6"/>
  </r>
  <r>
    <x v="1"/>
    <d v="2026-01-05T00:00:00"/>
    <d v="2026-01-23T00:00:00"/>
    <n v="18"/>
    <x v="10"/>
    <s v="AEROSOL PRISA SUPER CROMO"/>
    <n v="6"/>
  </r>
  <r>
    <x v="1"/>
    <d v="2026-01-05T00:00:00"/>
    <d v="2026-01-23T00:00:00"/>
    <n v="18"/>
    <x v="11"/>
    <s v="AEROSOL AZUL METALICO"/>
    <n v="6"/>
  </r>
  <r>
    <x v="1"/>
    <d v="2026-01-05T00:00:00"/>
    <d v="2026-01-23T00:00:00"/>
    <n v="18"/>
    <x v="12"/>
    <s v="PULIMENTO ROJO MEDIANO TRIPOLI"/>
    <n v="3"/>
  </r>
  <r>
    <x v="1"/>
    <d v="2026-01-05T00:00:00"/>
    <d v="2026-01-23T00:00:00"/>
    <n v="18"/>
    <x v="13"/>
    <s v="PULIMENTO ROJO MEDIANO TRIPOLI"/>
    <n v="3"/>
  </r>
  <r>
    <x v="1"/>
    <d v="2026-01-05T00:00:00"/>
    <d v="2026-01-23T00:00:00"/>
    <n v="18"/>
    <x v="14"/>
    <s v="ESMALTE GLOSI SR BLANCO"/>
    <n v="3"/>
  </r>
  <r>
    <x v="1"/>
    <d v="2026-01-05T00:00:00"/>
    <d v="2026-01-23T00:00:00"/>
    <n v="18"/>
    <x v="15"/>
    <s v="ESMALTE GLOSI SR ALUMINIO"/>
    <n v="3"/>
  </r>
  <r>
    <x v="1"/>
    <d v="2026-01-05T00:00:00"/>
    <d v="2026-01-23T00:00:00"/>
    <n v="18"/>
    <x v="16"/>
    <s v="ESMALTE GLOSI SR NEGRO BRILLANTE"/>
    <n v="3"/>
  </r>
  <r>
    <x v="1"/>
    <d v="2026-01-05T00:00:00"/>
    <d v="2026-01-23T00:00:00"/>
    <n v="18"/>
    <x v="17"/>
    <s v="VINILICA GLOSI BLANCO 5A"/>
    <n v="1"/>
  </r>
  <r>
    <x v="2"/>
    <d v="2026-01-07T00:00:00"/>
    <d v="2026-01-22T00:00:00"/>
    <n v="15"/>
    <x v="18"/>
    <s v="ESMALTE BRILLON BLANCO"/>
    <n v="3"/>
  </r>
  <r>
    <x v="2"/>
    <d v="2026-01-07T00:00:00"/>
    <d v="2026-01-22T00:00:00"/>
    <n v="15"/>
    <x v="19"/>
    <s v="BRILLON CACAO"/>
    <n v="3"/>
  </r>
  <r>
    <x v="2"/>
    <d v="2026-01-07T00:00:00"/>
    <d v="2026-01-22T00:00:00"/>
    <n v="15"/>
    <x v="20"/>
    <s v="BRILLON NEGRO"/>
    <n v="3"/>
  </r>
  <r>
    <x v="2"/>
    <d v="2026-01-07T00:00:00"/>
    <d v="2026-01-22T00:00:00"/>
    <n v="15"/>
    <x v="21"/>
    <s v="IMPERGLOSI AGUACERO BLANCO 3A"/>
    <n v="1"/>
  </r>
  <r>
    <x v="2"/>
    <d v="2026-01-07T00:00:00"/>
    <d v="2026-01-22T00:00:00"/>
    <n v="15"/>
    <x v="22"/>
    <s v="IMPERGLOSI AGUACERO TERRACOTA 3A"/>
    <n v="1"/>
  </r>
  <r>
    <x v="2"/>
    <d v="2026-01-07T00:00:00"/>
    <d v="2026-01-22T00:00:00"/>
    <n v="15"/>
    <x v="23"/>
    <s v="IMPERGLOSI AGUACERO TERRACOTA 5A"/>
    <n v="1"/>
  </r>
  <r>
    <x v="2"/>
    <d v="2026-01-07T00:00:00"/>
    <d v="2026-01-22T00:00:00"/>
    <n v="15"/>
    <x v="24"/>
    <s v="VINILICA GLOSI BLANCO 3A"/>
    <n v="1"/>
  </r>
  <r>
    <x v="2"/>
    <d v="2026-01-07T00:00:00"/>
    <d v="2026-01-22T00:00:00"/>
    <n v="15"/>
    <x v="17"/>
    <s v="VINILICA GLOSI BLANCO 5A"/>
    <n v="1"/>
  </r>
  <r>
    <x v="2"/>
    <d v="2026-01-07T00:00:00"/>
    <d v="2026-01-22T00:00:00"/>
    <n v="15"/>
    <x v="25"/>
    <s v="VINILICA GLOSI BLANCO 5A"/>
    <n v="3"/>
  </r>
  <r>
    <x v="3"/>
    <d v="2026-01-07T00:00:00"/>
    <d v="2026-01-09T00:00:00"/>
    <n v="2"/>
    <x v="3"/>
    <s v="AEROSOL BLANCO BRILLANTE"/>
    <n v="6"/>
  </r>
  <r>
    <x v="3"/>
    <d v="2026-01-07T00:00:00"/>
    <d v="2026-01-09T00:00:00"/>
    <n v="2"/>
    <x v="4"/>
    <s v="AEROSOL BLANCO MATE"/>
    <n v="6"/>
  </r>
  <r>
    <x v="3"/>
    <d v="2026-01-07T00:00:00"/>
    <d v="2026-01-09T00:00:00"/>
    <n v="2"/>
    <x v="8"/>
    <s v="AEROSOL ALUMINIO"/>
    <n v="6"/>
  </r>
  <r>
    <x v="3"/>
    <d v="2026-01-07T00:00:00"/>
    <d v="2026-01-09T00:00:00"/>
    <n v="2"/>
    <x v="26"/>
    <s v="AEROSOL GRIS CLARO"/>
    <n v="6"/>
  </r>
  <r>
    <x v="3"/>
    <d v="2026-01-07T00:00:00"/>
    <d v="2026-01-09T00:00:00"/>
    <n v="2"/>
    <x v="0"/>
    <s v="AEROSOL NEGRO MATE"/>
    <n v="6"/>
  </r>
  <r>
    <x v="3"/>
    <d v="2026-01-07T00:00:00"/>
    <d v="2026-01-09T00:00:00"/>
    <n v="2"/>
    <x v="1"/>
    <s v="AEROSOL NEGRO BRILLANTE"/>
    <n v="6"/>
  </r>
  <r>
    <x v="3"/>
    <d v="2026-01-07T00:00:00"/>
    <d v="2026-01-29T00:00:00"/>
    <n v="22"/>
    <x v="8"/>
    <s v="AEROSOL ALUMINIO"/>
    <n v="6"/>
  </r>
  <r>
    <x v="3"/>
    <d v="2026-01-07T00:00:00"/>
    <d v="2026-01-29T00:00:00"/>
    <n v="22"/>
    <x v="1"/>
    <s v="AEROSOL NEGRO BRILLANTE"/>
    <n v="6"/>
  </r>
  <r>
    <x v="3"/>
    <d v="2026-01-07T00:00:00"/>
    <d v="2026-01-29T00:00:00"/>
    <n v="22"/>
    <x v="23"/>
    <s v="IMPERGLOSI AGUACERO TERRACOTA 5A"/>
    <n v="1"/>
  </r>
  <r>
    <x v="3"/>
    <d v="2026-01-07T00:00:00"/>
    <d v="2026-02-05T00:00:00"/>
    <n v="29"/>
    <x v="8"/>
    <s v="AEROSOL ALUMINIO"/>
    <n v="-6"/>
  </r>
  <r>
    <x v="3"/>
    <d v="2026-01-07T00:00:00"/>
    <d v="2026-02-05T00:00:00"/>
    <n v="29"/>
    <x v="1"/>
    <s v="AEROSOL NEGRO BRILLANTE"/>
    <n v="-6"/>
  </r>
  <r>
    <x v="3"/>
    <d v="2026-01-07T00:00:00"/>
    <d v="2026-02-05T00:00:00"/>
    <n v="29"/>
    <x v="23"/>
    <s v="IMPERGLOSI AGUACERO TERRACOTA 5A"/>
    <n v="-1"/>
  </r>
  <r>
    <x v="4"/>
    <d v="2026-01-08T00:00:00"/>
    <d v="2026-01-17T00:00:00"/>
    <n v="9"/>
    <x v="18"/>
    <s v="ESMALTE BRILLON BLANCO"/>
    <n v="12"/>
  </r>
  <r>
    <x v="4"/>
    <d v="2026-01-08T00:00:00"/>
    <d v="2026-01-17T00:00:00"/>
    <n v="9"/>
    <x v="27"/>
    <s v="BRILLON BLANCO"/>
    <n v="6"/>
  </r>
  <r>
    <x v="4"/>
    <d v="2026-01-08T00:00:00"/>
    <d v="2026-01-17T00:00:00"/>
    <n v="9"/>
    <x v="28"/>
    <s v="BRILLON AMARILLO MANGO"/>
    <n v="2"/>
  </r>
  <r>
    <x v="4"/>
    <d v="2026-01-08T00:00:00"/>
    <d v="2026-01-17T00:00:00"/>
    <n v="9"/>
    <x v="29"/>
    <s v="BRILLON SANDIA"/>
    <n v="6"/>
  </r>
  <r>
    <x v="4"/>
    <d v="2026-01-08T00:00:00"/>
    <d v="2026-01-17T00:00:00"/>
    <n v="9"/>
    <x v="30"/>
    <s v="BRILLON CACAO"/>
    <n v="6"/>
  </r>
  <r>
    <x v="4"/>
    <d v="2026-01-08T00:00:00"/>
    <d v="2026-01-17T00:00:00"/>
    <n v="9"/>
    <x v="31"/>
    <s v="BRILLON AZUL AGUA"/>
    <n v="6"/>
  </r>
  <r>
    <x v="4"/>
    <d v="2026-01-08T00:00:00"/>
    <d v="2026-01-17T00:00:00"/>
    <n v="9"/>
    <x v="32"/>
    <s v="BRILLON GRIS"/>
    <n v="6"/>
  </r>
  <r>
    <x v="4"/>
    <d v="2026-01-08T00:00:00"/>
    <d v="2026-01-17T00:00:00"/>
    <n v="9"/>
    <x v="33"/>
    <s v="BRILLON NEGRO MATE"/>
    <n v="4"/>
  </r>
  <r>
    <x v="4"/>
    <d v="2026-01-08T00:00:00"/>
    <d v="2026-01-17T00:00:00"/>
    <n v="9"/>
    <x v="34"/>
    <s v="BRILLON NEGRO MATE"/>
    <n v="6"/>
  </r>
  <r>
    <x v="4"/>
    <d v="2026-01-08T00:00:00"/>
    <d v="2026-01-17T00:00:00"/>
    <n v="9"/>
    <x v="35"/>
    <s v="BRILLON NEGRO"/>
    <n v="4"/>
  </r>
  <r>
    <x v="4"/>
    <d v="2026-01-08T00:00:00"/>
    <d v="2026-01-17T00:00:00"/>
    <n v="9"/>
    <x v="20"/>
    <s v="BRILLON NEGRO"/>
    <n v="6"/>
  </r>
  <r>
    <x v="4"/>
    <d v="2026-01-08T00:00:00"/>
    <d v="2026-01-17T00:00:00"/>
    <n v="9"/>
    <x v="36"/>
    <s v="BRILLON NEGRO"/>
    <n v="6"/>
  </r>
  <r>
    <x v="4"/>
    <d v="2026-01-08T00:00:00"/>
    <d v="2026-01-17T00:00:00"/>
    <n v="9"/>
    <x v="37"/>
    <s v="RELLENADOR AUTOMOTRIZ"/>
    <n v="6"/>
  </r>
  <r>
    <x v="4"/>
    <d v="2026-01-08T00:00:00"/>
    <d v="2026-01-17T00:00:00"/>
    <n v="9"/>
    <x v="38"/>
    <s v="ESMALTE GLOSI SR NEGRO MATE"/>
    <n v="4"/>
  </r>
  <r>
    <x v="4"/>
    <d v="2026-01-08T00:00:00"/>
    <d v="2026-01-24T00:00:00"/>
    <n v="16"/>
    <x v="39"/>
    <s v="BRILLON BLANCO"/>
    <n v="12"/>
  </r>
  <r>
    <x v="4"/>
    <d v="2026-01-08T00:00:00"/>
    <d v="2026-01-24T00:00:00"/>
    <n v="16"/>
    <x v="40"/>
    <s v="BRILLON CACAO"/>
    <n v="2"/>
  </r>
  <r>
    <x v="4"/>
    <d v="2026-01-08T00:00:00"/>
    <d v="2026-01-24T00:00:00"/>
    <n v="16"/>
    <x v="41"/>
    <s v="ESMALTE GLOSI SR NEGRO BRILLANTE"/>
    <n v="1"/>
  </r>
  <r>
    <x v="4"/>
    <d v="2026-01-08T00:00:00"/>
    <d v="2026-01-24T00:00:00"/>
    <n v="16"/>
    <x v="42"/>
    <s v="BRILLON BLANCO MATE"/>
    <n v="6"/>
  </r>
  <r>
    <x v="4"/>
    <d v="2026-01-08T00:00:00"/>
    <d v="2026-01-30T00:00:00"/>
    <n v="22"/>
    <x v="19"/>
    <s v="BRILLON CACAO"/>
    <n v="6"/>
  </r>
  <r>
    <x v="4"/>
    <d v="2026-01-08T00:00:00"/>
    <d v="2026-01-30T00:00:00"/>
    <n v="22"/>
    <x v="38"/>
    <s v="ESMALTE GLOSI SR NEGRO MATE"/>
    <n v="4"/>
  </r>
  <r>
    <x v="4"/>
    <d v="2026-01-08T00:00:00"/>
    <d v="2026-01-30T00:00:00"/>
    <n v="22"/>
    <x v="43"/>
    <s v="ESMALTE BRILLON BLANCO."/>
    <n v="1"/>
  </r>
  <r>
    <x v="4"/>
    <d v="2026-01-08T00:00:00"/>
    <d v="2026-01-30T00:00:00"/>
    <n v="22"/>
    <x v="44"/>
    <s v="ESMALTE BRILLON BLANCO."/>
    <n v="2"/>
  </r>
  <r>
    <x v="4"/>
    <d v="2026-01-08T00:00:00"/>
    <d v="2026-01-30T00:00:00"/>
    <n v="22"/>
    <x v="45"/>
    <s v="BRILLON SANDIA"/>
    <n v="6"/>
  </r>
  <r>
    <x v="4"/>
    <d v="2026-01-08T00:00:00"/>
    <d v="2026-01-30T00:00:00"/>
    <n v="22"/>
    <x v="40"/>
    <s v="BRILLON CACAO"/>
    <n v="2"/>
  </r>
  <r>
    <x v="4"/>
    <d v="2026-01-08T00:00:00"/>
    <d v="2026-01-30T00:00:00"/>
    <n v="22"/>
    <x v="20"/>
    <s v="BRILLON NEGRO"/>
    <n v="6"/>
  </r>
  <r>
    <x v="4"/>
    <d v="2026-01-08T00:00:00"/>
    <d v="2026-01-30T00:00:00"/>
    <n v="22"/>
    <x v="46"/>
    <s v="ESMALTE GLOSI SR BLANCO"/>
    <n v="1"/>
  </r>
  <r>
    <x v="4"/>
    <d v="2026-01-08T00:00:00"/>
    <d v="2026-01-30T00:00:00"/>
    <n v="22"/>
    <x v="38"/>
    <s v="ESMALTE GLOSI SR NEGRO MATE"/>
    <n v="6"/>
  </r>
  <r>
    <x v="4"/>
    <d v="2026-01-08T00:00:00"/>
    <d v="2026-01-30T00:00:00"/>
    <n v="22"/>
    <x v="47"/>
    <s v="ESMALTE GLOSI SR NEGRO BRILLANTE"/>
    <n v="6"/>
  </r>
  <r>
    <x v="4"/>
    <d v="2026-01-08T00:00:00"/>
    <d v="2026-01-30T00:00:00"/>
    <n v="22"/>
    <x v="48"/>
    <s v="ESMALTE GLOSI SR BLANCO"/>
    <n v="6"/>
  </r>
  <r>
    <x v="5"/>
    <d v="2026-01-14T00:00:00"/>
    <d v="2026-01-27T00:00:00"/>
    <n v="13"/>
    <x v="1"/>
    <s v="AEROSOL NEGRO BRILLANTE"/>
    <n v="6"/>
  </r>
  <r>
    <x v="5"/>
    <d v="2026-01-14T00:00:00"/>
    <d v="2026-01-27T00:00:00"/>
    <n v="13"/>
    <x v="27"/>
    <s v="BRILLON BLANCO"/>
    <n v="3"/>
  </r>
  <r>
    <x v="5"/>
    <d v="2026-01-14T00:00:00"/>
    <d v="2026-01-27T00:00:00"/>
    <n v="13"/>
    <x v="20"/>
    <s v="BRILLON NEGRO"/>
    <n v="3"/>
  </r>
  <r>
    <x v="6"/>
    <d v="2026-01-14T00:00:00"/>
    <d v="2026-01-23T00:00:00"/>
    <n v="9"/>
    <x v="49"/>
    <s v="SIAMIL ECONOMICO MI FL 20 KG"/>
    <n v="12"/>
  </r>
  <r>
    <x v="7"/>
    <d v="2026-01-14T00:00:00"/>
    <d v="2026-01-23T00:00:00"/>
    <n v="9"/>
    <x v="50"/>
    <s v="RELLENADOR AUTOMOTRIZ C/CATAL. ROJO"/>
    <n v="2"/>
  </r>
  <r>
    <x v="8"/>
    <d v="2026-01-15T00:00:00"/>
    <d v="2026-02-12T00:00:00"/>
    <n v="28"/>
    <x v="51"/>
    <s v="BRILLON CALABAZA"/>
    <n v="4"/>
  </r>
  <r>
    <x v="8"/>
    <d v="2026-01-15T00:00:00"/>
    <d v="2026-02-12T00:00:00"/>
    <n v="28"/>
    <x v="52"/>
    <s v="BRILLON CANELA"/>
    <n v="4"/>
  </r>
  <r>
    <x v="8"/>
    <d v="2026-01-15T00:00:00"/>
    <d v="2026-02-14T00:00:00"/>
    <n v="30"/>
    <x v="16"/>
    <s v="ESMALTE GLOSI SR NEGRO BRILLANTE"/>
    <n v="4"/>
  </r>
  <r>
    <x v="9"/>
    <d v="2026-01-15T00:00:00"/>
    <d v="2026-01-19T00:00:00"/>
    <n v="4"/>
    <x v="3"/>
    <s v="AEROSOL BLANCO BRILLANTE"/>
    <n v="6"/>
  </r>
  <r>
    <x v="9"/>
    <d v="2026-01-15T00:00:00"/>
    <d v="2026-01-19T00:00:00"/>
    <n v="4"/>
    <x v="53"/>
    <s v="AEROSOL NEGRO METALICO"/>
    <n v="6"/>
  </r>
  <r>
    <x v="9"/>
    <d v="2026-01-15T00:00:00"/>
    <d v="2026-01-19T00:00:00"/>
    <n v="4"/>
    <x v="1"/>
    <s v="AEROSOL NEGRO BRILLANTE"/>
    <n v="6"/>
  </r>
  <r>
    <x v="10"/>
    <d v="2026-01-16T00:00:00"/>
    <d v="2026-02-06T00:00:00"/>
    <n v="21"/>
    <x v="7"/>
    <s v="AEROSOL ROJO"/>
    <n v="6"/>
  </r>
  <r>
    <x v="10"/>
    <d v="2026-01-16T00:00:00"/>
    <d v="2026-02-06T00:00:00"/>
    <n v="21"/>
    <x v="11"/>
    <s v="AEROSOL AZUL METALICO"/>
    <n v="6"/>
  </r>
  <r>
    <x v="10"/>
    <d v="2026-01-16T00:00:00"/>
    <d v="2026-02-06T00:00:00"/>
    <n v="21"/>
    <x v="49"/>
    <s v="SIAMIL ECONOMICO MI FL 20 KG"/>
    <n v="1"/>
  </r>
  <r>
    <x v="10"/>
    <d v="2026-01-16T00:00:00"/>
    <d v="2026-02-06T00:00:00"/>
    <n v="21"/>
    <x v="3"/>
    <s v="AEROSOL BLANCO BRILLANTE"/>
    <n v="7"/>
  </r>
  <r>
    <x v="10"/>
    <d v="2026-01-16T00:00:00"/>
    <d v="2026-02-06T00:00:00"/>
    <n v="21"/>
    <x v="4"/>
    <s v="AEROSOL BLANCO MATE"/>
    <n v="7"/>
  </r>
  <r>
    <x v="10"/>
    <d v="2026-01-16T00:00:00"/>
    <d v="2026-02-06T00:00:00"/>
    <n v="21"/>
    <x v="9"/>
    <s v="AEROSOL  NEGRO SEMI BRILLANTE"/>
    <n v="7"/>
  </r>
  <r>
    <x v="10"/>
    <d v="2026-01-16T00:00:00"/>
    <d v="2026-02-06T00:00:00"/>
    <n v="21"/>
    <x v="0"/>
    <s v="AEROSOL NEGRO MATE"/>
    <n v="7"/>
  </r>
  <r>
    <x v="10"/>
    <d v="2026-01-16T00:00:00"/>
    <d v="2026-02-14T00:00:00"/>
    <n v="29"/>
    <x v="8"/>
    <s v="AEROSOL ALUMINIO"/>
    <n v="6"/>
  </r>
  <r>
    <x v="11"/>
    <d v="2026-01-27T00:00:00"/>
    <d v="2026-01-28T00:00:00"/>
    <n v="1"/>
    <x v="54"/>
    <s v="PULIMENTO BLANCO 1968"/>
    <n v="2"/>
  </r>
  <r>
    <x v="11"/>
    <d v="2026-01-27T00:00:00"/>
    <d v="2026-01-31T00:00:00"/>
    <n v="4"/>
    <x v="37"/>
    <s v="RELLENADOR AUTOMOTRIZ"/>
    <n v="12"/>
  </r>
  <r>
    <x v="11"/>
    <d v="2026-01-27T00:00:00"/>
    <d v="2026-02-20T00:00:00"/>
    <n v="24"/>
    <x v="55"/>
    <s v="RELLENADOR AUTOMOTRIZ C/CATAL. ROJO"/>
    <n v="6"/>
  </r>
  <r>
    <x v="11"/>
    <d v="2026-01-27T00:00:00"/>
    <d v="2026-02-20T00:00:00"/>
    <n v="24"/>
    <x v="56"/>
    <s v="PELO DE GATO"/>
    <n v="6"/>
  </r>
  <r>
    <x v="12"/>
    <d v="2026-01-28T00:00:00"/>
    <d v="2026-01-30T00:00:00"/>
    <n v="2"/>
    <x v="18"/>
    <s v="ESMALTE BRILLON BLANCO"/>
    <n v="3"/>
  </r>
  <r>
    <x v="12"/>
    <d v="2026-01-28T00:00:00"/>
    <d v="2026-01-30T00:00:00"/>
    <n v="2"/>
    <x v="27"/>
    <s v="BRILLON BLANCO"/>
    <n v="6"/>
  </r>
  <r>
    <x v="12"/>
    <d v="2026-01-28T00:00:00"/>
    <d v="2026-01-30T00:00:00"/>
    <n v="2"/>
    <x v="39"/>
    <s v="BRILLON BLANCO"/>
    <n v="6"/>
  </r>
  <r>
    <x v="12"/>
    <d v="2026-01-28T00:00:00"/>
    <d v="2026-01-30T00:00:00"/>
    <n v="2"/>
    <x v="57"/>
    <s v="BRILLON CACAO"/>
    <n v="3"/>
  </r>
  <r>
    <x v="12"/>
    <d v="2026-01-28T00:00:00"/>
    <d v="2026-01-30T00:00:00"/>
    <n v="2"/>
    <x v="58"/>
    <s v="BRILLON GRIS"/>
    <n v="3"/>
  </r>
  <r>
    <x v="12"/>
    <d v="2026-01-28T00:00:00"/>
    <d v="2026-01-30T00:00:00"/>
    <n v="2"/>
    <x v="20"/>
    <s v="BRILLON NEGRO"/>
    <n v="3"/>
  </r>
  <r>
    <x v="12"/>
    <d v="2026-01-28T00:00:00"/>
    <d v="2026-02-17T00:00:00"/>
    <n v="20"/>
    <x v="2"/>
    <s v="AEROSOL SUPER ORO"/>
    <n v="6"/>
  </r>
  <r>
    <x v="12"/>
    <d v="2026-01-28T00:00:00"/>
    <d v="2026-02-17T00:00:00"/>
    <n v="20"/>
    <x v="59"/>
    <s v="BARNIZ ALQ. TRANSP. NATURAL"/>
    <n v="6"/>
  </r>
  <r>
    <x v="12"/>
    <d v="2026-01-28T00:00:00"/>
    <d v="2026-02-17T00:00:00"/>
    <n v="20"/>
    <x v="60"/>
    <s v="BARNIZ GLOSI ALQUI CAOBA"/>
    <n v="3"/>
  </r>
  <r>
    <x v="12"/>
    <d v="2026-01-28T00:00:00"/>
    <d v="2026-02-17T00:00:00"/>
    <n v="20"/>
    <x v="61"/>
    <s v="BARNIZ GLOSI ALQUI NOGAL"/>
    <n v="3"/>
  </r>
  <r>
    <x v="13"/>
    <d v="2026-01-27T00:00:00"/>
    <d v="2026-01-29T00:00:00"/>
    <n v="2"/>
    <x v="27"/>
    <s v="BRILLON BLANCO"/>
    <n v="3"/>
  </r>
  <r>
    <x v="13"/>
    <d v="2026-01-27T00:00:00"/>
    <d v="2026-01-29T00:00:00"/>
    <n v="2"/>
    <x v="20"/>
    <s v="BRILLON NEGRO"/>
    <n v="3"/>
  </r>
  <r>
    <x v="13"/>
    <d v="2026-01-27T00:00:00"/>
    <d v="2026-01-29T00:00:00"/>
    <n v="2"/>
    <x v="49"/>
    <s v="SIAMIL ECONOMICO MI FL 20 KG"/>
    <n v="3"/>
  </r>
  <r>
    <x v="13"/>
    <d v="2026-01-27T00:00:00"/>
    <d v="2026-02-03T00:00:00"/>
    <n v="7"/>
    <x v="27"/>
    <s v="BRILLON BLANCO"/>
    <n v="-3"/>
  </r>
  <r>
    <x v="13"/>
    <d v="2026-01-27T00:00:00"/>
    <d v="2026-02-03T00:00:00"/>
    <n v="7"/>
    <x v="20"/>
    <s v="BRILLON NEGRO"/>
    <n v="-3"/>
  </r>
  <r>
    <x v="13"/>
    <d v="2026-01-27T00:00:00"/>
    <d v="2026-02-03T00:00:00"/>
    <n v="7"/>
    <x v="49"/>
    <s v="SIAMIL ECONOMICO MI FL 20 KG"/>
    <n v="-3"/>
  </r>
  <r>
    <x v="13"/>
    <d v="2026-01-27T00:00:00"/>
    <d v="2026-02-10T00:00:00"/>
    <n v="14"/>
    <x v="27"/>
    <s v="BRILLON BLANCO"/>
    <n v="3"/>
  </r>
  <r>
    <x v="13"/>
    <d v="2026-01-27T00:00:00"/>
    <d v="2026-02-10T00:00:00"/>
    <n v="14"/>
    <x v="36"/>
    <s v="BRILLON NEGRO"/>
    <n v="3"/>
  </r>
  <r>
    <x v="13"/>
    <d v="2026-01-27T00:00:00"/>
    <d v="2026-02-10T00:00:00"/>
    <n v="14"/>
    <x v="49"/>
    <s v="SIAMIL ECONOMICO MI FL 20 KG"/>
    <n v="3"/>
  </r>
  <r>
    <x v="13"/>
    <d v="2026-01-27T00:00:00"/>
    <d v="2026-02-20T00:00:00"/>
    <n v="24"/>
    <x v="20"/>
    <s v="BRILLON NEGRO"/>
    <n v="3"/>
  </r>
  <r>
    <x v="13"/>
    <d v="2026-01-27T00:00:00"/>
    <d v="2026-02-26T00:00:00"/>
    <n v="30"/>
    <x v="20"/>
    <s v="BRILLON NEGRO"/>
    <n v="-3"/>
  </r>
  <r>
    <x v="14"/>
    <d v="2026-01-27T00:00:00"/>
    <d v="2026-01-29T00:00:00"/>
    <n v="2"/>
    <x v="18"/>
    <s v="ESMALTE BRILLON BLANCO"/>
    <n v="6"/>
  </r>
  <r>
    <x v="14"/>
    <d v="2026-01-27T00:00:00"/>
    <d v="2026-01-29T00:00:00"/>
    <n v="2"/>
    <x v="42"/>
    <s v="BRILLON BLANCO MATE"/>
    <n v="6"/>
  </r>
  <r>
    <x v="14"/>
    <d v="2026-01-27T00:00:00"/>
    <d v="2026-01-29T00:00:00"/>
    <n v="2"/>
    <x v="20"/>
    <s v="BRILLON NEGRO"/>
    <n v="6"/>
  </r>
  <r>
    <x v="14"/>
    <d v="2026-01-27T00:00:00"/>
    <d v="2026-01-29T00:00:00"/>
    <n v="2"/>
    <x v="62"/>
    <s v="PEGAMENTO / SELLADOR"/>
    <n v="2"/>
  </r>
  <r>
    <x v="14"/>
    <d v="2026-01-27T00:00:00"/>
    <d v="2026-02-17T00:00:00"/>
    <n v="21"/>
    <x v="17"/>
    <s v="VINILICA GLOSI BLANCO 5A"/>
    <n v="9"/>
  </r>
  <r>
    <x v="14"/>
    <d v="2026-01-27T00:00:00"/>
    <d v="2026-02-17T00:00:00"/>
    <n v="21"/>
    <x v="63"/>
    <s v="VINILICA GLOSI OCRE 5A"/>
    <n v="1"/>
  </r>
  <r>
    <x v="14"/>
    <d v="2026-01-27T00:00:00"/>
    <d v="2026-02-17T00:00:00"/>
    <n v="21"/>
    <x v="64"/>
    <s v="VINILICA GLOSI VERDE 5A"/>
    <n v="1"/>
  </r>
  <r>
    <x v="14"/>
    <d v="2026-01-27T00:00:00"/>
    <d v="2026-02-19T00:00:00"/>
    <n v="23"/>
    <x v="55"/>
    <s v="RELLENADOR AUTOMOTRIZ C/CATAL. ROJO"/>
    <n v="12"/>
  </r>
  <r>
    <x v="14"/>
    <d v="2026-01-27T00:00:00"/>
    <d v="2026-02-19T00:00:00"/>
    <n v="23"/>
    <x v="65"/>
    <s v="PEGAMENTO / SELLADOR"/>
    <n v="6"/>
  </r>
  <r>
    <x v="14"/>
    <d v="2026-01-27T00:00:00"/>
    <d v="2026-02-19T00:00:00"/>
    <n v="23"/>
    <x v="66"/>
    <s v="COLADOR DE PAPEL -SIGLO-"/>
    <n v="100"/>
  </r>
  <r>
    <x v="14"/>
    <d v="2026-01-27T00:00:00"/>
    <d v="2026-02-19T00:00:00"/>
    <n v="23"/>
    <x v="67"/>
    <s v="ESMALTE GLOSI SR BLANCO"/>
    <n v="2"/>
  </r>
  <r>
    <x v="14"/>
    <d v="2026-01-27T00:00:00"/>
    <d v="2026-02-19T00:00:00"/>
    <n v="23"/>
    <x v="17"/>
    <s v="VINILICA GLOSI BLANCO 5A"/>
    <n v="3"/>
  </r>
  <r>
    <x v="14"/>
    <d v="2026-01-27T00:00:00"/>
    <d v="2026-02-19T00:00:00"/>
    <n v="23"/>
    <x v="68"/>
    <s v="VINILICA GLOSI NEGRO 5A"/>
    <n v="1"/>
  </r>
  <r>
    <x v="14"/>
    <d v="2026-01-27T00:00:00"/>
    <d v="2026-02-26T00:00:00"/>
    <n v="30"/>
    <x v="18"/>
    <s v="ESMALTE BRILLON BLANCO"/>
    <n v="12"/>
  </r>
  <r>
    <x v="15"/>
    <d v="2026-01-28T00:00:00"/>
    <d v="2026-02-14T00:00:00"/>
    <n v="17"/>
    <x v="3"/>
    <s v="AEROSOL BLANCO BRILLANTE"/>
    <n v="12"/>
  </r>
  <r>
    <x v="15"/>
    <d v="2026-01-28T00:00:00"/>
    <d v="2026-02-14T00:00:00"/>
    <n v="17"/>
    <x v="7"/>
    <s v="AEROSOL ROJO"/>
    <n v="6"/>
  </r>
  <r>
    <x v="15"/>
    <d v="2026-01-28T00:00:00"/>
    <d v="2026-02-14T00:00:00"/>
    <n v="17"/>
    <x v="26"/>
    <s v="AEROSOL GRIS CLARO"/>
    <n v="6"/>
  </r>
  <r>
    <x v="15"/>
    <d v="2026-01-28T00:00:00"/>
    <d v="2026-02-14T00:00:00"/>
    <n v="17"/>
    <x v="69"/>
    <s v="BARNIZ GLOSI ALQUI CEDRO"/>
    <n v="6"/>
  </r>
  <r>
    <x v="15"/>
    <d v="2026-01-28T00:00:00"/>
    <d v="2026-02-14T00:00:00"/>
    <n v="17"/>
    <x v="60"/>
    <s v="BARNIZ GLOSI ALQUI CAOBA"/>
    <n v="3"/>
  </r>
  <r>
    <x v="15"/>
    <d v="2026-01-28T00:00:00"/>
    <d v="2026-02-14T00:00:00"/>
    <n v="17"/>
    <x v="61"/>
    <s v="BARNIZ GLOSI ALQUI NOGAL"/>
    <n v="3"/>
  </r>
  <r>
    <x v="15"/>
    <d v="2026-01-28T00:00:00"/>
    <d v="2026-02-14T00:00:00"/>
    <n v="17"/>
    <x v="25"/>
    <s v="VINILICA GLOSI BLANCO 5A"/>
    <n v="6"/>
  </r>
  <r>
    <x v="15"/>
    <d v="2026-01-28T00:00:00"/>
    <d v="2026-02-14T00:00:00"/>
    <n v="17"/>
    <x v="70"/>
    <s v="VINILICA GLOSI NEGRO 5A"/>
    <n v="6"/>
  </r>
  <r>
    <x v="16"/>
    <d v="2026-01-29T00:00:00"/>
    <d v="2026-02-04T00:00:00"/>
    <n v="6"/>
    <x v="71"/>
    <s v="PULIMENTO BLANCO 1968"/>
    <n v="4"/>
  </r>
  <r>
    <x v="16"/>
    <d v="2026-01-29T00:00:00"/>
    <d v="2026-02-04T00:00:00"/>
    <n v="6"/>
    <x v="72"/>
    <s v="PULIMENTO BLANCO 1968"/>
    <n v="3"/>
  </r>
  <r>
    <x v="16"/>
    <d v="2026-01-29T00:00:00"/>
    <d v="2026-02-04T00:00:00"/>
    <n v="6"/>
    <x v="73"/>
    <s v="PULIMENTO ROJO MEDIANO TRIPOLI"/>
    <n v="2"/>
  </r>
  <r>
    <x v="16"/>
    <d v="2026-01-29T00:00:00"/>
    <d v="2026-02-04T00:00:00"/>
    <n v="6"/>
    <x v="12"/>
    <s v="PULIMENTO ROJO MEDIANO TRIPOLI"/>
    <n v="4"/>
  </r>
  <r>
    <x v="16"/>
    <d v="2026-01-29T00:00:00"/>
    <d v="2026-02-04T00:00:00"/>
    <n v="6"/>
    <x v="13"/>
    <s v="PULIMENTO ROJO MEDIANO TRIPOLI"/>
    <n v="5"/>
  </r>
  <r>
    <x v="16"/>
    <d v="2026-01-29T00:00:00"/>
    <d v="2026-02-09T00:00:00"/>
    <n v="11"/>
    <x v="74"/>
    <s v="PULIMENTO BLANCO 1968"/>
    <n v="2"/>
  </r>
  <r>
    <x v="17"/>
    <d v="2026-01-29T00:00:00"/>
    <d v="2026-01-31T00:00:00"/>
    <n v="2"/>
    <x v="18"/>
    <s v="ESMALTE BRILLON BLANCO"/>
    <n v="3"/>
  </r>
  <r>
    <x v="17"/>
    <d v="2026-01-29T00:00:00"/>
    <d v="2026-01-31T00:00:00"/>
    <n v="2"/>
    <x v="27"/>
    <s v="BRILLON BLANCO"/>
    <n v="3"/>
  </r>
  <r>
    <x v="17"/>
    <d v="2026-01-29T00:00:00"/>
    <d v="2026-01-31T00:00:00"/>
    <n v="2"/>
    <x v="39"/>
    <s v="BRILLON BLANCO"/>
    <n v="6"/>
  </r>
  <r>
    <x v="17"/>
    <d v="2026-01-29T00:00:00"/>
    <d v="2026-01-31T00:00:00"/>
    <n v="2"/>
    <x v="19"/>
    <s v="BRILLON CACAO"/>
    <n v="3"/>
  </r>
  <r>
    <x v="17"/>
    <d v="2026-01-29T00:00:00"/>
    <d v="2026-01-31T00:00:00"/>
    <n v="2"/>
    <x v="57"/>
    <s v="BRILLON CACAO"/>
    <n v="3"/>
  </r>
  <r>
    <x v="17"/>
    <d v="2026-01-29T00:00:00"/>
    <d v="2026-01-31T00:00:00"/>
    <n v="2"/>
    <x v="30"/>
    <s v="BRILLON CACAO"/>
    <n v="6"/>
  </r>
  <r>
    <x v="17"/>
    <d v="2026-01-29T00:00:00"/>
    <d v="2026-01-31T00:00:00"/>
    <n v="2"/>
    <x v="20"/>
    <s v="BRILLON NEGRO"/>
    <n v="3"/>
  </r>
  <r>
    <x v="17"/>
    <d v="2026-01-29T00:00:00"/>
    <d v="2026-01-31T00:00:00"/>
    <n v="2"/>
    <x v="55"/>
    <s v="RELLENADOR AUTOMOTRIZ C/CATAL. ROJO"/>
    <n v="4"/>
  </r>
  <r>
    <x v="17"/>
    <d v="2026-01-29T00:00:00"/>
    <d v="2026-02-06T00:00:00"/>
    <n v="8"/>
    <x v="36"/>
    <s v="BRILLON NEGRO"/>
    <n v="3"/>
  </r>
  <r>
    <x v="17"/>
    <d v="2026-01-29T00:00:00"/>
    <d v="2026-02-06T00:00:00"/>
    <n v="8"/>
    <x v="75"/>
    <s v="BRILLON NEGRO"/>
    <n v="6"/>
  </r>
  <r>
    <x v="17"/>
    <d v="2026-01-29T00:00:00"/>
    <d v="2026-02-11T00:00:00"/>
    <n v="13"/>
    <x v="76"/>
    <s v="IMPERGLOSI AGUACERO BLANCO 3A"/>
    <n v="2"/>
  </r>
  <r>
    <x v="17"/>
    <d v="2026-01-29T00:00:00"/>
    <d v="2026-02-11T00:00:00"/>
    <n v="13"/>
    <x v="77"/>
    <s v="IMPERGLOSI AGUACERO TERRACOTA 3A"/>
    <n v="2"/>
  </r>
  <r>
    <x v="17"/>
    <d v="2026-01-29T00:00:00"/>
    <d v="2026-02-11T00:00:00"/>
    <n v="13"/>
    <x v="78"/>
    <s v="AGUACERO 4A BLANCO FIBRATADO"/>
    <n v="1"/>
  </r>
  <r>
    <x v="17"/>
    <d v="2026-01-29T00:00:00"/>
    <d v="2026-02-11T00:00:00"/>
    <n v="13"/>
    <x v="79"/>
    <s v="IMPERGLOSI AGUACERO BLANCO 5A"/>
    <n v="1"/>
  </r>
  <r>
    <x v="18"/>
    <d v="2026-01-30T00:00:00"/>
    <d v="2026-02-04T00:00:00"/>
    <n v="5"/>
    <x v="49"/>
    <s v="SIAMIL ECONOMICO MI FL 20 KG"/>
    <n v="2"/>
  </r>
  <r>
    <x v="18"/>
    <d v="2026-01-30T00:00:00"/>
    <d v="2026-02-04T00:00:00"/>
    <n v="5"/>
    <x v="80"/>
    <s v="BRILLON GUAYABA"/>
    <n v="6"/>
  </r>
  <r>
    <x v="18"/>
    <d v="2026-01-30T00:00:00"/>
    <d v="2026-02-04T00:00:00"/>
    <n v="5"/>
    <x v="81"/>
    <s v="BRILLON DORADO"/>
    <n v="6"/>
  </r>
  <r>
    <x v="18"/>
    <d v="2026-01-30T00:00:00"/>
    <d v="2026-02-04T00:00:00"/>
    <n v="5"/>
    <x v="34"/>
    <s v="BRILLON NEGRO MATE"/>
    <n v="1"/>
  </r>
  <r>
    <x v="18"/>
    <d v="2026-01-30T00:00:00"/>
    <d v="2026-02-04T00:00:00"/>
    <n v="5"/>
    <x v="82"/>
    <s v="BRILLON NEGRO MATE"/>
    <n v="3"/>
  </r>
  <r>
    <x v="18"/>
    <d v="2026-01-30T00:00:00"/>
    <d v="2026-02-04T00:00:00"/>
    <n v="5"/>
    <x v="20"/>
    <s v="BRILLON NEGRO"/>
    <n v="3"/>
  </r>
  <r>
    <x v="18"/>
    <d v="2026-01-30T00:00:00"/>
    <d v="2026-02-13T00:00:00"/>
    <n v="14"/>
    <x v="27"/>
    <s v="BRILLON BLANCO"/>
    <n v="12"/>
  </r>
  <r>
    <x v="18"/>
    <d v="2026-01-30T00:00:00"/>
    <d v="2026-02-14T00:00:00"/>
    <n v="15"/>
    <x v="77"/>
    <s v="IMPERGLOSI AGUACERO TERRACOTA 3A"/>
    <n v="6"/>
  </r>
  <r>
    <x v="18"/>
    <d v="2026-01-30T00:00:00"/>
    <d v="2026-02-20T00:00:00"/>
    <n v="21"/>
    <x v="27"/>
    <s v="BRILLON BLANCO"/>
    <n v="6"/>
  </r>
  <r>
    <x v="18"/>
    <d v="2026-01-30T00:00:00"/>
    <d v="2026-02-20T00:00:00"/>
    <n v="21"/>
    <x v="36"/>
    <s v="BRILLON NEGRO"/>
    <n v="6"/>
  </r>
  <r>
    <x v="18"/>
    <d v="2026-01-30T00:00:00"/>
    <d v="2026-02-20T00:00:00"/>
    <n v="21"/>
    <x v="20"/>
    <s v="BRILLON NEGRO"/>
    <n v="6"/>
  </r>
  <r>
    <x v="18"/>
    <d v="2026-01-30T00:00:00"/>
    <d v="2026-02-24T00:00:00"/>
    <n v="25"/>
    <x v="34"/>
    <s v="BRILLON NEGRO MATE"/>
    <n v="2"/>
  </r>
  <r>
    <x v="18"/>
    <d v="2026-01-30T00:00:00"/>
    <d v="2026-02-25T00:00:00"/>
    <n v="26"/>
    <x v="18"/>
    <s v="ESMALTE BRILLON BLANCO"/>
    <n v="6"/>
  </r>
  <r>
    <x v="19"/>
    <d v="2026-01-30T00:00:00"/>
    <d v="2026-02-18T00:00:00"/>
    <n v="19"/>
    <x v="81"/>
    <s v="BRILLON DORADO"/>
    <n v="6"/>
  </r>
  <r>
    <x v="19"/>
    <d v="2026-01-30T00:00:00"/>
    <d v="2026-02-18T00:00:00"/>
    <n v="19"/>
    <x v="36"/>
    <s v="BRILLON NEGRO"/>
    <n v="6"/>
  </r>
  <r>
    <x v="19"/>
    <d v="2026-01-30T00:00:00"/>
    <d v="2026-02-18T00:00:00"/>
    <n v="19"/>
    <x v="75"/>
    <s v="BRILLON NEGRO"/>
    <n v="12"/>
  </r>
  <r>
    <x v="19"/>
    <d v="2026-01-30T00:00:00"/>
    <d v="2026-02-18T00:00:00"/>
    <n v="19"/>
    <x v="48"/>
    <s v="ESMALTE GLOSI SR BLANCO"/>
    <n v="6"/>
  </r>
  <r>
    <x v="19"/>
    <d v="2026-01-30T00:00:00"/>
    <d v="2026-02-18T00:00:00"/>
    <n v="19"/>
    <x v="14"/>
    <s v="ESMALTE GLOSI SR BLANCO"/>
    <n v="6"/>
  </r>
  <r>
    <x v="19"/>
    <d v="2026-01-30T00:00:00"/>
    <d v="2026-02-18T00:00:00"/>
    <n v="19"/>
    <x v="83"/>
    <s v="ESMALTE GLOSI SR NEGRO BRILLANTE"/>
    <n v="6"/>
  </r>
  <r>
    <x v="19"/>
    <d v="2026-01-30T00:00:00"/>
    <d v="2026-02-18T00:00:00"/>
    <n v="19"/>
    <x v="84"/>
    <s v="VINILICA GLOSI BLANCO 3A"/>
    <n v="12"/>
  </r>
  <r>
    <x v="19"/>
    <d v="2026-01-30T00:00:00"/>
    <d v="2026-02-18T00:00:00"/>
    <n v="19"/>
    <x v="27"/>
    <s v="BRILLON BLANCO"/>
    <n v="6"/>
  </r>
  <r>
    <x v="19"/>
    <d v="2026-01-30T00:00:00"/>
    <d v="2026-02-18T00:00:00"/>
    <n v="19"/>
    <x v="39"/>
    <s v="BRILLON BLANCO"/>
    <n v="6"/>
  </r>
  <r>
    <x v="19"/>
    <d v="2026-01-30T00:00:00"/>
    <d v="2026-02-18T00:00:00"/>
    <n v="19"/>
    <x v="85"/>
    <s v="ESMALTE GLOSI SR NEGRO BRILLANTE"/>
    <n v="6"/>
  </r>
  <r>
    <x v="19"/>
    <d v="2026-01-30T00:00:00"/>
    <d v="2026-02-25T00:00:00"/>
    <n v="26"/>
    <x v="20"/>
    <s v="BRILLON NEGRO"/>
    <n v="6"/>
  </r>
  <r>
    <x v="19"/>
    <d v="2026-01-30T00:00:00"/>
    <d v="2026-02-25T00:00:00"/>
    <n v="26"/>
    <x v="18"/>
    <s v="ESMALTE BRILLON BLANCO"/>
    <n v="6"/>
  </r>
  <r>
    <x v="20"/>
    <d v="2026-01-30T00:00:00"/>
    <d v="2026-01-31T00:00:00"/>
    <n v="1"/>
    <x v="27"/>
    <s v="BRILLON BLANCO"/>
    <n v="3"/>
  </r>
  <r>
    <x v="20"/>
    <d v="2026-01-30T00:00:00"/>
    <d v="2026-01-31T00:00:00"/>
    <n v="1"/>
    <x v="39"/>
    <s v="BRILLON BLANCO"/>
    <n v="6"/>
  </r>
  <r>
    <x v="20"/>
    <d v="2026-01-30T00:00:00"/>
    <d v="2026-01-31T00:00:00"/>
    <n v="1"/>
    <x v="59"/>
    <s v="BARNIZ ALQ. TRANSP. NATURAL"/>
    <n v="6"/>
  </r>
  <r>
    <x v="20"/>
    <d v="2026-01-30T00:00:00"/>
    <d v="2026-01-31T00:00:00"/>
    <n v="1"/>
    <x v="27"/>
    <s v="BRILLON BLANCO"/>
    <n v="-3"/>
  </r>
  <r>
    <x v="20"/>
    <d v="2026-01-30T00:00:00"/>
    <d v="2026-01-31T00:00:00"/>
    <n v="1"/>
    <x v="39"/>
    <s v="BRILLON BLANCO"/>
    <n v="-6"/>
  </r>
  <r>
    <x v="20"/>
    <d v="2026-01-30T00:00:00"/>
    <d v="2026-01-31T00:00:00"/>
    <n v="1"/>
    <x v="59"/>
    <s v="BARNIZ ALQ. TRANSP. NATURAL"/>
    <n v="-6"/>
  </r>
  <r>
    <x v="20"/>
    <d v="2026-01-30T00:00:00"/>
    <d v="2026-02-04T00:00:00"/>
    <n v="5"/>
    <x v="27"/>
    <s v="BRILLON BLANCO"/>
    <n v="3"/>
  </r>
  <r>
    <x v="20"/>
    <d v="2026-01-30T00:00:00"/>
    <d v="2026-02-04T00:00:00"/>
    <n v="5"/>
    <x v="39"/>
    <s v="BRILLON BLANCO"/>
    <n v="6"/>
  </r>
  <r>
    <x v="20"/>
    <d v="2026-01-30T00:00:00"/>
    <d v="2026-02-04T00:00:00"/>
    <n v="5"/>
    <x v="59"/>
    <s v="BARNIZ ALQ. TRANSP. NATURAL"/>
    <n v="6"/>
  </r>
  <r>
    <x v="20"/>
    <d v="2026-01-30T00:00:00"/>
    <d v="2026-02-07T00:00:00"/>
    <n v="8"/>
    <x v="36"/>
    <s v="BRILLON NEGRO"/>
    <n v="3"/>
  </r>
  <r>
    <x v="20"/>
    <d v="2026-01-30T00:00:00"/>
    <d v="2026-02-07T00:00:00"/>
    <n v="8"/>
    <x v="75"/>
    <s v="BRILLON NEGRO"/>
    <n v="6"/>
  </r>
  <r>
    <x v="20"/>
    <d v="2026-01-30T00:00:00"/>
    <d v="2026-02-17T00:00:00"/>
    <n v="18"/>
    <x v="27"/>
    <s v="BRILLON BLANCO"/>
    <n v="3"/>
  </r>
  <r>
    <x v="20"/>
    <d v="2026-01-30T00:00:00"/>
    <d v="2026-02-17T00:00:00"/>
    <n v="18"/>
    <x v="86"/>
    <s v="BRILLON DORADO"/>
    <n v="3"/>
  </r>
  <r>
    <x v="20"/>
    <d v="2026-01-30T00:00:00"/>
    <d v="2026-02-21T00:00:00"/>
    <n v="22"/>
    <x v="20"/>
    <s v="BRILLON NEGRO"/>
    <n v="3"/>
  </r>
  <r>
    <x v="20"/>
    <d v="2026-01-30T00:00:00"/>
    <d v="2026-02-26T00:00:00"/>
    <n v="27"/>
    <x v="18"/>
    <s v="ESMALTE BRILLON BLANCO"/>
    <n v="3"/>
  </r>
  <r>
    <x v="21"/>
    <d v="2026-02-05T00:00:00"/>
    <d v="2026-02-24T00:00:00"/>
    <n v="19"/>
    <x v="87"/>
    <s v="PULIMENTO ROJO MEDIANO TRIPOLI"/>
    <n v="1"/>
  </r>
  <r>
    <x v="21"/>
    <d v="2026-02-05T00:00:00"/>
    <d v="2026-02-27T00:00:00"/>
    <n v="22"/>
    <x v="54"/>
    <s v="PULIMENTO BLANCO 1968"/>
    <n v="1"/>
  </r>
  <r>
    <x v="21"/>
    <d v="2026-02-05T00:00:00"/>
    <d v="2026-03-04T00:00:00"/>
    <n v="27"/>
    <x v="87"/>
    <s v="PULIMENTO ROJO MEDIANO TRIPOLI"/>
    <n v="-1"/>
  </r>
  <r>
    <x v="22"/>
    <d v="2026-02-05T00:00:00"/>
    <d v="2026-02-10T00:00:00"/>
    <n v="5"/>
    <x v="3"/>
    <s v="AEROSOL BLANCO BRILLANTE"/>
    <n v="12"/>
  </r>
  <r>
    <x v="22"/>
    <d v="2026-02-05T00:00:00"/>
    <d v="2026-02-10T00:00:00"/>
    <n v="5"/>
    <x v="88"/>
    <s v="AEROSOL AMARILLO"/>
    <n v="6"/>
  </r>
  <r>
    <x v="22"/>
    <d v="2026-02-05T00:00:00"/>
    <d v="2026-02-10T00:00:00"/>
    <n v="5"/>
    <x v="7"/>
    <s v="AEROSOL ROJO"/>
    <n v="6"/>
  </r>
  <r>
    <x v="22"/>
    <d v="2026-02-05T00:00:00"/>
    <d v="2026-02-10T00:00:00"/>
    <n v="5"/>
    <x v="26"/>
    <s v="AEROSOL GRIS CLARO"/>
    <n v="6"/>
  </r>
  <r>
    <x v="22"/>
    <d v="2026-02-05T00:00:00"/>
    <d v="2026-02-10T00:00:00"/>
    <n v="5"/>
    <x v="89"/>
    <s v="REMOVEDOR DE PINTURA"/>
    <n v="6"/>
  </r>
  <r>
    <x v="22"/>
    <d v="2026-02-05T00:00:00"/>
    <d v="2026-02-17T00:00:00"/>
    <n v="12"/>
    <x v="48"/>
    <s v="ESMALTE GLOSI SR BLANCO"/>
    <n v="6"/>
  </r>
  <r>
    <x v="22"/>
    <d v="2026-02-05T00:00:00"/>
    <d v="2026-02-25T00:00:00"/>
    <n v="20"/>
    <x v="1"/>
    <s v="AEROSOL NEGRO BRILLANTE"/>
    <n v="12"/>
  </r>
  <r>
    <x v="23"/>
    <d v="2026-01-31T00:00:00"/>
    <d v="2026-02-04T00:00:00"/>
    <n v="4"/>
    <x v="1"/>
    <s v="AEROSOL NEGRO BRILLANTE"/>
    <n v="6"/>
  </r>
  <r>
    <x v="23"/>
    <d v="2026-01-31T00:00:00"/>
    <d v="2026-02-04T00:00:00"/>
    <n v="4"/>
    <x v="3"/>
    <s v="AEROSOL BLANCO BRILLANTE"/>
    <n v="6"/>
  </r>
  <r>
    <x v="23"/>
    <d v="2026-01-31T00:00:00"/>
    <d v="2026-02-04T00:00:00"/>
    <n v="4"/>
    <x v="7"/>
    <s v="AEROSOL ROJO"/>
    <n v="6"/>
  </r>
  <r>
    <x v="23"/>
    <d v="2026-01-31T00:00:00"/>
    <d v="2026-02-04T00:00:00"/>
    <n v="4"/>
    <x v="9"/>
    <s v="AEROSOL  NEGRO SEMI BRILLANTE"/>
    <n v="6"/>
  </r>
  <r>
    <x v="23"/>
    <d v="2026-01-31T00:00:00"/>
    <d v="2026-02-04T00:00:00"/>
    <n v="4"/>
    <x v="0"/>
    <s v="AEROSOL NEGRO MATE"/>
    <n v="6"/>
  </r>
  <r>
    <x v="23"/>
    <d v="2026-01-31T00:00:00"/>
    <d v="2026-02-04T00:00:00"/>
    <n v="4"/>
    <x v="2"/>
    <s v="AEROSOL SUPER ORO"/>
    <n v="6"/>
  </r>
  <r>
    <x v="23"/>
    <d v="2026-01-31T00:00:00"/>
    <d v="2026-02-04T00:00:00"/>
    <n v="4"/>
    <x v="10"/>
    <s v="AEROSOL PRISA SUPER CROMO"/>
    <n v="6"/>
  </r>
  <r>
    <x v="23"/>
    <d v="2026-01-31T00:00:00"/>
    <d v="2026-02-09T00:00:00"/>
    <n v="9"/>
    <x v="8"/>
    <s v="AEROSOL ALUMINIO"/>
    <n v="6"/>
  </r>
  <r>
    <x v="23"/>
    <d v="2026-01-31T00:00:00"/>
    <d v="2026-02-14T00:00:00"/>
    <n v="14"/>
    <x v="76"/>
    <s v="IMPERGLOSI AGUACERO BLANCO 3A"/>
    <n v="6"/>
  </r>
  <r>
    <x v="24"/>
    <d v="2026-02-05T00:00:00"/>
    <d v="2026-02-10T00:00:00"/>
    <n v="5"/>
    <x v="22"/>
    <s v="IMPERGLOSI AGUACERO TERRACOTA 3A"/>
    <n v="5"/>
  </r>
  <r>
    <x v="24"/>
    <d v="2026-02-05T00:00:00"/>
    <d v="2026-02-10T00:00:00"/>
    <n v="5"/>
    <x v="76"/>
    <s v="IMPERGLOSI AGUACERO BLANCO 3A"/>
    <n v="2"/>
  </r>
  <r>
    <x v="24"/>
    <d v="2026-02-05T00:00:00"/>
    <d v="2026-02-10T00:00:00"/>
    <n v="5"/>
    <x v="77"/>
    <s v="IMPERGLOSI AGUACERO TERRACOTA 3A"/>
    <n v="4"/>
  </r>
  <r>
    <x v="24"/>
    <d v="2026-02-05T00:00:00"/>
    <d v="2026-02-10T00:00:00"/>
    <n v="5"/>
    <x v="90"/>
    <s v="AEROSOL AZUL OBSCURO"/>
    <n v="6"/>
  </r>
  <r>
    <x v="24"/>
    <d v="2026-02-05T00:00:00"/>
    <d v="2026-02-10T00:00:00"/>
    <n v="5"/>
    <x v="91"/>
    <s v="AEROSOL VERDE HOJA"/>
    <n v="6"/>
  </r>
  <r>
    <x v="24"/>
    <d v="2026-02-05T00:00:00"/>
    <d v="2026-02-10T00:00:00"/>
    <n v="5"/>
    <x v="92"/>
    <s v="AEROSOL PRIMARIO GRIS"/>
    <n v="6"/>
  </r>
  <r>
    <x v="24"/>
    <d v="2026-02-05T00:00:00"/>
    <d v="2026-02-10T00:00:00"/>
    <n v="5"/>
    <x v="26"/>
    <s v="AEROSOL GRIS CLARO"/>
    <n v="6"/>
  </r>
  <r>
    <x v="24"/>
    <d v="2026-02-05T00:00:00"/>
    <d v="2026-02-10T00:00:00"/>
    <n v="5"/>
    <x v="93"/>
    <s v="SINSALITRE"/>
    <n v="12"/>
  </r>
  <r>
    <x v="24"/>
    <d v="2026-02-05T00:00:00"/>
    <d v="2026-02-10T00:00:00"/>
    <n v="5"/>
    <x v="55"/>
    <s v="RELLENADOR AUTOMOTRIZ C/CATAL. ROJO"/>
    <n v="8"/>
  </r>
  <r>
    <x v="24"/>
    <d v="2026-02-05T00:00:00"/>
    <d v="2026-02-10T00:00:00"/>
    <n v="5"/>
    <x v="49"/>
    <s v="SIAMIL ECONOMICO MI FL 20 KG"/>
    <n v="15"/>
  </r>
  <r>
    <x v="24"/>
    <d v="2026-02-05T00:00:00"/>
    <d v="2026-02-10T00:00:00"/>
    <n v="5"/>
    <x v="94"/>
    <s v="VINILICA GLOSI OCRE 3A"/>
    <n v="3"/>
  </r>
  <r>
    <x v="24"/>
    <d v="2026-02-05T00:00:00"/>
    <d v="2026-02-10T00:00:00"/>
    <n v="5"/>
    <x v="17"/>
    <s v="VINILICA GLOSI BLANCO 5A"/>
    <n v="2"/>
  </r>
  <r>
    <x v="24"/>
    <d v="2026-02-05T00:00:00"/>
    <d v="2026-02-19T00:00:00"/>
    <n v="14"/>
    <x v="90"/>
    <s v="AEROSOL AZUL OBSCURO"/>
    <n v="-6"/>
  </r>
  <r>
    <x v="24"/>
    <d v="2026-02-05T00:00:00"/>
    <d v="2026-02-19T00:00:00"/>
    <n v="14"/>
    <x v="91"/>
    <s v="AEROSOL VERDE HOJA"/>
    <n v="-6"/>
  </r>
  <r>
    <x v="24"/>
    <d v="2026-02-05T00:00:00"/>
    <d v="2026-02-19T00:00:00"/>
    <n v="14"/>
    <x v="92"/>
    <s v="AEROSOL PRIMARIO GRIS"/>
    <n v="-6"/>
  </r>
  <r>
    <x v="24"/>
    <d v="2026-02-05T00:00:00"/>
    <d v="2026-02-19T00:00:00"/>
    <n v="14"/>
    <x v="26"/>
    <s v="AEROSOL GRIS CLARO"/>
    <n v="-6"/>
  </r>
  <r>
    <x v="24"/>
    <d v="2026-02-05T00:00:00"/>
    <d v="2026-02-19T00:00:00"/>
    <n v="14"/>
    <x v="93"/>
    <s v="SINSALITRE"/>
    <n v="-12"/>
  </r>
  <r>
    <x v="24"/>
    <d v="2026-02-05T00:00:00"/>
    <d v="2026-02-19T00:00:00"/>
    <n v="14"/>
    <x v="55"/>
    <s v="RELLENADOR AUTOMOTRIZ C/CATAL. ROJO"/>
    <n v="-8"/>
  </r>
  <r>
    <x v="24"/>
    <d v="2026-02-05T00:00:00"/>
    <d v="2026-02-19T00:00:00"/>
    <n v="14"/>
    <x v="49"/>
    <s v="SIAMIL ECONOMICO MI FL 20 KG"/>
    <n v="-15"/>
  </r>
  <r>
    <x v="24"/>
    <d v="2026-02-05T00:00:00"/>
    <d v="2026-02-19T00:00:00"/>
    <n v="14"/>
    <x v="94"/>
    <s v="VINILICA GLOSI OCRE 3A"/>
    <n v="-3"/>
  </r>
  <r>
    <x v="24"/>
    <d v="2026-02-05T00:00:00"/>
    <d v="2026-02-20T00:00:00"/>
    <n v="15"/>
    <x v="95"/>
    <s v="BRILLON AMARILLO MANGO"/>
    <n v="6"/>
  </r>
  <r>
    <x v="25"/>
    <d v="2026-02-10T00:00:00"/>
    <d v="2026-02-17T00:00:00"/>
    <n v="7"/>
    <x v="36"/>
    <s v="BRILLON NEGRO"/>
    <n v="12"/>
  </r>
  <r>
    <x v="25"/>
    <d v="2026-02-10T00:00:00"/>
    <d v="2026-02-17T00:00:00"/>
    <n v="7"/>
    <x v="96"/>
    <s v="BARNIZ GLOSI ALQUI CEDRO"/>
    <n v="6"/>
  </r>
  <r>
    <x v="25"/>
    <d v="2026-02-10T00:00:00"/>
    <d v="2026-02-17T00:00:00"/>
    <n v="7"/>
    <x v="69"/>
    <s v="BARNIZ GLOSI ALQUI CEDRO"/>
    <n v="12"/>
  </r>
  <r>
    <x v="25"/>
    <d v="2026-02-10T00:00:00"/>
    <d v="2026-02-17T00:00:00"/>
    <n v="7"/>
    <x v="97"/>
    <s v="BARNIZ GLOSI ALQUI CAOBA"/>
    <n v="6"/>
  </r>
  <r>
    <x v="25"/>
    <d v="2026-02-10T00:00:00"/>
    <d v="2026-02-17T00:00:00"/>
    <n v="7"/>
    <x v="60"/>
    <s v="BARNIZ GLOSI ALQUI CAOBA"/>
    <n v="12"/>
  </r>
  <r>
    <x v="25"/>
    <d v="2026-02-10T00:00:00"/>
    <d v="2026-02-17T00:00:00"/>
    <n v="7"/>
    <x v="84"/>
    <s v="VINILICA GLOSI BLANCO 3A"/>
    <n v="6"/>
  </r>
  <r>
    <x v="25"/>
    <d v="2026-02-10T00:00:00"/>
    <d v="2026-02-17T00:00:00"/>
    <n v="7"/>
    <x v="70"/>
    <s v="VINILICA GLOSI NEGRO 5A"/>
    <n v="6"/>
  </r>
  <r>
    <x v="26"/>
    <d v="2026-02-07T00:00:00"/>
    <d v="2026-02-20T00:00:00"/>
    <n v="13"/>
    <x v="20"/>
    <s v="BRILLON NEGRO"/>
    <n v="6"/>
  </r>
  <r>
    <x v="26"/>
    <d v="2026-02-07T00:00:00"/>
    <d v="2026-02-20T00:00:00"/>
    <n v="13"/>
    <x v="27"/>
    <s v="BRILLON BLANCO"/>
    <n v="6"/>
  </r>
  <r>
    <x v="26"/>
    <d v="2026-02-07T00:00:00"/>
    <d v="2026-02-20T00:00:00"/>
    <n v="13"/>
    <x v="36"/>
    <s v="BRILLON NEGRO"/>
    <n v="6"/>
  </r>
  <r>
    <x v="26"/>
    <d v="2026-02-07T00:00:00"/>
    <d v="2026-02-20T00:00:00"/>
    <n v="13"/>
    <x v="24"/>
    <s v="VINILICA GLOSI BLANCO 3A"/>
    <n v="3"/>
  </r>
  <r>
    <x v="26"/>
    <d v="2026-02-07T00:00:00"/>
    <d v="2026-02-26T00:00:00"/>
    <n v="19"/>
    <x v="18"/>
    <s v="ESMALTE BRILLON BLANCO"/>
    <n v="6"/>
  </r>
  <r>
    <x v="26"/>
    <d v="2026-02-07T00:00:00"/>
    <d v="2026-02-27T00:00:00"/>
    <n v="20"/>
    <x v="18"/>
    <s v="ESMALTE BRILLON BLANCO"/>
    <n v="6"/>
  </r>
  <r>
    <x v="26"/>
    <d v="2026-02-07T00:00:00"/>
    <d v="2026-02-27T00:00:00"/>
    <n v="20"/>
    <x v="98"/>
    <s v="VINILICA GLOSI BLANCO 3A"/>
    <n v="3"/>
  </r>
  <r>
    <x v="26"/>
    <d v="2026-02-07T00:00:00"/>
    <d v="2026-02-27T00:00:00"/>
    <n v="20"/>
    <x v="84"/>
    <s v="VINILICA GLOSI BLANCO 3A"/>
    <n v="6"/>
  </r>
  <r>
    <x v="26"/>
    <d v="2026-02-07T00:00:00"/>
    <d v="2026-02-27T00:00:00"/>
    <n v="20"/>
    <x v="70"/>
    <s v="VINILICA GLOSI NEGRO 5A"/>
    <n v="6"/>
  </r>
  <r>
    <x v="27"/>
    <d v="2026-02-09T00:00:00"/>
    <d v="2026-02-17T00:00:00"/>
    <n v="8"/>
    <x v="99"/>
    <s v="BRILLON VERDE SELVA"/>
    <n v="6"/>
  </r>
  <r>
    <x v="27"/>
    <d v="2026-02-09T00:00:00"/>
    <d v="2026-02-17T00:00:00"/>
    <n v="8"/>
    <x v="100"/>
    <s v="VINILICA GLOSI MARFIL 3A"/>
    <n v="2"/>
  </r>
  <r>
    <x v="27"/>
    <d v="2026-02-09T00:00:00"/>
    <d v="2026-02-17T00:00:00"/>
    <n v="8"/>
    <x v="17"/>
    <s v="VINILICA GLOSI BLANCO 5A"/>
    <n v="10"/>
  </r>
  <r>
    <x v="27"/>
    <d v="2026-02-09T00:00:00"/>
    <d v="2026-02-25T00:00:00"/>
    <n v="16"/>
    <x v="20"/>
    <s v="BRILLON NEGRO"/>
    <n v="6"/>
  </r>
  <r>
    <x v="28"/>
    <d v="2026-02-10T00:00:00"/>
    <d v="2026-02-19T00:00:00"/>
    <n v="9"/>
    <x v="3"/>
    <s v="AEROSOL BLANCO BRILLANTE"/>
    <n v="6"/>
  </r>
  <r>
    <x v="28"/>
    <d v="2026-02-10T00:00:00"/>
    <d v="2026-02-19T00:00:00"/>
    <n v="9"/>
    <x v="22"/>
    <s v="IMPERGLOSI AGUACERO TERRACOTA 3A"/>
    <n v="1"/>
  </r>
  <r>
    <x v="28"/>
    <d v="2026-02-10T00:00:00"/>
    <d v="2026-02-24T00:00:00"/>
    <n v="14"/>
    <x v="1"/>
    <s v="AEROSOL NEGRO BRILLANTE"/>
    <n v="6"/>
  </r>
  <r>
    <x v="28"/>
    <d v="2026-02-10T00:00:00"/>
    <d v="2026-02-25T00:00:00"/>
    <n v="15"/>
    <x v="4"/>
    <s v="AEROSOL BLANCO MATE"/>
    <n v="6"/>
  </r>
  <r>
    <x v="28"/>
    <d v="2026-02-10T00:00:00"/>
    <d v="2026-02-25T00:00:00"/>
    <n v="15"/>
    <x v="9"/>
    <s v="AEROSOL  NEGRO SEMI BRILLANTE"/>
    <n v="6"/>
  </r>
  <r>
    <x v="28"/>
    <d v="2026-02-10T00:00:00"/>
    <d v="2026-02-26T00:00:00"/>
    <n v="16"/>
    <x v="1"/>
    <s v="AEROSOL NEGRO BRILLANTE"/>
    <n v="6"/>
  </r>
  <r>
    <x v="28"/>
    <d v="2026-02-10T00:00:00"/>
    <d v="2026-03-03T00:00:00"/>
    <n v="21"/>
    <x v="1"/>
    <s v="AEROSOL NEGRO BRILLANTE"/>
    <n v="-6"/>
  </r>
  <r>
    <x v="28"/>
    <d v="2026-02-10T00:00:00"/>
    <d v="2026-03-10T00:00:00"/>
    <n v="28"/>
    <x v="44"/>
    <s v="ESMALTE BRILLON BLANCO."/>
    <n v="2"/>
  </r>
  <r>
    <x v="29"/>
    <d v="2026-02-10T00:00:00"/>
    <d v="2026-02-11T00:00:00"/>
    <n v="1"/>
    <x v="27"/>
    <s v="BRILLON BLANCO"/>
    <n v="3"/>
  </r>
  <r>
    <x v="29"/>
    <d v="2026-02-10T00:00:00"/>
    <d v="2026-02-11T00:00:00"/>
    <n v="1"/>
    <x v="36"/>
    <s v="BRILLON NEGRO"/>
    <n v="3"/>
  </r>
  <r>
    <x v="29"/>
    <d v="2026-02-10T00:00:00"/>
    <d v="2026-02-11T00:00:00"/>
    <n v="1"/>
    <x v="101"/>
    <s v="VINILICA GLOSI AMARILLO 5A"/>
    <n v="1"/>
  </r>
  <r>
    <x v="29"/>
    <d v="2026-02-10T00:00:00"/>
    <d v="2026-02-11T00:00:00"/>
    <n v="1"/>
    <x v="102"/>
    <s v="VINILICA GLOSI AZUL 5A"/>
    <n v="1"/>
  </r>
  <r>
    <x v="30"/>
    <d v="2026-02-10T00:00:00"/>
    <d v="2026-02-14T00:00:00"/>
    <n v="4"/>
    <x v="103"/>
    <s v="FONDO GRIS CLARO 3211"/>
    <n v="2"/>
  </r>
  <r>
    <x v="30"/>
    <d v="2026-02-10T00:00:00"/>
    <d v="2026-02-14T00:00:00"/>
    <n v="4"/>
    <x v="104"/>
    <s v="PLASTE GRIS CLARO"/>
    <n v="3"/>
  </r>
  <r>
    <x v="30"/>
    <d v="2026-02-10T00:00:00"/>
    <d v="2026-02-14T00:00:00"/>
    <n v="4"/>
    <x v="105"/>
    <s v="PRIMARIO ESTRUCTURAS BLANCO"/>
    <n v="1"/>
  </r>
  <r>
    <x v="30"/>
    <d v="2026-02-10T00:00:00"/>
    <d v="2026-02-14T00:00:00"/>
    <n v="4"/>
    <x v="106"/>
    <s v="PRIMARIO GLOSI ESTRUCTURAS GRIS"/>
    <n v="1"/>
  </r>
  <r>
    <x v="30"/>
    <d v="2026-02-10T00:00:00"/>
    <d v="2026-02-14T00:00:00"/>
    <n v="4"/>
    <x v="38"/>
    <s v="ESMALTE GLOSI SR NEGRO MATE"/>
    <n v="4"/>
  </r>
  <r>
    <x v="30"/>
    <d v="2026-02-10T00:00:00"/>
    <d v="2026-02-14T00:00:00"/>
    <n v="4"/>
    <x v="103"/>
    <s v="FONDO GRIS CLARO 3211"/>
    <n v="-2"/>
  </r>
  <r>
    <x v="30"/>
    <d v="2026-02-10T00:00:00"/>
    <d v="2026-02-14T00:00:00"/>
    <n v="4"/>
    <x v="104"/>
    <s v="PLASTE GRIS CLARO"/>
    <n v="-3"/>
  </r>
  <r>
    <x v="30"/>
    <d v="2026-02-10T00:00:00"/>
    <d v="2026-02-14T00:00:00"/>
    <n v="4"/>
    <x v="105"/>
    <s v="PRIMARIO ESTRUCTURAS BLANCO"/>
    <n v="-1"/>
  </r>
  <r>
    <x v="30"/>
    <d v="2026-02-10T00:00:00"/>
    <d v="2026-02-14T00:00:00"/>
    <n v="4"/>
    <x v="106"/>
    <s v="PRIMARIO GLOSI ESTRUCTURAS GRIS"/>
    <n v="-1"/>
  </r>
  <r>
    <x v="30"/>
    <d v="2026-02-10T00:00:00"/>
    <d v="2026-02-14T00:00:00"/>
    <n v="4"/>
    <x v="38"/>
    <s v="ESMALTE GLOSI SR NEGRO MATE"/>
    <n v="-4"/>
  </r>
  <r>
    <x v="30"/>
    <d v="2026-02-10T00:00:00"/>
    <d v="2026-02-20T00:00:00"/>
    <n v="10"/>
    <x v="107"/>
    <s v="BRILLON DORADO"/>
    <n v="2"/>
  </r>
  <r>
    <x v="30"/>
    <d v="2026-02-10T00:00:00"/>
    <d v="2026-02-24T00:00:00"/>
    <n v="14"/>
    <x v="103"/>
    <s v="FONDO GRIS CLARO 3211"/>
    <n v="2"/>
  </r>
  <r>
    <x v="30"/>
    <d v="2026-02-10T00:00:00"/>
    <d v="2026-02-24T00:00:00"/>
    <n v="14"/>
    <x v="105"/>
    <s v="PRIMARIO ESTRUCTURAS BLANCO"/>
    <n v="1"/>
  </r>
  <r>
    <x v="30"/>
    <d v="2026-02-10T00:00:00"/>
    <d v="2026-02-24T00:00:00"/>
    <n v="14"/>
    <x v="106"/>
    <s v="PRIMARIO GLOSI ESTRUCTURAS GRIS"/>
    <n v="1"/>
  </r>
  <r>
    <x v="30"/>
    <d v="2026-02-10T00:00:00"/>
    <d v="2026-02-24T00:00:00"/>
    <n v="14"/>
    <x v="38"/>
    <s v="ESMALTE GLOSI SR NEGRO MATE"/>
    <n v="4"/>
  </r>
  <r>
    <x v="30"/>
    <d v="2026-02-10T00:00:00"/>
    <d v="2026-02-25T00:00:00"/>
    <n v="15"/>
    <x v="103"/>
    <s v="FONDO GRIS CLARO 3211"/>
    <n v="-2"/>
  </r>
  <r>
    <x v="30"/>
    <d v="2026-02-10T00:00:00"/>
    <d v="2026-02-25T00:00:00"/>
    <n v="15"/>
    <x v="104"/>
    <s v="PLASTE GRIS CLARO"/>
    <n v="-3"/>
  </r>
  <r>
    <x v="30"/>
    <d v="2026-02-10T00:00:00"/>
    <d v="2026-02-25T00:00:00"/>
    <n v="15"/>
    <x v="105"/>
    <s v="PRIMARIO ESTRUCTURAS BLANCO"/>
    <n v="-1"/>
  </r>
  <r>
    <x v="30"/>
    <d v="2026-02-10T00:00:00"/>
    <d v="2026-02-25T00:00:00"/>
    <n v="15"/>
    <x v="106"/>
    <s v="PRIMARIO GLOSI ESTRUCTURAS GRIS"/>
    <n v="-1"/>
  </r>
  <r>
    <x v="30"/>
    <d v="2026-02-10T00:00:00"/>
    <d v="2026-02-25T00:00:00"/>
    <n v="15"/>
    <x v="38"/>
    <s v="ESMALTE GLOSI SR NEGRO MATE"/>
    <n v="-4"/>
  </r>
  <r>
    <x v="30"/>
    <d v="2026-02-10T00:00:00"/>
    <d v="2026-02-25T00:00:00"/>
    <n v="15"/>
    <x v="103"/>
    <s v="FONDO GRIS CLARO 3211"/>
    <n v="-2"/>
  </r>
  <r>
    <x v="30"/>
    <d v="2026-02-10T00:00:00"/>
    <d v="2026-02-25T00:00:00"/>
    <n v="15"/>
    <x v="104"/>
    <s v="PLASTE GRIS CLARO"/>
    <n v="-3"/>
  </r>
  <r>
    <x v="30"/>
    <d v="2026-02-10T00:00:00"/>
    <d v="2026-02-25T00:00:00"/>
    <n v="15"/>
    <x v="105"/>
    <s v="PRIMARIO ESTRUCTURAS BLANCO"/>
    <n v="-1"/>
  </r>
  <r>
    <x v="30"/>
    <d v="2026-02-10T00:00:00"/>
    <d v="2026-02-25T00:00:00"/>
    <n v="15"/>
    <x v="106"/>
    <s v="PRIMARIO GLOSI ESTRUCTURAS GRIS"/>
    <n v="-1"/>
  </r>
  <r>
    <x v="30"/>
    <d v="2026-02-10T00:00:00"/>
    <d v="2026-02-25T00:00:00"/>
    <n v="15"/>
    <x v="38"/>
    <s v="ESMALTE GLOSI SR NEGRO MATE"/>
    <n v="-4"/>
  </r>
  <r>
    <x v="31"/>
    <d v="2026-02-13T00:00:00"/>
    <d v="2026-02-16T00:00:00"/>
    <n v="3"/>
    <x v="79"/>
    <s v="IMPERGLOSI AGUACERO BLANCO 5A"/>
    <n v="6"/>
  </r>
  <r>
    <x v="31"/>
    <d v="2026-02-13T00:00:00"/>
    <d v="2026-02-16T00:00:00"/>
    <n v="3"/>
    <x v="9"/>
    <s v="AEROSOL  NEGRO SEMI BRILLANTE"/>
    <n v="6"/>
  </r>
  <r>
    <x v="31"/>
    <d v="2026-02-13T00:00:00"/>
    <d v="2026-02-16T00:00:00"/>
    <n v="3"/>
    <x v="48"/>
    <s v="ESMALTE GLOSI SR BLANCO"/>
    <n v="2"/>
  </r>
  <r>
    <x v="31"/>
    <d v="2026-02-13T00:00:00"/>
    <d v="2026-02-16T00:00:00"/>
    <n v="3"/>
    <x v="17"/>
    <s v="VINILICA GLOSI BLANCO 5A"/>
    <n v="1"/>
  </r>
  <r>
    <x v="31"/>
    <d v="2026-02-13T00:00:00"/>
    <d v="2026-02-16T00:00:00"/>
    <n v="3"/>
    <x v="108"/>
    <s v="VINILICA GLOSI MARFIL 5A"/>
    <n v="1"/>
  </r>
  <r>
    <x v="31"/>
    <d v="2026-02-13T00:00:00"/>
    <d v="2026-02-19T00:00:00"/>
    <n v="6"/>
    <x v="85"/>
    <s v="ESMALTE GLOSI SR NEGRO BRILLANTE"/>
    <n v="2"/>
  </r>
  <r>
    <x v="32"/>
    <d v="2026-02-13T00:00:00"/>
    <d v="2026-02-24T00:00:00"/>
    <n v="11"/>
    <x v="3"/>
    <s v="AEROSOL BLANCO BRILLANTE"/>
    <n v="6"/>
  </r>
  <r>
    <x v="32"/>
    <d v="2026-02-13T00:00:00"/>
    <d v="2026-02-24T00:00:00"/>
    <n v="11"/>
    <x v="49"/>
    <s v="SIAMIL ECONOMICO MI FL 20 KG"/>
    <n v="4"/>
  </r>
  <r>
    <x v="32"/>
    <d v="2026-02-13T00:00:00"/>
    <d v="2026-02-24T00:00:00"/>
    <n v="11"/>
    <x v="22"/>
    <s v="IMPERGLOSI AGUACERO TERRACOTA 3A"/>
    <n v="5"/>
  </r>
  <r>
    <x v="32"/>
    <d v="2026-02-13T00:00:00"/>
    <d v="2026-02-26T00:00:00"/>
    <n v="13"/>
    <x v="1"/>
    <s v="AEROSOL NEGRO BRILLANTE"/>
    <n v="6"/>
  </r>
  <r>
    <x v="33"/>
    <d v="2026-02-18T00:00:00"/>
    <d v="2026-02-26T00:00:00"/>
    <n v="8"/>
    <x v="27"/>
    <s v="BRILLON BLANCO"/>
    <n v="3"/>
  </r>
  <r>
    <x v="33"/>
    <d v="2026-02-18T00:00:00"/>
    <d v="2026-02-26T00:00:00"/>
    <n v="8"/>
    <x v="109"/>
    <s v="BRILLON ALUMINIO"/>
    <n v="3"/>
  </r>
  <r>
    <x v="33"/>
    <d v="2026-02-18T00:00:00"/>
    <d v="2026-02-26T00:00:00"/>
    <n v="8"/>
    <x v="36"/>
    <s v="BRILLON NEGRO"/>
    <n v="3"/>
  </r>
  <r>
    <x v="33"/>
    <d v="2026-02-18T00:00:00"/>
    <d v="2026-02-26T00:00:00"/>
    <n v="8"/>
    <x v="75"/>
    <s v="BRILLON NEGRO"/>
    <n v="6"/>
  </r>
  <r>
    <x v="33"/>
    <d v="2026-02-18T00:00:00"/>
    <d v="2026-02-26T00:00:00"/>
    <n v="8"/>
    <x v="49"/>
    <s v="SIAMIL ECONOMICO MI FL 20 KG"/>
    <n v="1"/>
  </r>
  <r>
    <x v="33"/>
    <d v="2026-02-18T00:00:00"/>
    <d v="2026-02-26T00:00:00"/>
    <n v="8"/>
    <x v="3"/>
    <s v="AEROSOL BLANCO BRILLANTE"/>
    <n v="6"/>
  </r>
  <r>
    <x v="33"/>
    <d v="2026-02-18T00:00:00"/>
    <d v="2026-02-26T00:00:00"/>
    <n v="8"/>
    <x v="8"/>
    <s v="AEROSOL ALUMINIO"/>
    <n v="6"/>
  </r>
  <r>
    <x v="33"/>
    <d v="2026-02-18T00:00:00"/>
    <d v="2026-02-26T00:00:00"/>
    <n v="8"/>
    <x v="1"/>
    <s v="AEROSOL NEGRO BRILLANTE"/>
    <n v="6"/>
  </r>
  <r>
    <x v="33"/>
    <d v="2026-02-18T00:00:00"/>
    <d v="2026-03-07T00:00:00"/>
    <n v="17"/>
    <x v="8"/>
    <s v="AEROSOL ALUMINIO"/>
    <n v="3"/>
  </r>
  <r>
    <x v="33"/>
    <d v="2026-02-18T00:00:00"/>
    <d v="2026-03-07T00:00:00"/>
    <n v="17"/>
    <x v="53"/>
    <s v="AEROSOL NEGRO METALICO"/>
    <n v="3"/>
  </r>
  <r>
    <x v="33"/>
    <d v="2026-02-18T00:00:00"/>
    <d v="2026-03-07T00:00:00"/>
    <n v="17"/>
    <x v="27"/>
    <s v="BRILLON BLANCO"/>
    <n v="3"/>
  </r>
  <r>
    <x v="33"/>
    <d v="2026-02-18T00:00:00"/>
    <d v="2026-03-07T00:00:00"/>
    <n v="17"/>
    <x v="109"/>
    <s v="BRILLON ALUMINIO"/>
    <n v="3"/>
  </r>
  <r>
    <x v="33"/>
    <d v="2026-02-18T00:00:00"/>
    <d v="2026-03-07T00:00:00"/>
    <n v="17"/>
    <x v="36"/>
    <s v="BRILLON NEGRO"/>
    <n v="3"/>
  </r>
  <r>
    <x v="33"/>
    <d v="2026-02-18T00:00:00"/>
    <d v="2026-03-07T00:00:00"/>
    <n v="17"/>
    <x v="49"/>
    <s v="SIAMIL ECONOMICO MI FL 20 KG"/>
    <n v="1"/>
  </r>
  <r>
    <x v="33"/>
    <d v="2026-02-18T00:00:00"/>
    <d v="2026-03-10T00:00:00"/>
    <n v="20"/>
    <x v="27"/>
    <s v="BRILLON BLANCO"/>
    <n v="-3"/>
  </r>
  <r>
    <x v="33"/>
    <d v="2026-02-18T00:00:00"/>
    <d v="2026-03-10T00:00:00"/>
    <n v="20"/>
    <x v="109"/>
    <s v="BRILLON ALUMINIO"/>
    <n v="-3"/>
  </r>
  <r>
    <x v="33"/>
    <d v="2026-02-18T00:00:00"/>
    <d v="2026-03-10T00:00:00"/>
    <n v="20"/>
    <x v="36"/>
    <s v="BRILLON NEGRO"/>
    <n v="-3"/>
  </r>
  <r>
    <x v="33"/>
    <d v="2026-02-18T00:00:00"/>
    <d v="2026-03-10T00:00:00"/>
    <n v="20"/>
    <x v="75"/>
    <s v="BRILLON NEGRO"/>
    <n v="-6"/>
  </r>
  <r>
    <x v="33"/>
    <d v="2026-02-18T00:00:00"/>
    <d v="2026-03-10T00:00:00"/>
    <n v="20"/>
    <x v="49"/>
    <s v="SIAMIL ECONOMICO MI FL 20 KG"/>
    <n v="-1"/>
  </r>
  <r>
    <x v="33"/>
    <d v="2026-02-18T00:00:00"/>
    <d v="2026-03-10T00:00:00"/>
    <n v="20"/>
    <x v="1"/>
    <s v="AEROSOL NEGRO BRILLANTE"/>
    <n v="-6"/>
  </r>
  <r>
    <x v="33"/>
    <d v="2026-02-18T00:00:00"/>
    <d v="2026-03-10T00:00:00"/>
    <n v="20"/>
    <x v="3"/>
    <s v="AEROSOL BLANCO BRILLANTE"/>
    <n v="-6"/>
  </r>
  <r>
    <x v="33"/>
    <d v="2026-02-18T00:00:00"/>
    <d v="2026-03-10T00:00:00"/>
    <n v="20"/>
    <x v="8"/>
    <s v="AEROSOL ALUMINIO"/>
    <n v="-6"/>
  </r>
  <r>
    <x v="33"/>
    <d v="2026-02-18T00:00:00"/>
    <d v="2026-03-19T00:00:00"/>
    <n v="29"/>
    <x v="39"/>
    <s v="BRILLON BLANCO"/>
    <n v="6"/>
  </r>
  <r>
    <x v="33"/>
    <d v="2026-02-18T00:00:00"/>
    <d v="2026-03-19T00:00:00"/>
    <n v="29"/>
    <x v="36"/>
    <s v="BRILLON NEGRO"/>
    <n v="3"/>
  </r>
  <r>
    <x v="33"/>
    <d v="2026-02-18T00:00:00"/>
    <d v="2026-03-19T00:00:00"/>
    <n v="29"/>
    <x v="75"/>
    <s v="BRILLON NEGRO"/>
    <n v="6"/>
  </r>
  <r>
    <x v="34"/>
    <d v="2026-02-19T00:00:00"/>
    <d v="2026-02-24T00:00:00"/>
    <n v="5"/>
    <x v="98"/>
    <s v="VINILICA GLOSI BLANCO 3A"/>
    <n v="3"/>
  </r>
  <r>
    <x v="34"/>
    <d v="2026-02-19T00:00:00"/>
    <d v="2026-02-24T00:00:00"/>
    <n v="5"/>
    <x v="24"/>
    <s v="VINILICA GLOSI BLANCO 3A"/>
    <n v="3"/>
  </r>
  <r>
    <x v="35"/>
    <d v="2026-02-19T00:00:00"/>
    <d v="2026-02-24T00:00:00"/>
    <n v="5"/>
    <x v="110"/>
    <s v="AEROSOL CAFE CHOCOLATE"/>
    <n v="6"/>
  </r>
  <r>
    <x v="36"/>
    <d v="2026-02-23T00:00:00"/>
    <d v="2026-02-28T00:00:00"/>
    <n v="5"/>
    <x v="88"/>
    <s v="AEROSOL AMARILLO"/>
    <n v="6"/>
  </r>
  <r>
    <x v="36"/>
    <d v="2026-02-23T00:00:00"/>
    <d v="2026-02-28T00:00:00"/>
    <n v="5"/>
    <x v="9"/>
    <s v="AEROSOL  NEGRO SEMI BRILLANTE"/>
    <n v="12"/>
  </r>
  <r>
    <x v="36"/>
    <d v="2026-02-23T00:00:00"/>
    <d v="2026-02-28T00:00:00"/>
    <n v="5"/>
    <x v="0"/>
    <s v="AEROSOL NEGRO MATE"/>
    <n v="12"/>
  </r>
  <r>
    <x v="36"/>
    <d v="2026-02-23T00:00:00"/>
    <d v="2026-02-28T00:00:00"/>
    <n v="5"/>
    <x v="1"/>
    <s v="AEROSOL NEGRO BRILLANTE"/>
    <n v="12"/>
  </r>
  <r>
    <x v="36"/>
    <d v="2026-02-23T00:00:00"/>
    <d v="2026-02-28T00:00:00"/>
    <n v="5"/>
    <x v="67"/>
    <s v="ESMALTE GLOSI SR BLANCO"/>
    <n v="1"/>
  </r>
  <r>
    <x v="36"/>
    <d v="2026-02-23T00:00:00"/>
    <d v="2026-02-28T00:00:00"/>
    <n v="5"/>
    <x v="111"/>
    <s v="VINILICA GLOSI VERDE 3A"/>
    <n v="1"/>
  </r>
  <r>
    <x v="36"/>
    <d v="2026-02-23T00:00:00"/>
    <d v="2026-02-28T00:00:00"/>
    <n v="5"/>
    <x v="7"/>
    <s v="AEROSOL ROJO"/>
    <n v="6"/>
  </r>
  <r>
    <x v="36"/>
    <d v="2026-02-23T00:00:00"/>
    <d v="2026-03-03T00:00:00"/>
    <n v="8"/>
    <x v="0"/>
    <s v="AEROSOL NEGRO MATE"/>
    <n v="-12"/>
  </r>
  <r>
    <x v="37"/>
    <d v="2026-02-19T00:00:00"/>
    <d v="2026-03-10T00:00:00"/>
    <n v="19"/>
    <x v="10"/>
    <s v="AEROSOL PRISA SUPER CROMO"/>
    <n v="6"/>
  </r>
  <r>
    <x v="37"/>
    <d v="2026-02-19T00:00:00"/>
    <d v="2026-03-10T00:00:00"/>
    <n v="19"/>
    <x v="112"/>
    <s v="AGUACERO 4A TERRACOTA FIBRATADO"/>
    <n v="1"/>
  </r>
  <r>
    <x v="37"/>
    <d v="2026-02-19T00:00:00"/>
    <d v="2026-03-18T00:00:00"/>
    <n v="27"/>
    <x v="113"/>
    <s v="VINILICA GLOSI BLANCO PRO"/>
    <n v="1"/>
  </r>
  <r>
    <x v="38"/>
    <d v="2026-02-20T00:00:00"/>
    <d v="2026-02-25T00:00:00"/>
    <n v="5"/>
    <x v="48"/>
    <s v="ESMALTE GLOSI SR BLANCO"/>
    <n v="6"/>
  </r>
  <r>
    <x v="38"/>
    <d v="2026-02-20T00:00:00"/>
    <d v="2026-02-25T00:00:00"/>
    <n v="5"/>
    <x v="85"/>
    <s v="ESMALTE GLOSI SR NEGRO BRILLANTE"/>
    <n v="12"/>
  </r>
  <r>
    <x v="39"/>
    <d v="2026-02-20T00:00:00"/>
    <d v="2026-02-26T00:00:00"/>
    <n v="6"/>
    <x v="76"/>
    <s v="IMPERGLOSI AGUACERO BLANCO 3A"/>
    <n v="3"/>
  </r>
  <r>
    <x v="39"/>
    <d v="2026-02-20T00:00:00"/>
    <d v="2026-02-26T00:00:00"/>
    <n v="6"/>
    <x v="77"/>
    <s v="IMPERGLOSI AGUACERO TERRACOTA 3A"/>
    <n v="3"/>
  </r>
  <r>
    <x v="39"/>
    <d v="2026-02-20T00:00:00"/>
    <d v="2026-03-14T00:00:00"/>
    <n v="22"/>
    <x v="55"/>
    <s v="RELLENADOR AUTOMOTRIZ C/CATAL. ROJO"/>
    <n v="3"/>
  </r>
  <r>
    <x v="39"/>
    <d v="2026-02-20T00:00:00"/>
    <d v="2026-03-14T00:00:00"/>
    <n v="22"/>
    <x v="98"/>
    <s v="VINILICA GLOSI BLANCO 3A"/>
    <n v="2"/>
  </r>
  <r>
    <x v="39"/>
    <d v="2026-02-20T00:00:00"/>
    <d v="2026-03-18T00:00:00"/>
    <n v="26"/>
    <x v="114"/>
    <s v="VINILICA GLOSI AZUL 5A"/>
    <n v="1"/>
  </r>
  <r>
    <x v="39"/>
    <d v="2026-02-20T00:00:00"/>
    <d v="2026-03-18T00:00:00"/>
    <n v="26"/>
    <x v="70"/>
    <s v="VINILICA GLOSI NEGRO 5A"/>
    <n v="1"/>
  </r>
  <r>
    <x v="39"/>
    <d v="2026-02-20T00:00:00"/>
    <d v="2026-03-18T00:00:00"/>
    <n v="26"/>
    <x v="115"/>
    <s v="VINILICA GLOSI MARFIL 5A"/>
    <n v="1"/>
  </r>
  <r>
    <x v="40"/>
    <d v="2026-02-25T00:00:00"/>
    <d v="2026-02-27T00:00:00"/>
    <n v="2"/>
    <x v="18"/>
    <s v="ESMALTE BRILLON BLANCO"/>
    <n v="3"/>
  </r>
  <r>
    <x v="40"/>
    <d v="2026-02-25T00:00:00"/>
    <d v="2026-02-27T00:00:00"/>
    <n v="2"/>
    <x v="20"/>
    <s v="BRILLON NEGRO"/>
    <n v="3"/>
  </r>
  <r>
    <x v="40"/>
    <d v="2026-02-25T00:00:00"/>
    <d v="2026-02-27T00:00:00"/>
    <n v="2"/>
    <x v="84"/>
    <s v="VINILICA GLOSI BLANCO 3A"/>
    <n v="3"/>
  </r>
  <r>
    <x v="40"/>
    <d v="2026-02-25T00:00:00"/>
    <d v="2026-03-04T00:00:00"/>
    <n v="7"/>
    <x v="18"/>
    <s v="ESMALTE BRILLON BLANCO"/>
    <n v="-3"/>
  </r>
  <r>
    <x v="40"/>
    <d v="2026-02-25T00:00:00"/>
    <d v="2026-03-04T00:00:00"/>
    <n v="7"/>
    <x v="20"/>
    <s v="BRILLON NEGRO"/>
    <n v="-3"/>
  </r>
  <r>
    <x v="40"/>
    <d v="2026-02-25T00:00:00"/>
    <d v="2026-03-04T00:00:00"/>
    <n v="7"/>
    <x v="84"/>
    <s v="VINILICA GLOSI BLANCO 3A"/>
    <n v="-3"/>
  </r>
  <r>
    <x v="40"/>
    <d v="2026-02-25T00:00:00"/>
    <d v="2026-03-09T00:00:00"/>
    <n v="12"/>
    <x v="20"/>
    <s v="BRILLON NEGRO"/>
    <n v="3"/>
  </r>
  <r>
    <x v="40"/>
    <d v="2026-02-25T00:00:00"/>
    <d v="2026-03-09T00:00:00"/>
    <n v="12"/>
    <x v="84"/>
    <s v="VINILICA GLOSI BLANCO 3A"/>
    <n v="3"/>
  </r>
  <r>
    <x v="40"/>
    <d v="2026-02-25T00:00:00"/>
    <d v="2026-03-10T00:00:00"/>
    <n v="13"/>
    <x v="18"/>
    <s v="ESMALTE BRILLON BLANCO"/>
    <n v="3"/>
  </r>
  <r>
    <x v="41"/>
    <d v="2026-02-24T00:00:00"/>
    <d v="2026-03-05T00:00:00"/>
    <n v="9"/>
    <x v="116"/>
    <s v="ESM. ACRILICO BLANCO 501"/>
    <n v="1"/>
  </r>
  <r>
    <x v="41"/>
    <d v="2026-02-24T00:00:00"/>
    <d v="2026-03-05T00:00:00"/>
    <n v="9"/>
    <x v="50"/>
    <s v="RELLENADOR AUTOMOTRIZ C/CATAL. ROJO"/>
    <n v="4"/>
  </r>
  <r>
    <x v="41"/>
    <d v="2026-02-24T00:00:00"/>
    <d v="2026-03-05T00:00:00"/>
    <n v="9"/>
    <x v="55"/>
    <s v="RELLENADOR AUTOMOTRIZ C/CATAL. ROJO"/>
    <n v="6"/>
  </r>
  <r>
    <x v="41"/>
    <d v="2026-02-24T00:00:00"/>
    <d v="2026-03-05T00:00:00"/>
    <n v="9"/>
    <x v="117"/>
    <s v="RESANADOR PINO BA H11"/>
    <n v="2"/>
  </r>
  <r>
    <x v="41"/>
    <d v="2026-02-24T00:00:00"/>
    <d v="2026-03-05T00:00:00"/>
    <n v="9"/>
    <x v="56"/>
    <s v="PELO DE GATO"/>
    <n v="1"/>
  </r>
  <r>
    <x v="41"/>
    <d v="2026-02-24T00:00:00"/>
    <d v="2026-03-10T00:00:00"/>
    <n v="14"/>
    <x v="116"/>
    <s v="ESM. ACRILICO BLANCO 501"/>
    <n v="1"/>
  </r>
  <r>
    <x v="41"/>
    <d v="2026-02-24T00:00:00"/>
    <d v="2026-03-10T00:00:00"/>
    <n v="14"/>
    <x v="50"/>
    <s v="RELLENADOR AUTOMOTRIZ C/CATAL. ROJO"/>
    <n v="4"/>
  </r>
  <r>
    <x v="41"/>
    <d v="2026-02-24T00:00:00"/>
    <d v="2026-03-10T00:00:00"/>
    <n v="14"/>
    <x v="55"/>
    <s v="RELLENADOR AUTOMOTRIZ C/CATAL. ROJO"/>
    <n v="6"/>
  </r>
  <r>
    <x v="41"/>
    <d v="2026-02-24T00:00:00"/>
    <d v="2026-03-10T00:00:00"/>
    <n v="14"/>
    <x v="56"/>
    <s v="PELO DE GATO"/>
    <n v="1"/>
  </r>
  <r>
    <x v="41"/>
    <d v="2026-02-24T00:00:00"/>
    <d v="2026-03-10T00:00:00"/>
    <n v="14"/>
    <x v="117"/>
    <s v="RESANADOR PINO BA H11"/>
    <n v="2"/>
  </r>
  <r>
    <x v="41"/>
    <d v="2026-02-24T00:00:00"/>
    <d v="2026-03-12T00:00:00"/>
    <n v="16"/>
    <x v="50"/>
    <s v="RELLENADOR AUTOMOTRIZ C/CATAL. ROJO"/>
    <n v="4"/>
  </r>
  <r>
    <x v="41"/>
    <d v="2026-02-24T00:00:00"/>
    <d v="2026-03-12T00:00:00"/>
    <n v="16"/>
    <x v="55"/>
    <s v="RELLENADOR AUTOMOTRIZ C/CATAL. ROJO"/>
    <n v="6"/>
  </r>
  <r>
    <x v="41"/>
    <d v="2026-02-24T00:00:00"/>
    <d v="2026-03-12T00:00:00"/>
    <n v="16"/>
    <x v="65"/>
    <s v="PEGAMENTO / SELLADOR"/>
    <n v="2"/>
  </r>
  <r>
    <x v="41"/>
    <d v="2026-02-24T00:00:00"/>
    <d v="2026-03-12T00:00:00"/>
    <n v="16"/>
    <x v="118"/>
    <s v="BARNIZ ALQUIDALICO MAPLE"/>
    <n v="1"/>
  </r>
  <r>
    <x v="41"/>
    <d v="2026-02-24T00:00:00"/>
    <d v="2026-03-12T00:00:00"/>
    <n v="16"/>
    <x v="119"/>
    <s v="BARNIZ ALQUIDALICO NOGAL"/>
    <n v="1"/>
  </r>
  <r>
    <x v="41"/>
    <d v="2026-02-24T00:00:00"/>
    <d v="2026-03-12T00:00:00"/>
    <n v="16"/>
    <x v="120"/>
    <s v="BARNIZ ALQ. TRANSP. NATURAL"/>
    <n v="1"/>
  </r>
  <r>
    <x v="41"/>
    <d v="2026-02-24T00:00:00"/>
    <d v="2026-03-13T00:00:00"/>
    <n v="17"/>
    <x v="56"/>
    <s v="PELO DE GATO"/>
    <n v="-1"/>
  </r>
  <r>
    <x v="41"/>
    <d v="2026-02-24T00:00:00"/>
    <d v="2026-03-13T00:00:00"/>
    <n v="17"/>
    <x v="116"/>
    <s v="ESM. ACRILICO BLANCO 501"/>
    <n v="-1"/>
  </r>
  <r>
    <x v="41"/>
    <d v="2026-02-24T00:00:00"/>
    <d v="2026-03-13T00:00:00"/>
    <n v="17"/>
    <x v="50"/>
    <s v="RELLENADOR AUTOMOTRIZ C/CATAL. ROJO"/>
    <n v="-4"/>
  </r>
  <r>
    <x v="41"/>
    <d v="2026-02-24T00:00:00"/>
    <d v="2026-03-13T00:00:00"/>
    <n v="17"/>
    <x v="55"/>
    <s v="RELLENADOR AUTOMOTRIZ C/CATAL. ROJO"/>
    <n v="-6"/>
  </r>
  <r>
    <x v="41"/>
    <d v="2026-02-24T00:00:00"/>
    <d v="2026-03-13T00:00:00"/>
    <n v="17"/>
    <x v="117"/>
    <s v="RESANADOR PINO BA H11"/>
    <n v="-2"/>
  </r>
  <r>
    <x v="41"/>
    <d v="2026-02-24T00:00:00"/>
    <d v="2026-03-19T00:00:00"/>
    <n v="23"/>
    <x v="121"/>
    <s v="ESM. ACRILICO ROJO OBSCURO 526"/>
    <n v="1"/>
  </r>
  <r>
    <x v="41"/>
    <d v="2026-02-24T00:00:00"/>
    <d v="2026-03-19T00:00:00"/>
    <n v="23"/>
    <x v="122"/>
    <s v="ESM. ACRILICO NEGRO 590"/>
    <n v="1"/>
  </r>
  <r>
    <x v="41"/>
    <d v="2026-02-24T00:00:00"/>
    <d v="2026-03-26T00:00:00"/>
    <n v="30"/>
    <x v="123"/>
    <s v="ESM. ACRILICO BASE MET. MED. 582"/>
    <n v="1"/>
  </r>
  <r>
    <x v="41"/>
    <d v="2026-02-24T00:00:00"/>
    <d v="2026-03-26T00:00:00"/>
    <n v="30"/>
    <x v="56"/>
    <s v="PELO DE GATO"/>
    <n v="1"/>
  </r>
  <r>
    <x v="41"/>
    <d v="2026-02-24T00:00:00"/>
    <d v="2026-03-26T00:00:00"/>
    <n v="30"/>
    <x v="103"/>
    <s v="FONDO GRIS CLARO 3211"/>
    <n v="3"/>
  </r>
  <r>
    <x v="41"/>
    <d v="2026-02-24T00:00:00"/>
    <d v="2026-03-26T00:00:00"/>
    <n v="30"/>
    <x v="124"/>
    <s v="BASE COLOR BLANCA"/>
    <n v="1"/>
  </r>
  <r>
    <x v="42"/>
    <d v="2026-03-03T00:00:00"/>
    <d v="2026-03-06T00:00:00"/>
    <n v="3"/>
    <x v="27"/>
    <s v="BRILLON BLANCO"/>
    <n v="3"/>
  </r>
  <r>
    <x v="42"/>
    <d v="2026-03-03T00:00:00"/>
    <d v="2026-03-06T00:00:00"/>
    <n v="3"/>
    <x v="20"/>
    <s v="BRILLON NEGRO"/>
    <n v="3"/>
  </r>
  <r>
    <x v="42"/>
    <d v="2026-03-03T00:00:00"/>
    <d v="2026-03-06T00:00:00"/>
    <n v="3"/>
    <x v="36"/>
    <s v="BRILLON NEGRO"/>
    <n v="3"/>
  </r>
  <r>
    <x v="42"/>
    <d v="2026-03-03T00:00:00"/>
    <d v="2026-03-06T00:00:00"/>
    <n v="3"/>
    <x v="75"/>
    <s v="BRILLON NEGRO"/>
    <n v="6"/>
  </r>
  <r>
    <x v="42"/>
    <d v="2026-03-03T00:00:00"/>
    <d v="2026-03-10T00:00:00"/>
    <n v="7"/>
    <x v="77"/>
    <s v="IMPERGLOSI AGUACERO TERRACOTA 3A"/>
    <n v="1"/>
  </r>
  <r>
    <x v="42"/>
    <d v="2026-03-03T00:00:00"/>
    <d v="2026-03-10T00:00:00"/>
    <n v="7"/>
    <x v="23"/>
    <s v="IMPERGLOSI AGUACERO TERRACOTA 5A"/>
    <n v="1"/>
  </r>
  <r>
    <x v="42"/>
    <d v="2026-03-03T00:00:00"/>
    <d v="2026-03-26T00:00:00"/>
    <n v="23"/>
    <x v="39"/>
    <s v="BRILLON BLANCO"/>
    <n v="6"/>
  </r>
  <r>
    <x v="42"/>
    <d v="2026-03-03T00:00:00"/>
    <d v="2026-03-26T00:00:00"/>
    <n v="23"/>
    <x v="30"/>
    <s v="BRILLON CACAO"/>
    <n v="6"/>
  </r>
  <r>
    <x v="42"/>
    <d v="2026-03-03T00:00:00"/>
    <d v="2026-03-26T00:00:00"/>
    <n v="23"/>
    <x v="81"/>
    <s v="BRILLON DORADO"/>
    <n v="6"/>
  </r>
  <r>
    <x v="42"/>
    <d v="2026-03-03T00:00:00"/>
    <d v="2026-03-26T00:00:00"/>
    <n v="23"/>
    <x v="55"/>
    <s v="RELLENADOR AUTOMOTRIZ C/CATAL. ROJO"/>
    <n v="1"/>
  </r>
  <r>
    <x v="42"/>
    <d v="2026-03-03T00:00:00"/>
    <d v="2026-03-30T00:00:00"/>
    <n v="27"/>
    <x v="13"/>
    <s v="PULIMENTO ROJO MEDIANO TRIPOLI"/>
    <n v="3"/>
  </r>
  <r>
    <x v="43"/>
    <d v="2026-03-04T00:00:00"/>
    <d v="2026-03-06T00:00:00"/>
    <n v="2"/>
    <x v="125"/>
    <s v="TRAFICO AMARILLO SCT"/>
    <n v="2"/>
  </r>
  <r>
    <x v="43"/>
    <d v="2026-03-04T00:00:00"/>
    <d v="2026-03-06T00:00:00"/>
    <n v="2"/>
    <x v="126"/>
    <s v="KITOX BLANCO"/>
    <n v="1"/>
  </r>
  <r>
    <x v="43"/>
    <d v="2026-03-04T00:00:00"/>
    <d v="2026-03-06T00:00:00"/>
    <n v="2"/>
    <x v="127"/>
    <s v="KITOX BLANCO"/>
    <n v="2"/>
  </r>
  <r>
    <x v="43"/>
    <d v="2026-03-04T00:00:00"/>
    <d v="2026-03-06T00:00:00"/>
    <n v="2"/>
    <x v="128"/>
    <s v="KITOX NEGRO"/>
    <n v="1"/>
  </r>
  <r>
    <x v="43"/>
    <d v="2026-03-04T00:00:00"/>
    <d v="2026-03-06T00:00:00"/>
    <n v="2"/>
    <x v="129"/>
    <s v="KITOX NEGRO"/>
    <n v="6"/>
  </r>
  <r>
    <x v="43"/>
    <d v="2026-03-04T00:00:00"/>
    <d v="2026-03-06T00:00:00"/>
    <n v="2"/>
    <x v="55"/>
    <s v="RELLENADOR AUTOMOTRIZ C/CATAL. ROJO"/>
    <n v="12"/>
  </r>
  <r>
    <x v="43"/>
    <d v="2026-03-04T00:00:00"/>
    <d v="2026-03-06T00:00:00"/>
    <n v="2"/>
    <x v="130"/>
    <s v="VINIBAR BLANCO"/>
    <n v="3"/>
  </r>
  <r>
    <x v="43"/>
    <d v="2026-03-04T00:00:00"/>
    <d v="2026-03-06T00:00:00"/>
    <n v="2"/>
    <x v="131"/>
    <s v="VINIBAR BLANCO"/>
    <n v="4"/>
  </r>
  <r>
    <x v="43"/>
    <d v="2026-03-04T00:00:00"/>
    <d v="2026-03-06T00:00:00"/>
    <n v="2"/>
    <x v="132"/>
    <s v="RIVINOL 5 S BLANCO"/>
    <n v="5"/>
  </r>
  <r>
    <x v="43"/>
    <d v="2026-03-04T00:00:00"/>
    <d v="2026-03-11T00:00:00"/>
    <n v="7"/>
    <x v="133"/>
    <s v="DESCUENTO POR PRONTO PAGO"/>
    <n v="0"/>
  </r>
  <r>
    <x v="43"/>
    <d v="2026-03-04T00:00:00"/>
    <d v="2026-03-13T00:00:00"/>
    <n v="9"/>
    <x v="134"/>
    <s v="PRIMARIO ESTRUCTURAS GRIS"/>
    <n v="6"/>
  </r>
  <r>
    <x v="43"/>
    <d v="2026-03-04T00:00:00"/>
    <d v="2026-03-19T00:00:00"/>
    <n v="15"/>
    <x v="133"/>
    <s v="DESCUENTO POR PRONTO PAGO"/>
    <n v="0"/>
  </r>
  <r>
    <x v="43"/>
    <d v="2026-03-04T00:00:00"/>
    <d v="2026-03-20T00:00:00"/>
    <n v="16"/>
    <x v="135"/>
    <s v="BRILLON ALUMINIO"/>
    <n v="6"/>
  </r>
  <r>
    <x v="43"/>
    <d v="2026-03-04T00:00:00"/>
    <d v="2026-03-23T00:00:00"/>
    <n v="19"/>
    <x v="133"/>
    <s v="DESCUENTO POR PRONTO PAGO"/>
    <n v="0"/>
  </r>
  <r>
    <x v="43"/>
    <d v="2026-03-04T00:00:00"/>
    <d v="2026-03-23T00:00:00"/>
    <n v="19"/>
    <x v="127"/>
    <s v="KITOX BLANCO"/>
    <n v="4"/>
  </r>
  <r>
    <x v="43"/>
    <d v="2026-03-04T00:00:00"/>
    <d v="2026-03-23T00:00:00"/>
    <n v="19"/>
    <x v="125"/>
    <s v="TRAFICO AMARILLO SCT"/>
    <n v="2"/>
  </r>
  <r>
    <x v="43"/>
    <d v="2026-03-04T00:00:00"/>
    <d v="2026-03-23T00:00:00"/>
    <n v="19"/>
    <x v="136"/>
    <s v="KITOX NEGRO"/>
    <n v="2"/>
  </r>
  <r>
    <x v="43"/>
    <d v="2026-03-04T00:00:00"/>
    <d v="2026-03-23T00:00:00"/>
    <n v="19"/>
    <x v="137"/>
    <s v="KITOX NEGRO"/>
    <n v="6"/>
  </r>
  <r>
    <x v="43"/>
    <d v="2026-03-04T00:00:00"/>
    <d v="2026-03-24T00:00:00"/>
    <n v="20"/>
    <x v="135"/>
    <s v="BRILLON ALUMINIO"/>
    <n v="6"/>
  </r>
  <r>
    <x v="43"/>
    <d v="2026-03-04T00:00:00"/>
    <d v="2026-03-25T00:00:00"/>
    <n v="21"/>
    <x v="133"/>
    <s v="DESCUENTO POR PRONTO PAGO"/>
    <n v="0"/>
  </r>
  <r>
    <x v="43"/>
    <d v="2026-03-04T00:00:00"/>
    <d v="2026-03-25T00:00:00"/>
    <n v="21"/>
    <x v="133"/>
    <s v="DESCUENTO POR PRONTO PAGO"/>
    <n v="0"/>
  </r>
  <r>
    <x v="43"/>
    <d v="2026-03-04T00:00:00"/>
    <d v="2026-03-25T00:00:00"/>
    <n v="21"/>
    <x v="135"/>
    <s v="BRILLON ALUMINIO"/>
    <n v="-6"/>
  </r>
  <r>
    <x v="43"/>
    <d v="2026-03-04T00:00:00"/>
    <d v="2026-03-30T00:00:00"/>
    <n v="26"/>
    <x v="138"/>
    <s v="KITOX PIZARRA"/>
    <n v="2"/>
  </r>
  <r>
    <x v="43"/>
    <d v="2026-03-04T00:00:00"/>
    <d v="2026-03-30T00:00:00"/>
    <n v="26"/>
    <x v="49"/>
    <s v="SIAMIL ECONOMICO MI FL 20 KG"/>
    <n v="15"/>
  </r>
  <r>
    <x v="44"/>
    <d v="2026-03-03T00:00:00"/>
    <d v="2026-03-06T00:00:00"/>
    <n v="3"/>
    <x v="139"/>
    <s v="AEROSOL ACRILICO TRANSPARENTE"/>
    <n v="6"/>
  </r>
  <r>
    <x v="44"/>
    <d v="2026-03-03T00:00:00"/>
    <d v="2026-03-06T00:00:00"/>
    <n v="3"/>
    <x v="49"/>
    <s v="SIAMIL ECONOMICO MI FL 20 KG"/>
    <n v="3"/>
  </r>
  <r>
    <x v="44"/>
    <d v="2026-03-03T00:00:00"/>
    <d v="2026-03-23T00:00:00"/>
    <n v="20"/>
    <x v="1"/>
    <s v="AEROSOL NEGRO BRILLANTE"/>
    <n v="6"/>
  </r>
  <r>
    <x v="44"/>
    <d v="2026-03-03T00:00:00"/>
    <d v="2026-03-27T00:00:00"/>
    <n v="24"/>
    <x v="3"/>
    <s v="AEROSOL BLANCO BRILLANTE"/>
    <n v="6"/>
  </r>
  <r>
    <x v="45"/>
    <d v="2026-03-05T00:00:00"/>
    <d v="2026-03-09T00:00:00"/>
    <n v="4"/>
    <x v="54"/>
    <s v="PULIMENTO BLANCO 1968"/>
    <n v="2"/>
  </r>
  <r>
    <x v="45"/>
    <d v="2026-03-05T00:00:00"/>
    <d v="2026-03-23T00:00:00"/>
    <n v="18"/>
    <x v="50"/>
    <s v="RELLENADOR AUTOMOTRIZ C/CATAL. ROJO"/>
    <n v="2"/>
  </r>
  <r>
    <x v="45"/>
    <d v="2026-03-05T00:00:00"/>
    <d v="2026-03-23T00:00:00"/>
    <n v="18"/>
    <x v="54"/>
    <s v="PULIMENTO BLANCO 1968"/>
    <n v="1"/>
  </r>
  <r>
    <x v="46"/>
    <d v="2026-03-09T00:00:00"/>
    <d v="2026-03-10T00:00:00"/>
    <n v="1"/>
    <x v="140"/>
    <s v="CUNA CHICA SIN MANGO P/RESANAR"/>
    <n v="77"/>
  </r>
  <r>
    <x v="46"/>
    <d v="2026-03-09T00:00:00"/>
    <d v="2026-03-10T00:00:00"/>
    <n v="1"/>
    <x v="141"/>
    <s v="NEGRO CHASIS"/>
    <n v="4"/>
  </r>
  <r>
    <x v="46"/>
    <d v="2026-03-09T00:00:00"/>
    <d v="2026-03-10T00:00:00"/>
    <n v="1"/>
    <x v="50"/>
    <s v="RELLENADOR AUTOMOTRIZ C/CATAL. ROJO"/>
    <n v="40"/>
  </r>
  <r>
    <x v="46"/>
    <d v="2026-03-09T00:00:00"/>
    <d v="2026-03-10T00:00:00"/>
    <n v="1"/>
    <x v="67"/>
    <s v="ESMALTE GLOSI SR BLANCO"/>
    <n v="8"/>
  </r>
  <r>
    <x v="46"/>
    <d v="2026-03-09T00:00:00"/>
    <d v="2026-03-17T00:00:00"/>
    <n v="8"/>
    <x v="47"/>
    <s v="ESMALTE GLOSI SR NEGRO BRILLANTE"/>
    <n v="8"/>
  </r>
  <r>
    <x v="46"/>
    <d v="2026-03-09T00:00:00"/>
    <d v="2026-03-17T00:00:00"/>
    <n v="8"/>
    <x v="142"/>
    <s v="ESMALTE GLOSI SR ROJO"/>
    <n v="16"/>
  </r>
  <r>
    <x v="46"/>
    <d v="2026-03-09T00:00:00"/>
    <d v="2026-03-24T00:00:00"/>
    <n v="15"/>
    <x v="143"/>
    <s v="CUNA GRANDE SIN MANGO P/RESANAR"/>
    <n v="100"/>
  </r>
  <r>
    <x v="46"/>
    <d v="2026-03-09T00:00:00"/>
    <d v="2026-03-24T00:00:00"/>
    <n v="15"/>
    <x v="140"/>
    <s v="CUNA CHICA SIN MANGO P/RESANAR"/>
    <n v="23"/>
  </r>
  <r>
    <x v="47"/>
    <d v="2026-03-09T00:00:00"/>
    <d v="2026-03-25T00:00:00"/>
    <n v="16"/>
    <x v="55"/>
    <s v="RELLENADOR AUTOMOTRIZ C/CATAL. ROJO"/>
    <n v="6"/>
  </r>
  <r>
    <x v="47"/>
    <d v="2026-03-09T00:00:00"/>
    <d v="2026-03-25T00:00:00"/>
    <n v="16"/>
    <x v="144"/>
    <s v="PRIMARIO GLOSI ESTRUCTURAS GRIS"/>
    <n v="3"/>
  </r>
  <r>
    <x v="47"/>
    <d v="2026-03-09T00:00:00"/>
    <d v="2026-03-25T00:00:00"/>
    <n v="16"/>
    <x v="67"/>
    <s v="ESMALTE GLOSI SR BLANCO"/>
    <n v="1"/>
  </r>
  <r>
    <x v="47"/>
    <d v="2026-03-09T00:00:00"/>
    <d v="2026-03-25T00:00:00"/>
    <n v="16"/>
    <x v="48"/>
    <s v="ESMALTE GLOSI SR BLANCO"/>
    <n v="3"/>
  </r>
  <r>
    <x v="47"/>
    <d v="2026-03-09T00:00:00"/>
    <d v="2026-03-25T00:00:00"/>
    <n v="16"/>
    <x v="85"/>
    <s v="ESMALTE GLOSI SR NEGRO BRILLANTE"/>
    <n v="3"/>
  </r>
  <r>
    <x v="47"/>
    <d v="2026-03-09T00:00:00"/>
    <d v="2026-03-25T00:00:00"/>
    <n v="16"/>
    <x v="145"/>
    <s v="ACEITE DE LINAZA PROTECTOR DE MADERA"/>
    <n v="2"/>
  </r>
  <r>
    <x v="47"/>
    <d v="2026-03-09T00:00:00"/>
    <d v="2026-03-25T00:00:00"/>
    <n v="16"/>
    <x v="55"/>
    <s v="RELLENADOR AUTOMOTRIZ C/CATAL. ROJO"/>
    <n v="-6"/>
  </r>
  <r>
    <x v="47"/>
    <d v="2026-03-09T00:00:00"/>
    <d v="2026-03-25T00:00:00"/>
    <n v="16"/>
    <x v="144"/>
    <s v="PRIMARIO GLOSI ESTRUCTURAS GRIS"/>
    <n v="-3"/>
  </r>
  <r>
    <x v="47"/>
    <d v="2026-03-09T00:00:00"/>
    <d v="2026-03-25T00:00:00"/>
    <n v="16"/>
    <x v="67"/>
    <s v="ESMALTE GLOSI SR BLANCO"/>
    <n v="-1"/>
  </r>
  <r>
    <x v="47"/>
    <d v="2026-03-09T00:00:00"/>
    <d v="2026-03-25T00:00:00"/>
    <n v="16"/>
    <x v="48"/>
    <s v="ESMALTE GLOSI SR BLANCO"/>
    <n v="-3"/>
  </r>
  <r>
    <x v="47"/>
    <d v="2026-03-09T00:00:00"/>
    <d v="2026-03-25T00:00:00"/>
    <n v="16"/>
    <x v="85"/>
    <s v="ESMALTE GLOSI SR NEGRO BRILLANTE"/>
    <n v="-3"/>
  </r>
  <r>
    <x v="47"/>
    <d v="2026-03-09T00:00:00"/>
    <d v="2026-03-25T00:00:00"/>
    <n v="16"/>
    <x v="145"/>
    <s v="ACEITE DE LINAZA PROTECTOR DE MADERA"/>
    <n v="-2"/>
  </r>
  <r>
    <x v="47"/>
    <d v="2026-03-09T00:00:00"/>
    <d v="2026-03-25T00:00:00"/>
    <n v="16"/>
    <x v="55"/>
    <s v="RELLENADOR AUTOMOTRIZ C/CATAL. ROJO"/>
    <n v="6"/>
  </r>
  <r>
    <x v="47"/>
    <d v="2026-03-09T00:00:00"/>
    <d v="2026-03-25T00:00:00"/>
    <n v="16"/>
    <x v="144"/>
    <s v="PRIMARIO GLOSI ESTRUCTURAS GRIS"/>
    <n v="3"/>
  </r>
  <r>
    <x v="47"/>
    <d v="2026-03-09T00:00:00"/>
    <d v="2026-03-25T00:00:00"/>
    <n v="16"/>
    <x v="67"/>
    <s v="ESMALTE GLOSI SR BLANCO"/>
    <n v="1"/>
  </r>
  <r>
    <x v="47"/>
    <d v="2026-03-09T00:00:00"/>
    <d v="2026-03-25T00:00:00"/>
    <n v="16"/>
    <x v="48"/>
    <s v="ESMALTE GLOSI SR BLANCO"/>
    <n v="3"/>
  </r>
  <r>
    <x v="47"/>
    <d v="2026-03-09T00:00:00"/>
    <d v="2026-03-25T00:00:00"/>
    <n v="16"/>
    <x v="85"/>
    <s v="ESMALTE GLOSI SR NEGRO BRILLANTE"/>
    <n v="3"/>
  </r>
  <r>
    <x v="47"/>
    <d v="2026-03-09T00:00:00"/>
    <d v="2026-03-25T00:00:00"/>
    <n v="16"/>
    <x v="145"/>
    <s v="ACEITE DE LINAZA PROTECTOR DE MADERA"/>
    <n v="2"/>
  </r>
  <r>
    <x v="47"/>
    <d v="2026-03-09T00:00:00"/>
    <d v="2026-03-25T00:00:00"/>
    <n v="16"/>
    <x v="145"/>
    <s v="ACEITE DE LINAZA PROTECTOR DE MADERA"/>
    <n v="-2"/>
  </r>
  <r>
    <x v="47"/>
    <d v="2026-03-09T00:00:00"/>
    <d v="2026-03-25T00:00:00"/>
    <n v="16"/>
    <x v="145"/>
    <s v="ACEITE DE LINAZA PROTECTOR DE MADERA"/>
    <n v="2"/>
  </r>
  <r>
    <x v="47"/>
    <d v="2026-03-09T00:00:00"/>
    <d v="2026-03-31T00:00:00"/>
    <n v="22"/>
    <x v="76"/>
    <s v="IMPERGLOSI AGUACERO BLANCO 3A"/>
    <n v="4"/>
  </r>
  <r>
    <x v="47"/>
    <d v="2026-03-09T00:00:00"/>
    <d v="2026-03-31T00:00:00"/>
    <n v="22"/>
    <x v="47"/>
    <s v="ESMALTE GLOSI SR NEGRO BRILLANTE"/>
    <n v="1"/>
  </r>
  <r>
    <x v="48"/>
    <d v="2026-03-11T00:00:00"/>
    <d v="2026-03-18T00:00:00"/>
    <n v="7"/>
    <x v="75"/>
    <s v="BRILLON NEGRO"/>
    <n v="6"/>
  </r>
  <r>
    <x v="48"/>
    <d v="2026-03-11T00:00:00"/>
    <d v="2026-03-23T00:00:00"/>
    <n v="12"/>
    <x v="1"/>
    <s v="AEROSOL NEGRO BRILLANTE"/>
    <n v="6"/>
  </r>
  <r>
    <x v="48"/>
    <d v="2026-03-11T00:00:00"/>
    <d v="2026-03-25T00:00:00"/>
    <n v="14"/>
    <x v="0"/>
    <s v="AEROSOL NEGRO MATE"/>
    <n v="6"/>
  </r>
  <r>
    <x v="48"/>
    <d v="2026-03-11T00:00:00"/>
    <d v="2026-03-28T00:00:00"/>
    <n v="17"/>
    <x v="3"/>
    <s v="AEROSOL BLANCO BRILLANTE"/>
    <n v="6"/>
  </r>
  <r>
    <x v="49"/>
    <d v="2026-03-13T00:00:00"/>
    <d v="2026-03-18T00:00:00"/>
    <n v="5"/>
    <x v="76"/>
    <s v="IMPERGLOSI AGUACERO BLANCO 3A"/>
    <n v="12"/>
  </r>
  <r>
    <x v="49"/>
    <d v="2026-03-13T00:00:00"/>
    <d v="2026-03-18T00:00:00"/>
    <n v="5"/>
    <x v="77"/>
    <s v="IMPERGLOSI AGUACERO TERRACOTA 3A"/>
    <n v="12"/>
  </r>
  <r>
    <x v="50"/>
    <d v="2026-03-12T00:00:00"/>
    <d v="2026-03-21T00:00:00"/>
    <n v="9"/>
    <x v="76"/>
    <s v="IMPERGLOSI AGUACERO BLANCO 3A"/>
    <n v="1"/>
  </r>
  <r>
    <x v="50"/>
    <d v="2026-03-12T00:00:00"/>
    <d v="2026-03-21T00:00:00"/>
    <n v="9"/>
    <x v="77"/>
    <s v="IMPERGLOSI AGUACERO TERRACOTA 3A"/>
    <n v="1"/>
  </r>
  <r>
    <x v="50"/>
    <d v="2026-03-12T00:00:00"/>
    <d v="2026-03-21T00:00:00"/>
    <n v="9"/>
    <x v="146"/>
    <s v="VINILICA GLOSI PAJA 3A"/>
    <n v="1"/>
  </r>
  <r>
    <x v="50"/>
    <d v="2026-03-12T00:00:00"/>
    <d v="2026-04-01T00:00:00"/>
    <n v="20"/>
    <x v="76"/>
    <s v="IMPERGLOSI AGUACERO BLANCO 3A"/>
    <n v="3"/>
  </r>
  <r>
    <x v="50"/>
    <d v="2026-03-12T00:00:00"/>
    <d v="2026-04-01T00:00:00"/>
    <n v="20"/>
    <x v="77"/>
    <s v="IMPERGLOSI AGUACERO TERRACOTA 3A"/>
    <n v="3"/>
  </r>
  <r>
    <x v="51"/>
    <d v="2026-03-18T00:00:00"/>
    <d v="2026-04-17T00:00:00"/>
    <n v="30"/>
    <x v="0"/>
    <s v="AEROSOL NEGRO MATE"/>
    <n v="12"/>
  </r>
  <r>
    <x v="51"/>
    <d v="2026-03-18T00:00:00"/>
    <d v="2026-04-17T00:00:00"/>
    <n v="30"/>
    <x v="139"/>
    <s v="AEROSOL ACRILICO TRANSPARENTE"/>
    <n v="6"/>
  </r>
  <r>
    <x v="51"/>
    <d v="2026-03-18T00:00:00"/>
    <d v="2026-04-17T00:00:00"/>
    <n v="30"/>
    <x v="1"/>
    <s v="AEROSOL NEGRO BRILLANTE"/>
    <n v="12"/>
  </r>
  <r>
    <x v="52"/>
    <d v="2026-03-18T00:00:00"/>
    <d v="2026-03-23T00:00:00"/>
    <n v="5"/>
    <x v="78"/>
    <s v="AGUACERO 4A BLANCO FIBRATADO"/>
    <n v="3"/>
  </r>
  <r>
    <x v="52"/>
    <d v="2026-03-18T00:00:00"/>
    <d v="2026-03-23T00:00:00"/>
    <n v="5"/>
    <x v="112"/>
    <s v="AGUACERO 4A TERRACOTA FIBRATADO"/>
    <n v="3"/>
  </r>
  <r>
    <x v="52"/>
    <d v="2026-03-18T00:00:00"/>
    <d v="2026-03-30T00:00:00"/>
    <n v="12"/>
    <x v="147"/>
    <s v="VINILICA GLOSI BLANCO PRO"/>
    <n v="1"/>
  </r>
  <r>
    <x v="52"/>
    <d v="2026-03-18T00:00:00"/>
    <d v="2026-03-30T00:00:00"/>
    <n v="12"/>
    <x v="148"/>
    <s v="VINILICA GLOSI OCRE PRO"/>
    <n v="1"/>
  </r>
  <r>
    <x v="53"/>
    <d v="2026-03-19T00:00:00"/>
    <d v="2026-03-25T00:00:00"/>
    <n v="6"/>
    <x v="149"/>
    <s v="BRILLON BLANCO MATE"/>
    <n v="6"/>
  </r>
  <r>
    <x v="53"/>
    <d v="2026-03-19T00:00:00"/>
    <d v="2026-03-25T00:00:00"/>
    <n v="6"/>
    <x v="82"/>
    <s v="BRILLON NEGRO MATE"/>
    <n v="6"/>
  </r>
  <r>
    <x v="53"/>
    <d v="2026-03-19T00:00:00"/>
    <d v="2026-03-25T00:00:00"/>
    <n v="6"/>
    <x v="150"/>
    <s v="ESMALTE GLOSI SR BLANCO"/>
    <n v="12"/>
  </r>
  <r>
    <x v="53"/>
    <d v="2026-03-19T00:00:00"/>
    <d v="2026-03-25T00:00:00"/>
    <n v="6"/>
    <x v="151"/>
    <s v="ESMALTE GLOSI SR NEGRO MATE"/>
    <n v="6"/>
  </r>
  <r>
    <x v="53"/>
    <d v="2026-03-19T00:00:00"/>
    <d v="2026-03-30T00:00:00"/>
    <n v="11"/>
    <x v="152"/>
    <s v="ESMALTE GLOSI SR BLANCO MATE"/>
    <n v="6"/>
  </r>
  <r>
    <x v="53"/>
    <d v="2026-03-19T00:00:00"/>
    <d v="2026-03-30T00:00:00"/>
    <n v="11"/>
    <x v="27"/>
    <s v="BRILLON BLANCO"/>
    <n v="6"/>
  </r>
  <r>
    <x v="53"/>
    <d v="2026-03-19T00:00:00"/>
    <d v="2026-03-30T00:00:00"/>
    <n v="11"/>
    <x v="59"/>
    <s v="BARNIZ ALQ. TRANSP. NATURAL"/>
    <n v="6"/>
  </r>
  <r>
    <x v="53"/>
    <d v="2026-03-19T00:00:00"/>
    <d v="2026-03-30T00:00:00"/>
    <n v="11"/>
    <x v="36"/>
    <s v="BRILLON NEGRO"/>
    <n v="6"/>
  </r>
  <r>
    <x v="53"/>
    <d v="2026-03-19T00:00:00"/>
    <d v="2026-03-30T00:00:00"/>
    <n v="11"/>
    <x v="75"/>
    <s v="BRILLON NEGRO"/>
    <n v="6"/>
  </r>
  <r>
    <x v="53"/>
    <d v="2026-03-19T00:00:00"/>
    <d v="2026-03-31T00:00:00"/>
    <n v="12"/>
    <x v="24"/>
    <s v="VINILICA GLOSI BLANCO 3A"/>
    <n v="4"/>
  </r>
  <r>
    <x v="53"/>
    <d v="2026-03-19T00:00:00"/>
    <d v="2026-03-31T00:00:00"/>
    <n v="12"/>
    <x v="83"/>
    <s v="ESMALTE GLOSI SR NEGRO BRILLANTE"/>
    <n v="12"/>
  </r>
  <r>
    <x v="54"/>
    <d v="2026-03-19T00:00:00"/>
    <d v="2026-03-23T00:00:00"/>
    <n v="4"/>
    <x v="153"/>
    <s v="MEMBRANA DE REFUERZO P/IMPER 17/105 20 G"/>
    <n v="1"/>
  </r>
  <r>
    <x v="54"/>
    <d v="2026-03-19T00:00:00"/>
    <d v="2026-03-23T00:00:00"/>
    <n v="4"/>
    <x v="79"/>
    <s v="IMPERGLOSI AGUACERO BLANCO 5A"/>
    <n v="1"/>
  </r>
  <r>
    <x v="54"/>
    <d v="2026-03-19T00:00:00"/>
    <d v="2026-03-28T00:00:00"/>
    <n v="9"/>
    <x v="154"/>
    <s v="VINILICA GLOSI BLANCO ULTRA"/>
    <n v="1"/>
  </r>
  <r>
    <x v="54"/>
    <d v="2026-03-19T00:00:00"/>
    <d v="2026-04-14T00:00:00"/>
    <n v="26"/>
    <x v="76"/>
    <s v="IMPERGLOSI AGUACERO BLANCO 3A"/>
    <n v="3"/>
  </r>
  <r>
    <x v="54"/>
    <d v="2026-03-19T00:00:00"/>
    <d v="2026-04-14T00:00:00"/>
    <n v="26"/>
    <x v="77"/>
    <s v="IMPERGLOSI AGUACERO TERRACOTA 3A"/>
    <n v="3"/>
  </r>
  <r>
    <x v="54"/>
    <d v="2026-03-19T00:00:00"/>
    <d v="2026-04-18T00:00:00"/>
    <n v="30"/>
    <x v="153"/>
    <s v="MEMBRANA DE REFUERZO P/IMPER 17/105 20 G"/>
    <n v="1"/>
  </r>
  <r>
    <x v="54"/>
    <d v="2026-03-19T00:00:00"/>
    <d v="2026-04-18T00:00:00"/>
    <n v="30"/>
    <x v="49"/>
    <s v="SIAMIL ECONOMICO MI FL 20 KG"/>
    <n v="1"/>
  </r>
  <r>
    <x v="54"/>
    <d v="2026-03-19T00:00:00"/>
    <d v="2026-04-18T00:00:00"/>
    <n v="30"/>
    <x v="154"/>
    <s v="VINILICA GLOSI BLANCO ULTRA"/>
    <n v="2"/>
  </r>
  <r>
    <x v="54"/>
    <d v="2026-03-19T00:00:00"/>
    <d v="2026-04-18T00:00:00"/>
    <n v="30"/>
    <x v="155"/>
    <s v="VINILICA GLOSI AZUL INTENSO 5 A"/>
    <n v="1"/>
  </r>
  <r>
    <x v="55"/>
    <d v="2026-03-18T00:00:00"/>
    <d v="2026-03-19T00:00:00"/>
    <n v="1"/>
    <x v="79"/>
    <s v="IMPERGLOSI AGUACERO BLANCO 5A"/>
    <n v="6"/>
  </r>
  <r>
    <x v="55"/>
    <d v="2026-03-18T00:00:00"/>
    <d v="2026-03-19T00:00:00"/>
    <n v="1"/>
    <x v="23"/>
    <s v="IMPERGLOSI AGUACERO TERRACOTA 5A"/>
    <n v="24"/>
  </r>
  <r>
    <x v="55"/>
    <d v="2026-03-18T00:00:00"/>
    <d v="2026-03-25T00:00:00"/>
    <n v="7"/>
    <x v="133"/>
    <s v="DESCUENTO POR PRONTO PAGO"/>
    <n v="0"/>
  </r>
  <r>
    <x v="56"/>
    <d v="2026-03-20T00:00:00"/>
    <d v="2026-03-24T00:00:00"/>
    <n v="4"/>
    <x v="98"/>
    <s v="VINILICA GLOSI BLANCO 3A"/>
    <n v="1"/>
  </r>
  <r>
    <x v="57"/>
    <d v="2026-03-20T00:00:00"/>
    <d v="2026-03-24T00:00:00"/>
    <n v="4"/>
    <x v="77"/>
    <s v="IMPERGLOSI AGUACERO TERRACOTA 3A"/>
    <n v="6"/>
  </r>
  <r>
    <x v="57"/>
    <d v="2026-03-20T00:00:00"/>
    <d v="2026-03-26T00:00:00"/>
    <n v="6"/>
    <x v="44"/>
    <s v="ESMALTE BRILLON BLANCO."/>
    <n v="4"/>
  </r>
  <r>
    <x v="57"/>
    <d v="2026-03-20T00:00:00"/>
    <d v="2026-03-26T00:00:00"/>
    <n v="6"/>
    <x v="20"/>
    <s v="BRILLON NEGRO"/>
    <n v="12"/>
  </r>
  <r>
    <x v="57"/>
    <d v="2026-03-20T00:00:00"/>
    <d v="2026-03-26T00:00:00"/>
    <n v="6"/>
    <x v="55"/>
    <s v="RELLENADOR AUTOMOTRIZ C/CATAL. ROJO"/>
    <n v="18"/>
  </r>
  <r>
    <x v="58"/>
    <d v="2026-03-21T00:00:00"/>
    <d v="2026-03-25T00:00:00"/>
    <n v="4"/>
    <x v="55"/>
    <s v="RELLENADOR AUTOMOTRIZ C/CATAL. ROJO"/>
    <n v="6"/>
  </r>
  <r>
    <x v="58"/>
    <d v="2026-03-21T00:00:00"/>
    <d v="2026-03-25T00:00:00"/>
    <n v="4"/>
    <x v="76"/>
    <s v="IMPERGLOSI AGUACERO BLANCO 3A"/>
    <n v="3"/>
  </r>
  <r>
    <x v="58"/>
    <d v="2026-03-21T00:00:00"/>
    <d v="2026-03-25T00:00:00"/>
    <n v="4"/>
    <x v="77"/>
    <s v="IMPERGLOSI AGUACERO TERRACOTA 3A"/>
    <n v="3"/>
  </r>
  <r>
    <x v="58"/>
    <d v="2026-03-21T00:00:00"/>
    <d v="2026-03-28T00:00:00"/>
    <n v="7"/>
    <x v="49"/>
    <s v="SIAMIL ECONOMICO MI FL 20 KG"/>
    <n v="20"/>
  </r>
  <r>
    <x v="58"/>
    <d v="2026-03-21T00:00:00"/>
    <d v="2026-03-31T00:00:00"/>
    <n v="10"/>
    <x v="77"/>
    <s v="IMPERGLOSI AGUACERO TERRACOTA 3A"/>
    <n v="6"/>
  </r>
  <r>
    <x v="58"/>
    <d v="2026-03-21T00:00:00"/>
    <d v="2026-04-10T00:00:00"/>
    <n v="20"/>
    <x v="77"/>
    <s v="IMPERGLOSI AGUACERO TERRACOTA 3A"/>
    <n v="6"/>
  </r>
  <r>
    <x v="59"/>
    <d v="2026-03-23T00:00:00"/>
    <d v="2026-03-26T00:00:00"/>
    <n v="3"/>
    <x v="21"/>
    <s v="IMPERGLOSI AGUACERO BLANCO 3A"/>
    <n v="10"/>
  </r>
  <r>
    <x v="59"/>
    <d v="2026-03-23T00:00:00"/>
    <d v="2026-03-26T00:00:00"/>
    <n v="3"/>
    <x v="22"/>
    <s v="IMPERGLOSI AGUACERO TERRACOTA 3A"/>
    <n v="20"/>
  </r>
  <r>
    <x v="59"/>
    <d v="2026-03-23T00:00:00"/>
    <d v="2026-03-26T00:00:00"/>
    <n v="3"/>
    <x v="100"/>
    <s v="VINILICA GLOSI MARFIL 3A"/>
    <n v="1"/>
  </r>
  <r>
    <x v="59"/>
    <d v="2026-03-23T00:00:00"/>
    <d v="2026-03-26T00:00:00"/>
    <n v="3"/>
    <x v="156"/>
    <s v="VINILICA GLOSI PAJA 3A"/>
    <n v="1"/>
  </r>
  <r>
    <x v="59"/>
    <d v="2026-03-23T00:00:00"/>
    <d v="2026-03-26T00:00:00"/>
    <n v="3"/>
    <x v="157"/>
    <s v="VINILICA GLOSI CANTALUP 3A"/>
    <n v="1"/>
  </r>
  <r>
    <x v="59"/>
    <d v="2026-03-23T00:00:00"/>
    <d v="2026-03-26T00:00:00"/>
    <n v="3"/>
    <x v="158"/>
    <s v="VINILICA GLOSI VIOLETA 3A"/>
    <n v="1"/>
  </r>
  <r>
    <x v="59"/>
    <d v="2026-03-23T00:00:00"/>
    <d v="2026-03-26T00:00:00"/>
    <n v="3"/>
    <x v="159"/>
    <s v="VINILICA GLOSI AZUL 3A"/>
    <n v="1"/>
  </r>
  <r>
    <x v="59"/>
    <d v="2026-03-23T00:00:00"/>
    <d v="2026-03-29T00:00:00"/>
    <n v="6"/>
    <x v="21"/>
    <s v="IMPERGLOSI AGUACERO BLANCO 3A"/>
    <n v="-10"/>
  </r>
  <r>
    <x v="59"/>
    <d v="2026-03-23T00:00:00"/>
    <d v="2026-03-29T00:00:00"/>
    <n v="6"/>
    <x v="22"/>
    <s v="IMPERGLOSI AGUACERO TERRACOTA 3A"/>
    <n v="-20"/>
  </r>
  <r>
    <x v="59"/>
    <d v="2026-03-23T00:00:00"/>
    <d v="2026-03-29T00:00:00"/>
    <n v="6"/>
    <x v="100"/>
    <s v="VINILICA GLOSI MARFIL 3A"/>
    <n v="-1"/>
  </r>
  <r>
    <x v="59"/>
    <d v="2026-03-23T00:00:00"/>
    <d v="2026-03-29T00:00:00"/>
    <n v="6"/>
    <x v="156"/>
    <s v="VINILICA GLOSI PAJA 3A"/>
    <n v="-1"/>
  </r>
  <r>
    <x v="59"/>
    <d v="2026-03-23T00:00:00"/>
    <d v="2026-03-29T00:00:00"/>
    <n v="6"/>
    <x v="157"/>
    <s v="VINILICA GLOSI CANTALUP 3A"/>
    <n v="-1"/>
  </r>
  <r>
    <x v="59"/>
    <d v="2026-03-23T00:00:00"/>
    <d v="2026-03-29T00:00:00"/>
    <n v="6"/>
    <x v="158"/>
    <s v="VINILICA GLOSI VIOLETA 3A"/>
    <n v="-1"/>
  </r>
  <r>
    <x v="59"/>
    <d v="2026-03-23T00:00:00"/>
    <d v="2026-03-29T00:00:00"/>
    <n v="6"/>
    <x v="159"/>
    <s v="VINILICA GLOSI AZUL 3A"/>
    <n v="-1"/>
  </r>
  <r>
    <x v="60"/>
    <d v="2026-03-23T00:00:00"/>
    <d v="2026-03-26T00:00:00"/>
    <n v="3"/>
    <x v="76"/>
    <s v="IMPERGLOSI AGUACERO BLANCO 3A"/>
    <n v="2"/>
  </r>
  <r>
    <x v="60"/>
    <d v="2026-03-23T00:00:00"/>
    <d v="2026-03-26T00:00:00"/>
    <n v="3"/>
    <x v="77"/>
    <s v="IMPERGLOSI AGUACERO TERRACOTA 3A"/>
    <n v="10"/>
  </r>
  <r>
    <x v="60"/>
    <d v="2026-03-23T00:00:00"/>
    <d v="2026-03-26T00:00:00"/>
    <n v="3"/>
    <x v="1"/>
    <s v="AEROSOL NEGRO BRILLANTE"/>
    <n v="6"/>
  </r>
  <r>
    <x v="60"/>
    <d v="2026-03-23T00:00:00"/>
    <d v="2026-03-26T00:00:00"/>
    <n v="3"/>
    <x v="39"/>
    <s v="BRILLON BLANCO"/>
    <n v="6"/>
  </r>
  <r>
    <x v="60"/>
    <d v="2026-03-23T00:00:00"/>
    <d v="2026-03-26T00:00:00"/>
    <n v="3"/>
    <x v="80"/>
    <s v="BRILLON GUAYABA"/>
    <n v="3"/>
  </r>
  <r>
    <x v="60"/>
    <d v="2026-03-23T00:00:00"/>
    <d v="2026-03-26T00:00:00"/>
    <n v="3"/>
    <x v="30"/>
    <s v="BRILLON CACAO"/>
    <n v="6"/>
  </r>
  <r>
    <x v="60"/>
    <d v="2026-03-23T00:00:00"/>
    <d v="2026-03-26T00:00:00"/>
    <n v="3"/>
    <x v="160"/>
    <s v="BRILLON MENTA"/>
    <n v="3"/>
  </r>
  <r>
    <x v="60"/>
    <d v="2026-03-23T00:00:00"/>
    <d v="2026-03-26T00:00:00"/>
    <n v="3"/>
    <x v="161"/>
    <s v="BRILLON AZUL IRIS"/>
    <n v="3"/>
  </r>
  <r>
    <x v="60"/>
    <d v="2026-03-23T00:00:00"/>
    <d v="2026-03-26T00:00:00"/>
    <n v="3"/>
    <x v="120"/>
    <s v="BARNIZ ALQ. TRANSP. NATURAL"/>
    <n v="6"/>
  </r>
  <r>
    <x v="60"/>
    <d v="2026-03-23T00:00:00"/>
    <d v="2026-03-26T00:00:00"/>
    <n v="3"/>
    <x v="59"/>
    <s v="BARNIZ ALQ. TRANSP. NATURAL"/>
    <n v="6"/>
  </r>
  <r>
    <x v="60"/>
    <d v="2026-03-23T00:00:00"/>
    <d v="2026-03-26T00:00:00"/>
    <n v="3"/>
    <x v="75"/>
    <s v="BRILLON NEGRO"/>
    <n v="6"/>
  </r>
  <r>
    <x v="60"/>
    <d v="2026-03-23T00:00:00"/>
    <d v="2026-03-26T00:00:00"/>
    <n v="3"/>
    <x v="55"/>
    <s v="RELLENADOR AUTOMOTRIZ C/CATAL. ROJO"/>
    <n v="6"/>
  </r>
  <r>
    <x v="60"/>
    <d v="2026-03-23T00:00:00"/>
    <d v="2026-03-31T00:00:00"/>
    <n v="8"/>
    <x v="3"/>
    <s v="AEROSOL BLANCO BRILLANTE"/>
    <n v="6"/>
  </r>
  <r>
    <x v="60"/>
    <d v="2026-03-23T00:00:00"/>
    <d v="2026-03-31T00:00:00"/>
    <n v="8"/>
    <x v="9"/>
    <s v="AEROSOL  NEGRO SEMI BRILLANTE"/>
    <n v="6"/>
  </r>
  <r>
    <x v="60"/>
    <d v="2026-03-23T00:00:00"/>
    <d v="2026-04-11T00:00:00"/>
    <n v="19"/>
    <x v="18"/>
    <s v="ESMALTE BRILLON BLANCO"/>
    <n v="12"/>
  </r>
  <r>
    <x v="60"/>
    <d v="2026-03-23T00:00:00"/>
    <d v="2026-04-11T00:00:00"/>
    <n v="19"/>
    <x v="27"/>
    <s v="BRILLON BLANCO"/>
    <n v="6"/>
  </r>
  <r>
    <x v="60"/>
    <d v="2026-03-23T00:00:00"/>
    <d v="2026-04-11T00:00:00"/>
    <n v="19"/>
    <x v="162"/>
    <s v="BRILLON SANDIA"/>
    <n v="6"/>
  </r>
  <r>
    <x v="60"/>
    <d v="2026-03-23T00:00:00"/>
    <d v="2026-04-11T00:00:00"/>
    <n v="19"/>
    <x v="20"/>
    <s v="BRILLON NEGRO"/>
    <n v="12"/>
  </r>
  <r>
    <x v="60"/>
    <d v="2026-03-23T00:00:00"/>
    <d v="2026-04-11T00:00:00"/>
    <n v="19"/>
    <x v="36"/>
    <s v="BRILLON NEGRO"/>
    <n v="12"/>
  </r>
  <r>
    <x v="60"/>
    <d v="2026-03-23T00:00:00"/>
    <d v="2026-04-11T00:00:00"/>
    <n v="19"/>
    <x v="75"/>
    <s v="BRILLON NEGRO"/>
    <n v="12"/>
  </r>
  <r>
    <x v="60"/>
    <d v="2026-03-23T00:00:00"/>
    <d v="2026-04-11T00:00:00"/>
    <n v="19"/>
    <x v="22"/>
    <s v="IMPERGLOSI AGUACERO TERRACOTA 3A"/>
    <n v="10"/>
  </r>
  <r>
    <x v="60"/>
    <d v="2026-03-23T00:00:00"/>
    <d v="2026-04-13T00:00:00"/>
    <n v="21"/>
    <x v="163"/>
    <s v="BRILLON GRIS"/>
    <n v="6"/>
  </r>
  <r>
    <x v="60"/>
    <d v="2026-03-23T00:00:00"/>
    <d v="2026-04-14T00:00:00"/>
    <n v="22"/>
    <x v="9"/>
    <s v="AEROSOL  NEGRO SEMI BRILLANTE"/>
    <n v="-6"/>
  </r>
  <r>
    <x v="61"/>
    <d v="2026-03-23T00:00:00"/>
    <d v="2026-03-26T00:00:00"/>
    <n v="3"/>
    <x v="49"/>
    <s v="SIAMIL ECONOMICO MI FL 20 KG"/>
    <n v="1"/>
  </r>
  <r>
    <x v="61"/>
    <d v="2026-03-23T00:00:00"/>
    <d v="2026-03-26T00:00:00"/>
    <n v="3"/>
    <x v="76"/>
    <s v="IMPERGLOSI AGUACERO BLANCO 3A"/>
    <n v="1"/>
  </r>
  <r>
    <x v="61"/>
    <d v="2026-03-23T00:00:00"/>
    <d v="2026-03-26T00:00:00"/>
    <n v="3"/>
    <x v="77"/>
    <s v="IMPERGLOSI AGUACERO TERRACOTA 3A"/>
    <n v="5"/>
  </r>
  <r>
    <x v="61"/>
    <d v="2026-03-23T00:00:00"/>
    <d v="2026-04-18T00:00:00"/>
    <n v="26"/>
    <x v="49"/>
    <s v="SIAMIL ECONOMICO MI FL 20 KG"/>
    <n v="1"/>
  </r>
  <r>
    <x v="61"/>
    <d v="2026-03-23T00:00:00"/>
    <d v="2026-04-18T00:00:00"/>
    <n v="26"/>
    <x v="7"/>
    <s v="AEROSOL ROJO"/>
    <n v="2"/>
  </r>
  <r>
    <x v="61"/>
    <d v="2026-03-23T00:00:00"/>
    <d v="2026-04-18T00:00:00"/>
    <n v="26"/>
    <x v="8"/>
    <s v="AEROSOL ALUMINIO"/>
    <n v="2"/>
  </r>
  <r>
    <x v="61"/>
    <d v="2026-03-23T00:00:00"/>
    <d v="2026-04-18T00:00:00"/>
    <n v="26"/>
    <x v="0"/>
    <s v="AEROSOL NEGRO MATE"/>
    <n v="3"/>
  </r>
  <r>
    <x v="61"/>
    <d v="2026-03-23T00:00:00"/>
    <d v="2026-04-18T00:00:00"/>
    <n v="26"/>
    <x v="1"/>
    <s v="AEROSOL NEGRO BRILLANTE"/>
    <n v="3"/>
  </r>
  <r>
    <x v="61"/>
    <d v="2026-03-23T00:00:00"/>
    <d v="2026-04-18T00:00:00"/>
    <n v="26"/>
    <x v="2"/>
    <s v="AEROSOL SUPER ORO"/>
    <n v="1"/>
  </r>
  <r>
    <x v="61"/>
    <d v="2026-03-23T00:00:00"/>
    <d v="2026-04-20T00:00:00"/>
    <n v="28"/>
    <x v="18"/>
    <s v="ESMALTE BRILLON BLANCO"/>
    <n v="1"/>
  </r>
  <r>
    <x v="61"/>
    <d v="2026-03-23T00:00:00"/>
    <d v="2026-04-20T00:00:00"/>
    <n v="28"/>
    <x v="20"/>
    <s v="BRILLON NEGRO"/>
    <n v="1"/>
  </r>
  <r>
    <x v="61"/>
    <d v="2026-03-23T00:00:00"/>
    <d v="2026-04-20T00:00:00"/>
    <n v="28"/>
    <x v="84"/>
    <s v="VINILICA GLOSI BLANCO 3A"/>
    <n v="4"/>
  </r>
  <r>
    <x v="62"/>
    <d v="2026-03-24T00:00:00"/>
    <d v="2026-04-14T00:00:00"/>
    <n v="21"/>
    <x v="18"/>
    <s v="ESMALTE BRILLON BLANCO"/>
    <n v="1"/>
  </r>
  <r>
    <x v="62"/>
    <d v="2026-03-24T00:00:00"/>
    <d v="2026-04-14T00:00:00"/>
    <n v="21"/>
    <x v="55"/>
    <s v="RELLENADOR AUTOMOTRIZ C/CATAL. ROJO"/>
    <n v="6"/>
  </r>
  <r>
    <x v="62"/>
    <d v="2026-03-24T00:00:00"/>
    <d v="2026-04-14T00:00:00"/>
    <n v="21"/>
    <x v="76"/>
    <s v="IMPERGLOSI AGUACERO BLANCO 3A"/>
    <n v="1"/>
  </r>
  <r>
    <x v="62"/>
    <d v="2026-03-24T00:00:00"/>
    <d v="2026-04-14T00:00:00"/>
    <n v="21"/>
    <x v="77"/>
    <s v="IMPERGLOSI AGUACERO TERRACOTA 3A"/>
    <n v="5"/>
  </r>
  <r>
    <x v="62"/>
    <d v="2026-03-24T00:00:00"/>
    <d v="2026-04-14T00:00:00"/>
    <n v="21"/>
    <x v="49"/>
    <s v="SIAMIL ECONOMICO MI FL 20 KG"/>
    <n v="1"/>
  </r>
  <r>
    <x v="62"/>
    <d v="2026-03-24T00:00:00"/>
    <d v="2026-04-14T00:00:00"/>
    <n v="21"/>
    <x v="1"/>
    <s v="AEROSOL NEGRO BRILLANTE"/>
    <n v="1"/>
  </r>
  <r>
    <x v="62"/>
    <d v="2026-03-24T00:00:00"/>
    <d v="2026-04-14T00:00:00"/>
    <n v="21"/>
    <x v="164"/>
    <s v="VINILICA GLOSI BLANCO ULTRA"/>
    <n v="1"/>
  </r>
  <r>
    <x v="63"/>
    <d v="2026-03-26T00:00:00"/>
    <d v="2026-03-30T00:00:00"/>
    <n v="4"/>
    <x v="24"/>
    <s v="VINILICA GLOSI BLANCO 3A"/>
    <n v="13"/>
  </r>
  <r>
    <x v="63"/>
    <d v="2026-03-26T00:00:00"/>
    <d v="2026-03-30T00:00:00"/>
    <n v="4"/>
    <x v="21"/>
    <s v="IMPERGLOSI AGUACERO BLANCO 3A"/>
    <n v="4"/>
  </r>
  <r>
    <x v="63"/>
    <d v="2026-03-26T00:00:00"/>
    <d v="2026-03-30T00:00:00"/>
    <n v="4"/>
    <x v="154"/>
    <s v="VINILICA GLOSI BLANCO ULTRA"/>
    <n v="6"/>
  </r>
  <r>
    <x v="63"/>
    <d v="2026-03-26T00:00:00"/>
    <d v="2026-03-30T00:00:00"/>
    <n v="4"/>
    <x v="154"/>
    <s v="VINILICA GLOSI BLANCO ULTRA"/>
    <n v="5"/>
  </r>
  <r>
    <x v="64"/>
    <d v="2026-03-27T00:00:00"/>
    <d v="2026-03-31T00:00:00"/>
    <n v="4"/>
    <x v="27"/>
    <s v="BRILLON BLANCO"/>
    <n v="6"/>
  </r>
  <r>
    <x v="64"/>
    <d v="2026-03-27T00:00:00"/>
    <d v="2026-03-31T00:00:00"/>
    <n v="4"/>
    <x v="52"/>
    <s v="BRILLON CANELA"/>
    <n v="6"/>
  </r>
  <r>
    <x v="64"/>
    <d v="2026-03-27T00:00:00"/>
    <d v="2026-03-31T00:00:00"/>
    <n v="4"/>
    <x v="36"/>
    <s v="BRILLON NEGRO"/>
    <n v="6"/>
  </r>
  <r>
    <x v="64"/>
    <d v="2026-03-27T00:00:00"/>
    <d v="2026-03-31T00:00:00"/>
    <n v="4"/>
    <x v="165"/>
    <s v="BARNIZ GLOSI ALQUI NOGAL"/>
    <n v="6"/>
  </r>
  <r>
    <x v="64"/>
    <d v="2026-03-27T00:00:00"/>
    <d v="2026-03-31T00:00:00"/>
    <n v="4"/>
    <x v="102"/>
    <s v="VINILICA GLOSI AZUL 5A"/>
    <n v="2"/>
  </r>
  <r>
    <x v="64"/>
    <d v="2026-03-27T00:00:00"/>
    <d v="2026-03-31T00:00:00"/>
    <n v="4"/>
    <x v="154"/>
    <s v="VINILICA GLOSI BLANCO ULTRA"/>
    <n v="4"/>
  </r>
  <r>
    <x v="64"/>
    <d v="2026-03-27T00:00:00"/>
    <d v="2026-03-31T00:00:00"/>
    <n v="4"/>
    <x v="166"/>
    <s v="VINILICA GLOSI 5 AÑOS ROSA"/>
    <n v="2"/>
  </r>
  <r>
    <x v="65"/>
    <d v="2026-04-07T00:00:00"/>
    <d v="2026-04-10T00:00:00"/>
    <n v="3"/>
    <x v="3"/>
    <s v="AEROSOL BLANCO BRILLANTE"/>
    <n v="24"/>
  </r>
  <r>
    <x v="65"/>
    <d v="2026-04-07T00:00:00"/>
    <d v="2026-04-30T00:00:00"/>
    <n v="23"/>
    <x v="167"/>
    <s v="PARAGUAS 3 AÑOS BLANCO"/>
    <n v="6"/>
  </r>
  <r>
    <x v="65"/>
    <d v="2026-04-07T00:00:00"/>
    <d v="2026-04-30T00:00:00"/>
    <n v="23"/>
    <x v="168"/>
    <s v="PARAGUAS 3 AÑOS TERRACOTA"/>
    <n v="18"/>
  </r>
  <r>
    <x v="65"/>
    <d v="2026-04-07T00:00:00"/>
    <d v="2026-04-30T00:00:00"/>
    <n v="23"/>
    <x v="169"/>
    <s v="AEROSOL ALMENDRA"/>
    <n v="6"/>
  </r>
  <r>
    <x v="65"/>
    <d v="2026-04-07T00:00:00"/>
    <d v="2026-04-30T00:00:00"/>
    <n v="23"/>
    <x v="170"/>
    <s v="AEROSOL VERDE FLORESTA"/>
    <n v="6"/>
  </r>
  <r>
    <x v="65"/>
    <d v="2026-04-07T00:00:00"/>
    <d v="2026-04-30T00:00:00"/>
    <n v="23"/>
    <x v="26"/>
    <s v="AEROSOL GRIS CLARO"/>
    <n v="12"/>
  </r>
  <r>
    <x v="65"/>
    <d v="2026-04-07T00:00:00"/>
    <d v="2026-04-30T00:00:00"/>
    <n v="23"/>
    <x v="171"/>
    <s v="MILCO PLUS BLANCO"/>
    <n v="2"/>
  </r>
  <r>
    <x v="65"/>
    <d v="2026-04-07T00:00:00"/>
    <d v="2026-04-30T00:00:00"/>
    <n v="23"/>
    <x v="172"/>
    <s v="MILCO PLUS TABACO"/>
    <n v="6"/>
  </r>
  <r>
    <x v="65"/>
    <d v="2026-04-07T00:00:00"/>
    <d v="2026-04-30T00:00:00"/>
    <n v="23"/>
    <x v="173"/>
    <s v="MILCO AZUL DELFIN"/>
    <n v="6"/>
  </r>
  <r>
    <x v="65"/>
    <d v="2026-04-07T00:00:00"/>
    <d v="2026-04-30T00:00:00"/>
    <n v="23"/>
    <x v="174"/>
    <s v="MILCO NEGRO"/>
    <n v="4"/>
  </r>
  <r>
    <x v="65"/>
    <d v="2026-04-07T00:00:00"/>
    <d v="2026-04-30T00:00:00"/>
    <n v="23"/>
    <x v="175"/>
    <s v="KITOX BLANCO"/>
    <n v="6"/>
  </r>
  <r>
    <x v="65"/>
    <d v="2026-04-07T00:00:00"/>
    <d v="2026-04-30T00:00:00"/>
    <n v="23"/>
    <x v="176"/>
    <s v="KITOX BLANCO"/>
    <n v="12"/>
  </r>
  <r>
    <x v="65"/>
    <d v="2026-04-07T00:00:00"/>
    <d v="2026-04-30T00:00:00"/>
    <n v="23"/>
    <x v="9"/>
    <s v="AEROSOL  NEGRO SEMI BRILLANTE"/>
    <n v="12"/>
  </r>
  <r>
    <x v="66"/>
    <d v="2026-04-10T00:00:00"/>
    <d v="2026-04-27T00:00:00"/>
    <n v="17"/>
    <x v="42"/>
    <s v="BRILLON BLANCO MATE"/>
    <n v="6"/>
  </r>
  <r>
    <x v="66"/>
    <d v="2026-04-10T00:00:00"/>
    <d v="2026-04-27T00:00:00"/>
    <n v="17"/>
    <x v="45"/>
    <s v="BRILLON SANDIA"/>
    <n v="6"/>
  </r>
  <r>
    <x v="66"/>
    <d v="2026-04-10T00:00:00"/>
    <d v="2026-04-27T00:00:00"/>
    <n v="17"/>
    <x v="20"/>
    <s v="BRILLON NEGRO"/>
    <n v="6"/>
  </r>
  <r>
    <x v="66"/>
    <d v="2026-04-10T00:00:00"/>
    <d v="2026-04-27T00:00:00"/>
    <n v="17"/>
    <x v="112"/>
    <s v="AGUACERO 4A TERRACOTA FIBRATADO"/>
    <n v="6"/>
  </r>
  <r>
    <x v="66"/>
    <d v="2026-04-10T00:00:00"/>
    <d v="2026-04-27T00:00:00"/>
    <n v="17"/>
    <x v="23"/>
    <s v="IMPERGLOSI AGUACERO TERRACOTA 5A"/>
    <n v="6"/>
  </r>
  <r>
    <x v="66"/>
    <d v="2026-04-10T00:00:00"/>
    <d v="2026-04-27T00:00:00"/>
    <n v="17"/>
    <x v="55"/>
    <s v="RELLENADOR AUTOMOTRIZ C/CATAL. ROJO"/>
    <n v="6"/>
  </r>
  <r>
    <x v="66"/>
    <d v="2026-04-10T00:00:00"/>
    <d v="2026-04-27T00:00:00"/>
    <n v="17"/>
    <x v="99"/>
    <s v="BRILLON VERDE SELVA"/>
    <n v="6"/>
  </r>
  <r>
    <x v="66"/>
    <d v="2026-04-10T00:00:00"/>
    <d v="2026-04-27T00:00:00"/>
    <n v="17"/>
    <x v="32"/>
    <s v="BRILLON GRIS"/>
    <n v="6"/>
  </r>
  <r>
    <x v="66"/>
    <d v="2026-04-10T00:00:00"/>
    <d v="2026-04-27T00:00:00"/>
    <n v="17"/>
    <x v="79"/>
    <s v="IMPERGLOSI AGUACERO BLANCO 5A"/>
    <n v="6"/>
  </r>
  <r>
    <x v="66"/>
    <d v="2026-04-10T00:00:00"/>
    <d v="2026-04-29T00:00:00"/>
    <n v="19"/>
    <x v="177"/>
    <s v="VINILICA GLOSI VIOLETA 5A"/>
    <n v="6"/>
  </r>
  <r>
    <x v="66"/>
    <d v="2026-04-10T00:00:00"/>
    <d v="2026-04-30T00:00:00"/>
    <n v="20"/>
    <x v="42"/>
    <s v="BRILLON BLANCO MATE"/>
    <n v="6"/>
  </r>
  <r>
    <x v="66"/>
    <d v="2026-04-10T00:00:00"/>
    <d v="2026-04-30T00:00:00"/>
    <n v="20"/>
    <x v="45"/>
    <s v="BRILLON SANDIA"/>
    <n v="6"/>
  </r>
  <r>
    <x v="66"/>
    <d v="2026-04-10T00:00:00"/>
    <d v="2026-04-30T00:00:00"/>
    <n v="20"/>
    <x v="99"/>
    <s v="BRILLON VERDE SELVA"/>
    <n v="6"/>
  </r>
  <r>
    <x v="66"/>
    <d v="2026-04-10T00:00:00"/>
    <d v="2026-04-30T00:00:00"/>
    <n v="20"/>
    <x v="32"/>
    <s v="BRILLON GRIS"/>
    <n v="6"/>
  </r>
  <r>
    <x v="66"/>
    <d v="2026-04-10T00:00:00"/>
    <d v="2026-04-30T00:00:00"/>
    <n v="20"/>
    <x v="20"/>
    <s v="BRILLON NEGRO"/>
    <n v="6"/>
  </r>
  <r>
    <x v="66"/>
    <d v="2026-04-10T00:00:00"/>
    <d v="2026-04-30T00:00:00"/>
    <n v="20"/>
    <x v="55"/>
    <s v="RELLENADOR AUTOMOTRIZ C/CATAL. ROJO"/>
    <n v="6"/>
  </r>
  <r>
    <x v="66"/>
    <d v="2026-04-10T00:00:00"/>
    <d v="2026-04-30T00:00:00"/>
    <n v="20"/>
    <x v="177"/>
    <s v="VINILICA GLOSI VIOLETA 5A"/>
    <n v="3"/>
  </r>
  <r>
    <x v="66"/>
    <d v="2026-04-10T00:00:00"/>
    <d v="2026-04-30T00:00:00"/>
    <n v="20"/>
    <x v="178"/>
    <s v="CATALIZADOR P/RELL ROJO &quot;25GRS&quot;"/>
    <n v="6"/>
  </r>
  <r>
    <x v="66"/>
    <d v="2026-04-10T00:00:00"/>
    <d v="2026-04-30T00:00:00"/>
    <n v="20"/>
    <x v="3"/>
    <s v="AEROSOL BLANCO BRILLANTE"/>
    <n v="12"/>
  </r>
  <r>
    <x v="66"/>
    <d v="2026-04-10T00:00:00"/>
    <d v="2026-04-30T00:00:00"/>
    <n v="20"/>
    <x v="88"/>
    <s v="AEROSOL AMARILLO"/>
    <n v="6"/>
  </r>
  <r>
    <x v="66"/>
    <d v="2026-04-10T00:00:00"/>
    <d v="2026-04-30T00:00:00"/>
    <n v="20"/>
    <x v="179"/>
    <s v="AEROSOL NARANJA"/>
    <n v="6"/>
  </r>
  <r>
    <x v="66"/>
    <d v="2026-04-10T00:00:00"/>
    <d v="2026-04-30T00:00:00"/>
    <n v="20"/>
    <x v="18"/>
    <s v="ESMALTE BRILLON BLANCO"/>
    <n v="6"/>
  </r>
  <r>
    <x v="66"/>
    <d v="2026-04-10T00:00:00"/>
    <d v="2026-04-30T00:00:00"/>
    <n v="20"/>
    <x v="27"/>
    <s v="BRILLON BLANCO"/>
    <n v="6"/>
  </r>
  <r>
    <x v="66"/>
    <d v="2026-04-10T00:00:00"/>
    <d v="2026-04-30T00:00:00"/>
    <n v="20"/>
    <x v="39"/>
    <s v="BRILLON BLANCO"/>
    <n v="12"/>
  </r>
  <r>
    <x v="66"/>
    <d v="2026-04-10T00:00:00"/>
    <d v="2026-04-30T00:00:00"/>
    <n v="20"/>
    <x v="180"/>
    <s v="BRILLON CANELA"/>
    <n v="6"/>
  </r>
  <r>
    <x v="66"/>
    <d v="2026-04-10T00:00:00"/>
    <d v="2026-04-30T00:00:00"/>
    <n v="20"/>
    <x v="181"/>
    <s v="BRILLON VERDE SELVA"/>
    <n v="6"/>
  </r>
  <r>
    <x v="66"/>
    <d v="2026-04-10T00:00:00"/>
    <d v="2026-04-30T00:00:00"/>
    <n v="20"/>
    <x v="120"/>
    <s v="BARNIZ ALQ. TRANSP. NATURAL"/>
    <n v="6"/>
  </r>
  <r>
    <x v="66"/>
    <d v="2026-04-10T00:00:00"/>
    <d v="2026-04-30T00:00:00"/>
    <n v="20"/>
    <x v="20"/>
    <s v="BRILLON NEGRO"/>
    <n v="6"/>
  </r>
  <r>
    <x v="66"/>
    <d v="2026-04-10T00:00:00"/>
    <d v="2026-04-30T00:00:00"/>
    <n v="20"/>
    <x v="144"/>
    <s v="PRIMARIO GLOSI ESTRUCTURAS GRIS"/>
    <n v="6"/>
  </r>
  <r>
    <x v="66"/>
    <d v="2026-04-10T00:00:00"/>
    <d v="2026-04-30T00:00:00"/>
    <n v="20"/>
    <x v="85"/>
    <s v="ESMALTE GLOSI SR NEGRO BRILLANTE"/>
    <n v="6"/>
  </r>
  <r>
    <x v="66"/>
    <d v="2026-04-10T00:00:00"/>
    <d v="2026-05-05T00:00:00"/>
    <n v="25"/>
    <x v="133"/>
    <s v="DESCUENTO POR PRONTO PAGO"/>
    <n v="0"/>
  </r>
  <r>
    <x v="66"/>
    <d v="2026-04-10T00:00:00"/>
    <d v="2026-05-07T00:00:00"/>
    <n v="27"/>
    <x v="133"/>
    <s v="DESCUENTO POR PRONTO PAGO"/>
    <n v="0"/>
  </r>
  <r>
    <x v="66"/>
    <d v="2026-04-10T00:00:00"/>
    <d v="2026-05-07T00:00:00"/>
    <n v="27"/>
    <x v="133"/>
    <s v="DESCUENTO POR PRONTO PAGO"/>
    <n v="0"/>
  </r>
  <r>
    <x v="66"/>
    <d v="2026-04-10T00:00:00"/>
    <d v="2026-05-07T00:00:00"/>
    <n v="27"/>
    <x v="133"/>
    <s v="DESCUENTO POR PRONTO PAGO"/>
    <n v="0"/>
  </r>
  <r>
    <x v="66"/>
    <d v="2026-04-10T00:00:00"/>
    <d v="2026-05-07T00:00:00"/>
    <n v="27"/>
    <x v="133"/>
    <s v="DESCUENTO POR PRONTO PAGO"/>
    <n v="0"/>
  </r>
  <r>
    <x v="66"/>
    <d v="2026-04-10T00:00:00"/>
    <d v="2026-05-07T00:00:00"/>
    <n v="27"/>
    <x v="133"/>
    <s v="DESCUENTO POR PRONTO PAGO"/>
    <n v="0"/>
  </r>
  <r>
    <x v="67"/>
    <d v="2026-04-10T00:00:00"/>
    <d v="2026-04-28T00:00:00"/>
    <n v="18"/>
    <x v="59"/>
    <s v="BARNIZ ALQ. TRANSP. NATURAL"/>
    <n v="6"/>
  </r>
  <r>
    <x v="67"/>
    <d v="2026-04-10T00:00:00"/>
    <d v="2026-04-28T00:00:00"/>
    <n v="18"/>
    <x v="69"/>
    <s v="BARNIZ GLOSI ALQUI CEDRO"/>
    <n v="6"/>
  </r>
  <r>
    <x v="67"/>
    <d v="2026-04-10T00:00:00"/>
    <d v="2026-04-28T00:00:00"/>
    <n v="18"/>
    <x v="60"/>
    <s v="BARNIZ GLOSI ALQUI CAOBA"/>
    <n v="3"/>
  </r>
  <r>
    <x v="67"/>
    <d v="2026-04-10T00:00:00"/>
    <d v="2026-04-28T00:00:00"/>
    <n v="18"/>
    <x v="61"/>
    <s v="BARNIZ GLOSI ALQUI NOGAL"/>
    <n v="3"/>
  </r>
  <r>
    <x v="67"/>
    <d v="2026-04-10T00:00:00"/>
    <d v="2026-04-28T00:00:00"/>
    <n v="18"/>
    <x v="150"/>
    <s v="ESMALTE GLOSI SR BLANCO"/>
    <n v="6"/>
  </r>
  <r>
    <x v="67"/>
    <d v="2026-04-10T00:00:00"/>
    <d v="2026-04-28T00:00:00"/>
    <n v="18"/>
    <x v="83"/>
    <s v="ESMALTE GLOSI SR NEGRO BRILLANTE"/>
    <n v="6"/>
  </r>
  <r>
    <x v="67"/>
    <d v="2026-04-10T00:00:00"/>
    <d v="2026-04-28T00:00:00"/>
    <n v="18"/>
    <x v="3"/>
    <s v="AEROSOL BLANCO BRILLANTE"/>
    <n v="6"/>
  </r>
  <r>
    <x v="67"/>
    <d v="2026-04-10T00:00:00"/>
    <d v="2026-04-28T00:00:00"/>
    <n v="18"/>
    <x v="88"/>
    <s v="AEROSOL AMARILLO"/>
    <n v="6"/>
  </r>
  <r>
    <x v="67"/>
    <d v="2026-04-10T00:00:00"/>
    <d v="2026-04-28T00:00:00"/>
    <n v="18"/>
    <x v="5"/>
    <s v="AEROSOL ROSA"/>
    <n v="6"/>
  </r>
  <r>
    <x v="67"/>
    <d v="2026-04-10T00:00:00"/>
    <d v="2026-04-28T00:00:00"/>
    <n v="18"/>
    <x v="110"/>
    <s v="AEROSOL CAFE CHOCOLATE"/>
    <n v="6"/>
  </r>
  <r>
    <x v="67"/>
    <d v="2026-04-10T00:00:00"/>
    <d v="2026-04-28T00:00:00"/>
    <n v="18"/>
    <x v="182"/>
    <s v="AEROSOL AZUL CLARO"/>
    <n v="6"/>
  </r>
  <r>
    <x v="67"/>
    <d v="2026-04-10T00:00:00"/>
    <d v="2026-04-28T00:00:00"/>
    <n v="18"/>
    <x v="26"/>
    <s v="AEROSOL GRIS CLARO"/>
    <n v="6"/>
  </r>
  <r>
    <x v="67"/>
    <d v="2026-04-10T00:00:00"/>
    <d v="2026-04-28T00:00:00"/>
    <n v="18"/>
    <x v="0"/>
    <s v="AEROSOL NEGRO MATE"/>
    <n v="6"/>
  </r>
  <r>
    <x v="67"/>
    <d v="2026-04-10T00:00:00"/>
    <d v="2026-04-28T00:00:00"/>
    <n v="18"/>
    <x v="2"/>
    <s v="AEROSOL SUPER ORO"/>
    <n v="6"/>
  </r>
  <r>
    <x v="67"/>
    <d v="2026-04-10T00:00:00"/>
    <d v="2026-04-28T00:00:00"/>
    <n v="18"/>
    <x v="10"/>
    <s v="AEROSOL PRISA SUPER CROMO"/>
    <n v="6"/>
  </r>
  <r>
    <x v="68"/>
    <d v="2026-04-15T00:00:00"/>
    <d v="2026-04-17T00:00:00"/>
    <n v="2"/>
    <x v="18"/>
    <s v="ESMALTE BRILLON BLANCO"/>
    <n v="6"/>
  </r>
  <r>
    <x v="68"/>
    <d v="2026-04-15T00:00:00"/>
    <d v="2026-04-17T00:00:00"/>
    <n v="2"/>
    <x v="27"/>
    <s v="BRILLON BLANCO"/>
    <n v="6"/>
  </r>
  <r>
    <x v="68"/>
    <d v="2026-04-15T00:00:00"/>
    <d v="2026-04-17T00:00:00"/>
    <n v="2"/>
    <x v="20"/>
    <s v="BRILLON NEGRO"/>
    <n v="6"/>
  </r>
  <r>
    <x v="68"/>
    <d v="2026-04-15T00:00:00"/>
    <d v="2026-04-17T00:00:00"/>
    <n v="2"/>
    <x v="36"/>
    <s v="BRILLON NEGRO"/>
    <n v="6"/>
  </r>
  <r>
    <x v="68"/>
    <d v="2026-04-15T00:00:00"/>
    <d v="2026-04-17T00:00:00"/>
    <n v="2"/>
    <x v="75"/>
    <s v="BRILLON NEGRO"/>
    <n v="6"/>
  </r>
  <r>
    <x v="68"/>
    <d v="2026-04-15T00:00:00"/>
    <d v="2026-04-30T00:00:00"/>
    <n v="15"/>
    <x v="44"/>
    <s v="ESMALTE BRILLON BLANCO."/>
    <n v="4"/>
  </r>
  <r>
    <x v="68"/>
    <d v="2026-04-15T00:00:00"/>
    <d v="2026-04-30T00:00:00"/>
    <n v="15"/>
    <x v="18"/>
    <s v="ESMALTE BRILLON BLANCO"/>
    <n v="6"/>
  </r>
  <r>
    <x v="68"/>
    <d v="2026-04-15T00:00:00"/>
    <d v="2026-04-30T00:00:00"/>
    <n v="15"/>
    <x v="183"/>
    <s v="BRILLON AMARILLO LIMON"/>
    <n v="12"/>
  </r>
  <r>
    <x v="68"/>
    <d v="2026-04-15T00:00:00"/>
    <d v="2026-04-30T00:00:00"/>
    <n v="15"/>
    <x v="184"/>
    <s v="BRILLON CALABAZA"/>
    <n v="12"/>
  </r>
  <r>
    <x v="68"/>
    <d v="2026-04-15T00:00:00"/>
    <d v="2026-04-30T00:00:00"/>
    <n v="15"/>
    <x v="185"/>
    <s v="BRILLON MANDARINA"/>
    <n v="12"/>
  </r>
  <r>
    <x v="68"/>
    <d v="2026-04-15T00:00:00"/>
    <d v="2026-04-30T00:00:00"/>
    <n v="15"/>
    <x v="19"/>
    <s v="BRILLON CACAO"/>
    <n v="6"/>
  </r>
  <r>
    <x v="68"/>
    <d v="2026-04-15T00:00:00"/>
    <d v="2026-04-30T00:00:00"/>
    <n v="15"/>
    <x v="30"/>
    <s v="BRILLON CACAO"/>
    <n v="12"/>
  </r>
  <r>
    <x v="68"/>
    <d v="2026-04-15T00:00:00"/>
    <d v="2026-04-30T00:00:00"/>
    <n v="15"/>
    <x v="31"/>
    <s v="BRILLON AZUL AGUA"/>
    <n v="24"/>
  </r>
  <r>
    <x v="68"/>
    <d v="2026-04-15T00:00:00"/>
    <d v="2026-04-30T00:00:00"/>
    <n v="15"/>
    <x v="186"/>
    <s v="BRILLON AZUL IRIS"/>
    <n v="12"/>
  </r>
  <r>
    <x v="68"/>
    <d v="2026-04-15T00:00:00"/>
    <d v="2026-04-30T00:00:00"/>
    <n v="15"/>
    <x v="163"/>
    <s v="BRILLON GRIS"/>
    <n v="12"/>
  </r>
  <r>
    <x v="68"/>
    <d v="2026-04-15T00:00:00"/>
    <d v="2026-04-30T00:00:00"/>
    <n v="15"/>
    <x v="21"/>
    <s v="IMPERGLOSI AGUACERO BLANCO 3A"/>
    <n v="2"/>
  </r>
  <r>
    <x v="68"/>
    <d v="2026-04-15T00:00:00"/>
    <d v="2026-04-30T00:00:00"/>
    <n v="15"/>
    <x v="22"/>
    <s v="IMPERGLOSI AGUACERO TERRACOTA 3A"/>
    <n v="6"/>
  </r>
  <r>
    <x v="68"/>
    <d v="2026-04-15T00:00:00"/>
    <d v="2026-04-30T00:00:00"/>
    <n v="15"/>
    <x v="24"/>
    <s v="VINILICA GLOSI BLANCO 3A"/>
    <n v="6"/>
  </r>
  <r>
    <x v="68"/>
    <d v="2026-04-15T00:00:00"/>
    <d v="2026-05-14T00:00:00"/>
    <n v="29"/>
    <x v="27"/>
    <s v="BRILLON BLANCO"/>
    <n v="12"/>
  </r>
  <r>
    <x v="68"/>
    <d v="2026-04-15T00:00:00"/>
    <d v="2026-05-14T00:00:00"/>
    <n v="29"/>
    <x v="76"/>
    <s v="IMPERGLOSI AGUACERO BLANCO 3A"/>
    <n v="4"/>
  </r>
  <r>
    <x v="68"/>
    <d v="2026-04-15T00:00:00"/>
    <d v="2026-05-14T00:00:00"/>
    <n v="29"/>
    <x v="77"/>
    <s v="IMPERGLOSI AGUACERO TERRACOTA 3A"/>
    <n v="8"/>
  </r>
  <r>
    <x v="69"/>
    <d v="2026-04-15T00:00:00"/>
    <d v="2026-04-30T00:00:00"/>
    <n v="15"/>
    <x v="21"/>
    <s v="IMPERGLOSI AGUACERO BLANCO 3A"/>
    <n v="4"/>
  </r>
  <r>
    <x v="69"/>
    <d v="2026-04-15T00:00:00"/>
    <d v="2026-04-30T00:00:00"/>
    <n v="15"/>
    <x v="22"/>
    <s v="IMPERGLOSI AGUACERO TERRACOTA 3A"/>
    <n v="4"/>
  </r>
  <r>
    <x v="70"/>
    <d v="2026-04-16T00:00:00"/>
    <d v="2026-04-29T00:00:00"/>
    <n v="13"/>
    <x v="187"/>
    <s v="BARNIZ GLOSI ALQUI NOGAL"/>
    <n v="3"/>
  </r>
  <r>
    <x v="70"/>
    <d v="2026-04-16T00:00:00"/>
    <d v="2026-04-29T00:00:00"/>
    <n v="13"/>
    <x v="154"/>
    <s v="VINILICA GLOSI BLANCO ULTRA"/>
    <n v="2"/>
  </r>
  <r>
    <x v="70"/>
    <d v="2026-04-16T00:00:00"/>
    <d v="2026-04-29T00:00:00"/>
    <n v="13"/>
    <x v="188"/>
    <s v="VINILICA GLOSI AMARILLO 5A"/>
    <n v="3"/>
  </r>
  <r>
    <x v="70"/>
    <d v="2026-04-16T00:00:00"/>
    <d v="2026-04-29T00:00:00"/>
    <n v="13"/>
    <x v="115"/>
    <s v="VINILICA GLOSI MARFIL 5A"/>
    <n v="6"/>
  </r>
  <r>
    <x v="70"/>
    <d v="2026-04-16T00:00:00"/>
    <d v="2026-04-29T00:00:00"/>
    <n v="13"/>
    <x v="189"/>
    <s v="VINILICA GLOSI NEGRO 5A"/>
    <n v="2"/>
  </r>
  <r>
    <x v="71"/>
    <d v="2026-04-15T00:00:00"/>
    <d v="2026-04-16T00:00:00"/>
    <n v="1"/>
    <x v="190"/>
    <s v="ALBERCAS AZUL"/>
    <n v="1"/>
  </r>
  <r>
    <x v="72"/>
    <d v="2026-04-24T00:00:00"/>
    <d v="2026-04-29T00:00:00"/>
    <n v="5"/>
    <x v="21"/>
    <s v="IMPERGLOSI AGUACERO BLANCO 3A"/>
    <n v="4"/>
  </r>
  <r>
    <x v="72"/>
    <d v="2026-04-24T00:00:00"/>
    <d v="2026-04-29T00:00:00"/>
    <n v="5"/>
    <x v="22"/>
    <s v="IMPERGLOSI AGUACERO TERRACOTA 3A"/>
    <n v="4"/>
  </r>
  <r>
    <x v="72"/>
    <d v="2026-04-24T00:00:00"/>
    <d v="2026-04-29T00:00:00"/>
    <n v="5"/>
    <x v="48"/>
    <s v="ESMALTE GLOSI SR BLANCO"/>
    <n v="6"/>
  </r>
  <r>
    <x v="72"/>
    <d v="2026-04-24T00:00:00"/>
    <d v="2026-04-29T00:00:00"/>
    <n v="5"/>
    <x v="14"/>
    <s v="ESMALTE GLOSI SR BLANCO"/>
    <n v="3"/>
  </r>
  <r>
    <x v="72"/>
    <d v="2026-04-24T00:00:00"/>
    <d v="2026-04-29T00:00:00"/>
    <n v="5"/>
    <x v="85"/>
    <s v="ESMALTE GLOSI SR NEGRO BRILLANTE"/>
    <n v="6"/>
  </r>
  <r>
    <x v="72"/>
    <d v="2026-04-24T00:00:00"/>
    <d v="2026-04-29T00:00:00"/>
    <n v="5"/>
    <x v="16"/>
    <s v="ESMALTE GLOSI SR NEGRO BRILLANTE"/>
    <n v="3"/>
  </r>
  <r>
    <x v="72"/>
    <d v="2026-04-24T00:00:00"/>
    <d v="2026-04-30T00:00:00"/>
    <n v="6"/>
    <x v="191"/>
    <s v="VINILICA GLOSI BLANCO ULTRA"/>
    <n v="2"/>
  </r>
  <r>
    <x v="72"/>
    <d v="2026-04-24T00:00:00"/>
    <d v="2026-04-30T00:00:00"/>
    <n v="6"/>
    <x v="191"/>
    <s v="VINILICA GLOSI BLANCO ULTRA"/>
    <n v="2"/>
  </r>
  <r>
    <x v="72"/>
    <d v="2026-04-24T00:00:00"/>
    <d v="2026-04-30T00:00:00"/>
    <n v="6"/>
    <x v="191"/>
    <s v="VINILICA GLOSI BLANCO ULTRA"/>
    <n v="2"/>
  </r>
  <r>
    <x v="72"/>
    <d v="2026-04-24T00:00:00"/>
    <d v="2026-04-30T00:00:00"/>
    <n v="6"/>
    <x v="78"/>
    <s v="AGUACERO 4A BLANCO FIBRATADO"/>
    <n v="10"/>
  </r>
  <r>
    <x v="72"/>
    <d v="2026-04-24T00:00:00"/>
    <d v="2026-04-30T00:00:00"/>
    <n v="6"/>
    <x v="112"/>
    <s v="AGUACERO 4A TERRACOTA FIBRATADO"/>
    <n v="26"/>
  </r>
  <r>
    <x v="72"/>
    <d v="2026-04-24T00:00:00"/>
    <d v="2026-05-13T00:00:00"/>
    <n v="19"/>
    <x v="191"/>
    <s v="VINILICA GLOSI BLANCO ULTRA"/>
    <n v="6"/>
  </r>
  <r>
    <x v="72"/>
    <d v="2026-04-24T00:00:00"/>
    <d v="2026-05-21T00:00:00"/>
    <n v="27"/>
    <x v="85"/>
    <s v="ESMALTE GLOSI SR NEGRO BRILLANTE"/>
    <n v="12"/>
  </r>
  <r>
    <x v="72"/>
    <d v="2026-04-24T00:00:00"/>
    <d v="2026-05-21T00:00:00"/>
    <n v="27"/>
    <x v="47"/>
    <s v="ESMALTE GLOSI SR NEGRO BRILLANTE"/>
    <n v="4"/>
  </r>
  <r>
    <x v="73"/>
    <d v="2026-04-24T00:00:00"/>
    <d v="2026-04-30T00:00:00"/>
    <n v="6"/>
    <x v="76"/>
    <s v="IMPERGLOSI AGUACERO BLANCO 3A"/>
    <n v="3"/>
  </r>
  <r>
    <x v="73"/>
    <d v="2026-04-24T00:00:00"/>
    <d v="2026-04-30T00:00:00"/>
    <n v="6"/>
    <x v="77"/>
    <s v="IMPERGLOSI AGUACERO TERRACOTA 3A"/>
    <n v="3"/>
  </r>
  <r>
    <x v="74"/>
    <d v="2026-04-24T00:00:00"/>
    <d v="2026-04-28T00:00:00"/>
    <n v="4"/>
    <x v="3"/>
    <s v="AEROSOL BLANCO BRILLANTE"/>
    <n v="2"/>
  </r>
  <r>
    <x v="74"/>
    <d v="2026-04-24T00:00:00"/>
    <d v="2026-04-28T00:00:00"/>
    <n v="4"/>
    <x v="4"/>
    <s v="AEROSOL BLANCO MATE"/>
    <n v="2"/>
  </r>
  <r>
    <x v="74"/>
    <d v="2026-04-24T00:00:00"/>
    <d v="2026-04-28T00:00:00"/>
    <n v="4"/>
    <x v="18"/>
    <s v="ESMALTE BRILLON BLANCO"/>
    <n v="3"/>
  </r>
  <r>
    <x v="74"/>
    <d v="2026-04-24T00:00:00"/>
    <d v="2026-04-28T00:00:00"/>
    <n v="4"/>
    <x v="39"/>
    <s v="BRILLON BLANCO"/>
    <n v="6"/>
  </r>
  <r>
    <x v="74"/>
    <d v="2026-04-24T00:00:00"/>
    <d v="2026-04-28T00:00:00"/>
    <n v="4"/>
    <x v="20"/>
    <s v="BRILLON NEGRO"/>
    <n v="3"/>
  </r>
  <r>
    <x v="74"/>
    <d v="2026-04-24T00:00:00"/>
    <d v="2026-04-28T00:00:00"/>
    <n v="4"/>
    <x v="98"/>
    <s v="VINILICA GLOSI BLANCO 3A"/>
    <n v="1"/>
  </r>
  <r>
    <x v="74"/>
    <d v="2026-04-24T00:00:00"/>
    <d v="2026-04-28T00:00:00"/>
    <n v="4"/>
    <x v="76"/>
    <s v="IMPERGLOSI AGUACERO BLANCO 3A"/>
    <n v="3"/>
  </r>
  <r>
    <x v="74"/>
    <d v="2026-04-24T00:00:00"/>
    <d v="2026-04-28T00:00:00"/>
    <n v="4"/>
    <x v="77"/>
    <s v="IMPERGLOSI AGUACERO TERRACOTA 3A"/>
    <n v="3"/>
  </r>
  <r>
    <x v="75"/>
    <d v="2026-04-30T00:00:00"/>
    <d v="2026-05-22T00:00:00"/>
    <n v="22"/>
    <x v="110"/>
    <s v="AEROSOL CAFE CHOCOLATE"/>
    <n v="6"/>
  </r>
  <r>
    <x v="75"/>
    <d v="2026-04-30T00:00:00"/>
    <d v="2026-05-22T00:00:00"/>
    <n v="22"/>
    <x v="18"/>
    <s v="ESMALTE BRILLON BLANCO"/>
    <n v="6"/>
  </r>
  <r>
    <x v="75"/>
    <d v="2026-04-30T00:00:00"/>
    <d v="2026-05-22T00:00:00"/>
    <n v="22"/>
    <x v="27"/>
    <s v="BRILLON BLANCO"/>
    <n v="6"/>
  </r>
  <r>
    <x v="75"/>
    <d v="2026-04-30T00:00:00"/>
    <d v="2026-05-22T00:00:00"/>
    <n v="22"/>
    <x v="20"/>
    <s v="BRILLON NEGRO"/>
    <n v="6"/>
  </r>
  <r>
    <x v="75"/>
    <d v="2026-04-30T00:00:00"/>
    <d v="2026-05-26T00:00:00"/>
    <n v="26"/>
    <x v="36"/>
    <s v="BRILLON NEGRO"/>
    <n v="6"/>
  </r>
  <r>
    <x v="75"/>
    <d v="2026-04-30T00:00:00"/>
    <d v="2026-05-30T00:00:00"/>
    <n v="30"/>
    <x v="39"/>
    <s v="BRILLON BLANCO"/>
    <n v="6"/>
  </r>
  <r>
    <x v="75"/>
    <d v="2026-04-30T00:00:00"/>
    <d v="2026-05-30T00:00:00"/>
    <n v="30"/>
    <x v="75"/>
    <s v="BRILLON NEGRO"/>
    <n v="6"/>
  </r>
  <r>
    <x v="75"/>
    <d v="2026-04-30T00:00:00"/>
    <d v="2026-05-30T00:00:00"/>
    <n v="30"/>
    <x v="77"/>
    <s v="IMPERGLOSI AGUACERO TERRACOTA 3A"/>
    <n v="5"/>
  </r>
  <r>
    <x v="75"/>
    <d v="2026-04-30T00:00:00"/>
    <d v="2026-05-30T00:00:00"/>
    <n v="30"/>
    <x v="76"/>
    <s v="IMPERGLOSI AGUACERO BLANCO 3A"/>
    <n v="1"/>
  </r>
  <r>
    <x v="76"/>
    <d v="2026-04-30T00:00:00"/>
    <d v="2026-05-06T00:00:00"/>
    <n v="6"/>
    <x v="69"/>
    <s v="BARNIZ GLOSI ALQUI CEDRO"/>
    <n v="6"/>
  </r>
  <r>
    <x v="76"/>
    <d v="2026-04-30T00:00:00"/>
    <d v="2026-05-06T00:00:00"/>
    <n v="6"/>
    <x v="60"/>
    <s v="BARNIZ GLOSI ALQUI CAOBA"/>
    <n v="3"/>
  </r>
  <r>
    <x v="76"/>
    <d v="2026-04-30T00:00:00"/>
    <d v="2026-05-06T00:00:00"/>
    <n v="6"/>
    <x v="61"/>
    <s v="BARNIZ GLOSI ALQUI NOGAL"/>
    <n v="3"/>
  </r>
  <r>
    <x v="76"/>
    <d v="2026-04-30T00:00:00"/>
    <d v="2026-05-07T00:00:00"/>
    <n v="7"/>
    <x v="133"/>
    <s v="DESCUENTO POR PRONTO PAGO"/>
    <n v="0"/>
  </r>
  <r>
    <x v="76"/>
    <d v="2026-04-30T00:00:00"/>
    <d v="2026-05-07T00:00:00"/>
    <n v="7"/>
    <x v="18"/>
    <s v="ESMALTE BRILLON BLANCO"/>
    <n v="3"/>
  </r>
  <r>
    <x v="76"/>
    <d v="2026-04-30T00:00:00"/>
    <d v="2026-05-07T00:00:00"/>
    <n v="7"/>
    <x v="27"/>
    <s v="BRILLON BLANCO"/>
    <n v="3"/>
  </r>
  <r>
    <x v="76"/>
    <d v="2026-04-30T00:00:00"/>
    <d v="2026-05-07T00:00:00"/>
    <n v="7"/>
    <x v="39"/>
    <s v="BRILLON BLANCO"/>
    <n v="6"/>
  </r>
  <r>
    <x v="76"/>
    <d v="2026-04-30T00:00:00"/>
    <d v="2026-05-07T00:00:00"/>
    <n v="7"/>
    <x v="34"/>
    <s v="BRILLON NEGRO MATE"/>
    <n v="3"/>
  </r>
  <r>
    <x v="76"/>
    <d v="2026-04-30T00:00:00"/>
    <d v="2026-05-07T00:00:00"/>
    <n v="7"/>
    <x v="20"/>
    <s v="BRILLON NEGRO"/>
    <n v="3"/>
  </r>
  <r>
    <x v="76"/>
    <d v="2026-04-30T00:00:00"/>
    <d v="2026-05-07T00:00:00"/>
    <n v="7"/>
    <x v="75"/>
    <s v="BRILLON NEGRO"/>
    <n v="6"/>
  </r>
  <r>
    <x v="76"/>
    <d v="2026-04-30T00:00:00"/>
    <d v="2026-05-07T00:00:00"/>
    <n v="7"/>
    <x v="192"/>
    <s v="VINILICA GLOSI MARFIL 3A"/>
    <n v="1"/>
  </r>
  <r>
    <x v="76"/>
    <d v="2026-04-30T00:00:00"/>
    <d v="2026-05-07T00:00:00"/>
    <n v="7"/>
    <x v="115"/>
    <s v="VINILICA GLOSI MARFIL 5A"/>
    <n v="3"/>
  </r>
  <r>
    <x v="76"/>
    <d v="2026-04-30T00:00:00"/>
    <d v="2026-05-13T00:00:00"/>
    <n v="13"/>
    <x v="193"/>
    <s v="VINILICA GLOSI BLANCO BASIC"/>
    <n v="6"/>
  </r>
  <r>
    <x v="76"/>
    <d v="2026-04-30T00:00:00"/>
    <d v="2026-05-14T00:00:00"/>
    <n v="14"/>
    <x v="133"/>
    <s v="DESCUENTO POR PRONTO PAGO"/>
    <n v="0"/>
  </r>
  <r>
    <x v="76"/>
    <d v="2026-04-30T00:00:00"/>
    <d v="2026-05-23T00:00:00"/>
    <n v="23"/>
    <x v="0"/>
    <s v="AEROSOL NEGRO MATE"/>
    <n v="6"/>
  </r>
  <r>
    <x v="76"/>
    <d v="2026-04-30T00:00:00"/>
    <d v="2026-05-26T00:00:00"/>
    <n v="26"/>
    <x v="36"/>
    <s v="BRILLON NEGRO"/>
    <n v="3"/>
  </r>
  <r>
    <x v="76"/>
    <d v="2026-04-30T00:00:00"/>
    <d v="2026-05-28T00:00:00"/>
    <n v="28"/>
    <x v="133"/>
    <s v="DESCUENTO POR PRONTO PAGO"/>
    <n v="0"/>
  </r>
  <r>
    <x v="77"/>
    <d v="2026-05-05T00:00:00"/>
    <d v="2026-05-08T00:00:00"/>
    <n v="3"/>
    <x v="23"/>
    <s v="IMPERGLOSI AGUACERO TERRACOTA 5A"/>
    <n v="5"/>
  </r>
  <r>
    <x v="77"/>
    <d v="2026-05-05T00:00:00"/>
    <d v="2026-05-08T00:00:00"/>
    <n v="3"/>
    <x v="77"/>
    <s v="IMPERGLOSI AGUACERO TERRACOTA 3A"/>
    <n v="6"/>
  </r>
  <r>
    <x v="77"/>
    <d v="2026-05-05T00:00:00"/>
    <d v="2026-05-08T00:00:00"/>
    <n v="3"/>
    <x v="23"/>
    <s v="IMPERGLOSI AGUACERO TERRACOTA 5A"/>
    <n v="1"/>
  </r>
  <r>
    <x v="78"/>
    <d v="2026-05-05T00:00:00"/>
    <d v="2026-05-19T00:00:00"/>
    <n v="14"/>
    <x v="76"/>
    <s v="IMPERGLOSI AGUACERO BLANCO 3A"/>
    <n v="12"/>
  </r>
  <r>
    <x v="78"/>
    <d v="2026-05-05T00:00:00"/>
    <d v="2026-05-19T00:00:00"/>
    <n v="14"/>
    <x v="77"/>
    <s v="IMPERGLOSI AGUACERO TERRACOTA 3A"/>
    <n v="6"/>
  </r>
  <r>
    <x v="78"/>
    <d v="2026-05-05T00:00:00"/>
    <d v="2026-05-19T00:00:00"/>
    <n v="14"/>
    <x v="79"/>
    <s v="IMPERGLOSI AGUACERO BLANCO 5A"/>
    <n v="12"/>
  </r>
  <r>
    <x v="78"/>
    <d v="2026-05-05T00:00:00"/>
    <d v="2026-05-19T00:00:00"/>
    <n v="14"/>
    <x v="23"/>
    <s v="IMPERGLOSI AGUACERO TERRACOTA 5A"/>
    <n v="6"/>
  </r>
  <r>
    <x v="78"/>
    <d v="2026-05-05T00:00:00"/>
    <d v="2026-05-20T00:00:00"/>
    <n v="15"/>
    <x v="23"/>
    <s v="IMPERGLOSI AGUACERO TERRACOTA 5A"/>
    <n v="-6"/>
  </r>
  <r>
    <x v="78"/>
    <d v="2026-05-05T00:00:00"/>
    <d v="2026-05-22T00:00:00"/>
    <n v="17"/>
    <x v="23"/>
    <s v="IMPERGLOSI AGUACERO TERRACOTA 5A"/>
    <n v="1"/>
  </r>
  <r>
    <x v="78"/>
    <d v="2026-05-05T00:00:00"/>
    <d v="2026-05-22T00:00:00"/>
    <n v="17"/>
    <x v="23"/>
    <s v="IMPERGLOSI AGUACERO TERRACOTA 5A"/>
    <n v="5"/>
  </r>
  <r>
    <x v="78"/>
    <d v="2026-05-05T00:00:00"/>
    <d v="2026-05-29T00:00:00"/>
    <n v="24"/>
    <x v="77"/>
    <s v="IMPERGLOSI AGUACERO TERRACOTA 3A"/>
    <n v="5"/>
  </r>
  <r>
    <x v="78"/>
    <d v="2026-05-05T00:00:00"/>
    <d v="2026-05-30T00:00:00"/>
    <n v="25"/>
    <x v="79"/>
    <s v="IMPERGLOSI AGUACERO BLANCO 5A"/>
    <n v="40"/>
  </r>
  <r>
    <x v="78"/>
    <d v="2026-05-05T00:00:00"/>
    <d v="2026-05-30T00:00:00"/>
    <n v="25"/>
    <x v="23"/>
    <s v="IMPERGLOSI AGUACERO TERRACOTA 5A"/>
    <n v="10"/>
  </r>
  <r>
    <x v="78"/>
    <d v="2026-05-05T00:00:00"/>
    <d v="2026-05-30T00:00:00"/>
    <n v="25"/>
    <x v="76"/>
    <s v="IMPERGLOSI AGUACERO BLANCO 3A"/>
    <n v="40"/>
  </r>
  <r>
    <x v="78"/>
    <d v="2026-05-05T00:00:00"/>
    <d v="2026-05-30T00:00:00"/>
    <n v="25"/>
    <x v="77"/>
    <s v="IMPERGLOSI AGUACERO TERRACOTA 3A"/>
    <n v="10"/>
  </r>
  <r>
    <x v="78"/>
    <d v="2026-05-05T00:00:00"/>
    <d v="2026-05-30T00:00:00"/>
    <n v="25"/>
    <x v="76"/>
    <s v="IMPERGLOSI AGUACERO BLANCO 3A"/>
    <n v="5"/>
  </r>
  <r>
    <x v="78"/>
    <d v="2026-05-05T00:00:00"/>
    <d v="2026-05-30T00:00:00"/>
    <n v="25"/>
    <x v="79"/>
    <s v="IMPERGLOSI AGUACERO BLANCO 5A"/>
    <n v="5"/>
  </r>
  <r>
    <x v="78"/>
    <d v="2026-05-05T00:00:00"/>
    <d v="2026-05-30T00:00:00"/>
    <n v="25"/>
    <x v="23"/>
    <s v="IMPERGLOSI AGUACERO TERRACOTA 5A"/>
    <n v="5"/>
  </r>
  <r>
    <x v="78"/>
    <d v="2026-05-05T00:00:00"/>
    <d v="2026-06-02T00:00:00"/>
    <n v="28"/>
    <x v="76"/>
    <s v="IMPERGLOSI AGUACERO BLANCO 3A"/>
    <n v="-5"/>
  </r>
  <r>
    <x v="78"/>
    <d v="2026-05-05T00:00:00"/>
    <d v="2026-06-02T00:00:00"/>
    <n v="28"/>
    <x v="194"/>
    <s v="BONIF Y/O CANC BONIFICACIÓN"/>
    <n v="-1"/>
  </r>
  <r>
    <x v="79"/>
    <d v="2026-05-06T00:00:00"/>
    <d v="2026-05-11T00:00:00"/>
    <n v="5"/>
    <x v="77"/>
    <s v="IMPERGLOSI AGUACERO TERRACOTA 3A"/>
    <n v="1"/>
  </r>
  <r>
    <x v="79"/>
    <d v="2026-05-06T00:00:00"/>
    <d v="2026-05-11T00:00:00"/>
    <n v="5"/>
    <x v="195"/>
    <s v="VINILICA GLOSI BLANCO BASIC"/>
    <n v="1"/>
  </r>
  <r>
    <x v="79"/>
    <d v="2026-05-06T00:00:00"/>
    <d v="2026-05-11T00:00:00"/>
    <n v="5"/>
    <x v="77"/>
    <s v="IMPERGLOSI AGUACERO TERRACOTA 3A"/>
    <n v="1"/>
  </r>
  <r>
    <x v="79"/>
    <d v="2026-05-06T00:00:00"/>
    <d v="2026-05-11T00:00:00"/>
    <n v="5"/>
    <x v="23"/>
    <s v="IMPERGLOSI AGUACERO TERRACOTA 5A"/>
    <n v="1"/>
  </r>
  <r>
    <x v="79"/>
    <d v="2026-05-06T00:00:00"/>
    <d v="2026-05-11T00:00:00"/>
    <n v="5"/>
    <x v="77"/>
    <s v="IMPERGLOSI AGUACERO TERRACOTA 3A"/>
    <n v="1"/>
  </r>
  <r>
    <x v="79"/>
    <d v="2026-05-06T00:00:00"/>
    <d v="2026-05-11T00:00:00"/>
    <n v="5"/>
    <x v="23"/>
    <s v="IMPERGLOSI AGUACERO TERRACOTA 5A"/>
    <n v="2"/>
  </r>
  <r>
    <x v="79"/>
    <d v="2026-05-06T00:00:00"/>
    <d v="2026-05-29T00:00:00"/>
    <n v="23"/>
    <x v="22"/>
    <s v="IMPERGLOSI AGUACERO TERRACOTA 3A"/>
    <n v="3"/>
  </r>
  <r>
    <x v="79"/>
    <d v="2026-05-06T00:00:00"/>
    <d v="2026-05-29T00:00:00"/>
    <n v="23"/>
    <x v="196"/>
    <s v="VINILICA GLOSI BLANCO BASIC"/>
    <n v="2"/>
  </r>
  <r>
    <x v="79"/>
    <d v="2026-05-06T00:00:00"/>
    <d v="2026-05-29T00:00:00"/>
    <n v="23"/>
    <x v="23"/>
    <s v="IMPERGLOSI AGUACERO TERRACOTA 5A"/>
    <n v="2"/>
  </r>
  <r>
    <x v="80"/>
    <d v="2026-05-09T00:00:00"/>
    <d v="2026-05-14T00:00:00"/>
    <n v="5"/>
    <x v="76"/>
    <s v="IMPERGLOSI AGUACERO BLANCO 3A"/>
    <n v="3"/>
  </r>
  <r>
    <x v="80"/>
    <d v="2026-05-09T00:00:00"/>
    <d v="2026-05-14T00:00:00"/>
    <n v="5"/>
    <x v="77"/>
    <s v="IMPERGLOSI AGUACERO TERRACOTA 3A"/>
    <n v="3"/>
  </r>
  <r>
    <x v="81"/>
    <d v="2026-05-11T00:00:00"/>
    <d v="2026-05-13T00:00:00"/>
    <n v="2"/>
    <x v="48"/>
    <s v="ESMALTE GLOSI SR BLANCO"/>
    <n v="6"/>
  </r>
  <r>
    <x v="81"/>
    <d v="2026-05-11T00:00:00"/>
    <d v="2026-05-13T00:00:00"/>
    <n v="2"/>
    <x v="197"/>
    <s v="ESMALTE GLOSI SR CANARIO"/>
    <n v="6"/>
  </r>
  <r>
    <x v="81"/>
    <d v="2026-05-11T00:00:00"/>
    <d v="2026-05-13T00:00:00"/>
    <n v="2"/>
    <x v="198"/>
    <s v="ESMALTE GLOSI SR CHOCOLATE"/>
    <n v="6"/>
  </r>
  <r>
    <x v="81"/>
    <d v="2026-05-11T00:00:00"/>
    <d v="2026-05-13T00:00:00"/>
    <n v="2"/>
    <x v="85"/>
    <s v="ESMALTE GLOSI SR NEGRO BRILLANTE"/>
    <n v="6"/>
  </r>
  <r>
    <x v="82"/>
    <d v="2026-05-12T00:00:00"/>
    <d v="2026-05-30T00:00:00"/>
    <n v="18"/>
    <x v="18"/>
    <s v="ESMALTE BRILLON BLANCO"/>
    <n v="3"/>
  </r>
  <r>
    <x v="82"/>
    <d v="2026-05-12T00:00:00"/>
    <d v="2026-05-30T00:00:00"/>
    <n v="18"/>
    <x v="27"/>
    <s v="BRILLON BLANCO"/>
    <n v="3"/>
  </r>
  <r>
    <x v="82"/>
    <d v="2026-05-12T00:00:00"/>
    <d v="2026-05-30T00:00:00"/>
    <n v="18"/>
    <x v="135"/>
    <s v="BRILLON ALUMINIO"/>
    <n v="3"/>
  </r>
  <r>
    <x v="82"/>
    <d v="2026-05-12T00:00:00"/>
    <d v="2026-05-30T00:00:00"/>
    <n v="18"/>
    <x v="19"/>
    <s v="BRILLON CACAO"/>
    <n v="3"/>
  </r>
  <r>
    <x v="82"/>
    <d v="2026-05-12T00:00:00"/>
    <d v="2026-05-30T00:00:00"/>
    <n v="18"/>
    <x v="199"/>
    <s v="BRILLON AZUL AGUA"/>
    <n v="3"/>
  </r>
  <r>
    <x v="82"/>
    <d v="2026-05-12T00:00:00"/>
    <d v="2026-05-30T00:00:00"/>
    <n v="18"/>
    <x v="20"/>
    <s v="BRILLON NEGRO"/>
    <n v="3"/>
  </r>
  <r>
    <x v="82"/>
    <d v="2026-05-12T00:00:00"/>
    <d v="2026-05-30T00:00:00"/>
    <n v="18"/>
    <x v="36"/>
    <s v="BRILLON NEGRO"/>
    <n v="3"/>
  </r>
  <r>
    <x v="82"/>
    <d v="2026-05-12T00:00:00"/>
    <d v="2026-05-30T00:00:00"/>
    <n v="18"/>
    <x v="200"/>
    <s v="BARNIZ GLOSI ALQUI CEDRO"/>
    <n v="3"/>
  </r>
  <r>
    <x v="83"/>
    <d v="2026-05-12T00:00:00"/>
    <d v="2026-05-21T00:00:00"/>
    <n v="9"/>
    <x v="48"/>
    <s v="ESMALTE GLOSI SR BLANCO"/>
    <n v="3"/>
  </r>
  <r>
    <x v="83"/>
    <d v="2026-05-12T00:00:00"/>
    <d v="2026-05-21T00:00:00"/>
    <n v="9"/>
    <x v="14"/>
    <s v="ESMALTE GLOSI SR BLANCO"/>
    <n v="3"/>
  </r>
  <r>
    <x v="83"/>
    <d v="2026-05-12T00:00:00"/>
    <d v="2026-05-21T00:00:00"/>
    <n v="9"/>
    <x v="150"/>
    <s v="ESMALTE GLOSI SR BLANCO"/>
    <n v="6"/>
  </r>
  <r>
    <x v="83"/>
    <d v="2026-05-12T00:00:00"/>
    <d v="2026-05-21T00:00:00"/>
    <n v="9"/>
    <x v="85"/>
    <s v="ESMALTE GLOSI SR NEGRO BRILLANTE"/>
    <n v="3"/>
  </r>
  <r>
    <x v="83"/>
    <d v="2026-05-12T00:00:00"/>
    <d v="2026-05-21T00:00:00"/>
    <n v="9"/>
    <x v="16"/>
    <s v="ESMALTE GLOSI SR NEGRO BRILLANTE"/>
    <n v="3"/>
  </r>
  <r>
    <x v="83"/>
    <d v="2026-05-12T00:00:00"/>
    <d v="2026-05-21T00:00:00"/>
    <n v="9"/>
    <x v="83"/>
    <s v="ESMALTE GLOSI SR NEGRO BRILLANTE"/>
    <n v="6"/>
  </r>
  <r>
    <x v="83"/>
    <d v="2026-05-12T00:00:00"/>
    <d v="2026-05-29T00:00:00"/>
    <n v="17"/>
    <x v="77"/>
    <s v="IMPERGLOSI AGUACERO TERRACOTA 3A"/>
    <n v="2"/>
  </r>
  <r>
    <x v="83"/>
    <d v="2026-05-12T00:00:00"/>
    <d v="2026-05-30T00:00:00"/>
    <n v="18"/>
    <x v="76"/>
    <s v="IMPERGLOSI AGUACERO BLANCO 3A"/>
    <n v="1"/>
  </r>
  <r>
    <x v="83"/>
    <d v="2026-05-12T00:00:00"/>
    <d v="2026-05-30T00:00:00"/>
    <n v="18"/>
    <x v="76"/>
    <s v="IMPERGLOSI AGUACERO BLANCO 3A"/>
    <n v="3"/>
  </r>
  <r>
    <x v="83"/>
    <d v="2026-05-12T00:00:00"/>
    <d v="2026-05-30T00:00:00"/>
    <n v="18"/>
    <x v="79"/>
    <s v="IMPERGLOSI AGUACERO BLANCO 5A"/>
    <n v="2"/>
  </r>
  <r>
    <x v="83"/>
    <d v="2026-05-12T00:00:00"/>
    <d v="2026-05-30T00:00:00"/>
    <n v="18"/>
    <x v="65"/>
    <s v="PEGAMENTO / SELLADOR"/>
    <n v="4"/>
  </r>
  <r>
    <x v="83"/>
    <d v="2026-05-12T00:00:00"/>
    <d v="2026-06-08T00:00:00"/>
    <n v="27"/>
    <x v="62"/>
    <s v="PEGAMENTO / SELLADOR"/>
    <n v="4"/>
  </r>
  <r>
    <x v="84"/>
    <d v="2026-05-12T00:00:00"/>
    <d v="2026-05-13T00:00:00"/>
    <n v="1"/>
    <x v="18"/>
    <s v="ESMALTE BRILLON BLANCO"/>
    <n v="6"/>
  </r>
  <r>
    <x v="84"/>
    <d v="2026-05-12T00:00:00"/>
    <d v="2026-05-13T00:00:00"/>
    <n v="1"/>
    <x v="39"/>
    <s v="BRILLON BLANCO"/>
    <n v="6"/>
  </r>
  <r>
    <x v="84"/>
    <d v="2026-05-12T00:00:00"/>
    <d v="2026-05-13T00:00:00"/>
    <n v="1"/>
    <x v="75"/>
    <s v="BRILLON NEGRO"/>
    <n v="6"/>
  </r>
  <r>
    <x v="84"/>
    <d v="2026-05-12T00:00:00"/>
    <d v="2026-05-13T00:00:00"/>
    <n v="1"/>
    <x v="55"/>
    <s v="RELLENADOR AUTOMOTRIZ C/CATAL. ROJO"/>
    <n v="4"/>
  </r>
  <r>
    <x v="84"/>
    <d v="2026-05-12T00:00:00"/>
    <d v="2026-05-13T00:00:00"/>
    <n v="1"/>
    <x v="196"/>
    <s v="VINILICA GLOSI BLANCO BASIC"/>
    <n v="4"/>
  </r>
  <r>
    <x v="85"/>
    <d v="2026-05-12T00:00:00"/>
    <d v="2026-05-20T00:00:00"/>
    <n v="8"/>
    <x v="201"/>
    <s v="BRILLON DORADO"/>
    <n v="6"/>
  </r>
  <r>
    <x v="85"/>
    <d v="2026-05-12T00:00:00"/>
    <d v="2026-05-20T00:00:00"/>
    <n v="8"/>
    <x v="67"/>
    <s v="ESMALTE GLOSI SR BLANCO"/>
    <n v="2"/>
  </r>
  <r>
    <x v="85"/>
    <d v="2026-05-12T00:00:00"/>
    <d v="2026-05-20T00:00:00"/>
    <n v="8"/>
    <x v="47"/>
    <s v="ESMALTE GLOSI SR NEGRO BRILLANTE"/>
    <n v="2"/>
  </r>
  <r>
    <x v="85"/>
    <d v="2026-05-12T00:00:00"/>
    <d v="2026-05-20T00:00:00"/>
    <n v="8"/>
    <x v="195"/>
    <s v="VINILICA GLOSI BLANCO BASIC"/>
    <n v="4"/>
  </r>
  <r>
    <x v="85"/>
    <d v="2026-05-12T00:00:00"/>
    <d v="2026-05-20T00:00:00"/>
    <n v="8"/>
    <x v="191"/>
    <s v="VINILICA GLOSI BLANCO ULTRA"/>
    <n v="1"/>
  </r>
  <r>
    <x v="85"/>
    <d v="2026-05-12T00:00:00"/>
    <d v="2026-05-27T00:00:00"/>
    <n v="15"/>
    <x v="133"/>
    <s v="DESCUENTO POR PRONTO PAGO"/>
    <n v="0"/>
  </r>
  <r>
    <x v="86"/>
    <d v="2026-05-12T00:00:00"/>
    <d v="2026-05-20T00:00:00"/>
    <n v="8"/>
    <x v="18"/>
    <s v="ESMALTE BRILLON BLANCO"/>
    <n v="6"/>
  </r>
  <r>
    <x v="86"/>
    <d v="2026-05-12T00:00:00"/>
    <d v="2026-05-20T00:00:00"/>
    <n v="8"/>
    <x v="39"/>
    <s v="BRILLON BLANCO"/>
    <n v="12"/>
  </r>
  <r>
    <x v="86"/>
    <d v="2026-05-12T00:00:00"/>
    <d v="2026-05-20T00:00:00"/>
    <n v="8"/>
    <x v="75"/>
    <s v="BRILLON NEGRO"/>
    <n v="12"/>
  </r>
  <r>
    <x v="86"/>
    <d v="2026-05-12T00:00:00"/>
    <d v="2026-05-20T00:00:00"/>
    <n v="8"/>
    <x v="18"/>
    <s v="ESMALTE BRILLON BLANCO"/>
    <n v="6"/>
  </r>
  <r>
    <x v="86"/>
    <d v="2026-05-12T00:00:00"/>
    <d v="2026-05-20T00:00:00"/>
    <n v="8"/>
    <x v="39"/>
    <s v="BRILLON BLANCO"/>
    <n v="12"/>
  </r>
  <r>
    <x v="86"/>
    <d v="2026-05-12T00:00:00"/>
    <d v="2026-05-20T00:00:00"/>
    <n v="8"/>
    <x v="32"/>
    <s v="BRILLON GRIS"/>
    <n v="6"/>
  </r>
  <r>
    <x v="86"/>
    <d v="2026-05-12T00:00:00"/>
    <d v="2026-05-20T00:00:00"/>
    <n v="8"/>
    <x v="20"/>
    <s v="BRILLON NEGRO"/>
    <n v="6"/>
  </r>
  <r>
    <x v="86"/>
    <d v="2026-05-12T00:00:00"/>
    <d v="2026-05-20T00:00:00"/>
    <n v="8"/>
    <x v="75"/>
    <s v="BRILLON NEGRO"/>
    <n v="12"/>
  </r>
  <r>
    <x v="86"/>
    <d v="2026-05-12T00:00:00"/>
    <d v="2026-05-20T00:00:00"/>
    <n v="8"/>
    <x v="196"/>
    <s v="VINILICA GLOSI BLANCO BASIC"/>
    <n v="2"/>
  </r>
  <r>
    <x v="86"/>
    <d v="2026-05-12T00:00:00"/>
    <d v="2026-05-20T00:00:00"/>
    <n v="8"/>
    <x v="193"/>
    <s v="VINILICA GLOSI BLANCO BASIC"/>
    <n v="6"/>
  </r>
  <r>
    <x v="86"/>
    <d v="2026-05-12T00:00:00"/>
    <d v="2026-05-27T00:00:00"/>
    <n v="15"/>
    <x v="18"/>
    <s v="ESMALTE BRILLON BLANCO"/>
    <n v="-6"/>
  </r>
  <r>
    <x v="86"/>
    <d v="2026-05-12T00:00:00"/>
    <d v="2026-05-27T00:00:00"/>
    <n v="15"/>
    <x v="39"/>
    <s v="BRILLON BLANCO"/>
    <n v="-12"/>
  </r>
  <r>
    <x v="86"/>
    <d v="2026-05-12T00:00:00"/>
    <d v="2026-05-27T00:00:00"/>
    <n v="15"/>
    <x v="75"/>
    <s v="BRILLON NEGRO"/>
    <n v="-12"/>
  </r>
  <r>
    <x v="87"/>
    <d v="2026-05-14T00:00:00"/>
    <d v="2026-05-21T00:00:00"/>
    <n v="7"/>
    <x v="202"/>
    <s v="PARAGUAS 3 AÑOS EMULSIONADO"/>
    <n v="1"/>
  </r>
  <r>
    <x v="87"/>
    <d v="2026-05-14T00:00:00"/>
    <d v="2026-05-21T00:00:00"/>
    <n v="7"/>
    <x v="76"/>
    <s v="IMPERGLOSI AGUACERO BLANCO 3A"/>
    <n v="2"/>
  </r>
  <r>
    <x v="87"/>
    <d v="2026-05-14T00:00:00"/>
    <d v="2026-05-21T00:00:00"/>
    <n v="7"/>
    <x v="203"/>
    <s v="SELLADOR P/MUNEQUEO A.S./A.V.200"/>
    <n v="6"/>
  </r>
  <r>
    <x v="87"/>
    <d v="2026-05-14T00:00:00"/>
    <d v="2026-05-21T00:00:00"/>
    <n v="7"/>
    <x v="204"/>
    <s v="CONSERV. MAD PENTAPRISA &quot;P/POLILLA&quot;"/>
    <n v="3"/>
  </r>
  <r>
    <x v="87"/>
    <d v="2026-05-14T00:00:00"/>
    <d v="2026-05-21T00:00:00"/>
    <n v="7"/>
    <x v="205"/>
    <s v="FONDO MINIO NARANJA 1288"/>
    <n v="6"/>
  </r>
  <r>
    <x v="87"/>
    <d v="2026-05-14T00:00:00"/>
    <d v="2026-05-21T00:00:00"/>
    <n v="7"/>
    <x v="120"/>
    <s v="BARNIZ ALQ. TRANSP. NATURAL"/>
    <n v="6"/>
  </r>
  <r>
    <x v="87"/>
    <d v="2026-05-14T00:00:00"/>
    <d v="2026-05-21T00:00:00"/>
    <n v="7"/>
    <x v="206"/>
    <s v="PARAGUAS 3 AÑOS EMULSIONADO"/>
    <n v="1"/>
  </r>
  <r>
    <x v="87"/>
    <d v="2026-05-14T00:00:00"/>
    <d v="2026-05-21T00:00:00"/>
    <n v="7"/>
    <x v="153"/>
    <s v="MEMBRANA DE REFUERZO P/IMPER 17/105 20 G"/>
    <n v="1"/>
  </r>
  <r>
    <x v="87"/>
    <d v="2026-05-14T00:00:00"/>
    <d v="2026-05-21T00:00:00"/>
    <n v="7"/>
    <x v="207"/>
    <s v="MEMBRANA DE REFUERZO TRAMADA/POLIREF 60G"/>
    <n v="1"/>
  </r>
  <r>
    <x v="87"/>
    <d v="2026-05-14T00:00:00"/>
    <d v="2026-05-21T00:00:00"/>
    <n v="7"/>
    <x v="200"/>
    <s v="BARNIZ GLOSI ALQUI CEDRO"/>
    <n v="3"/>
  </r>
  <r>
    <x v="87"/>
    <d v="2026-05-14T00:00:00"/>
    <d v="2026-05-21T00:00:00"/>
    <n v="7"/>
    <x v="208"/>
    <s v="BARNIZ GLOSI ALQUI CAOBA"/>
    <n v="3"/>
  </r>
  <r>
    <x v="87"/>
    <d v="2026-05-14T00:00:00"/>
    <d v="2026-05-21T00:00:00"/>
    <n v="7"/>
    <x v="187"/>
    <s v="BARNIZ GLOSI ALQUI NOGAL"/>
    <n v="3"/>
  </r>
  <r>
    <x v="87"/>
    <d v="2026-05-14T00:00:00"/>
    <d v="2026-05-21T00:00:00"/>
    <n v="7"/>
    <x v="21"/>
    <s v="IMPERGLOSI AGUACERO BLANCO 3A"/>
    <n v="2"/>
  </r>
  <r>
    <x v="87"/>
    <d v="2026-05-14T00:00:00"/>
    <d v="2026-05-21T00:00:00"/>
    <n v="7"/>
    <x v="209"/>
    <s v="ESTRUCTURAS ROJO OXIDO"/>
    <n v="1"/>
  </r>
  <r>
    <x v="87"/>
    <d v="2026-05-14T00:00:00"/>
    <d v="2026-05-21T00:00:00"/>
    <n v="7"/>
    <x v="210"/>
    <s v="ESTRUCTURAS ROJO OXIDO"/>
    <n v="3"/>
  </r>
  <r>
    <x v="87"/>
    <d v="2026-05-14T00:00:00"/>
    <d v="2026-05-21T00:00:00"/>
    <n v="7"/>
    <x v="211"/>
    <s v="PRIMARIO GLOSI ESTRUCTURAS GRIS"/>
    <n v="1"/>
  </r>
  <r>
    <x v="87"/>
    <d v="2026-05-14T00:00:00"/>
    <d v="2026-05-21T00:00:00"/>
    <n v="7"/>
    <x v="144"/>
    <s v="PRIMARIO GLOSI ESTRUCTURAS GRIS"/>
    <n v="3"/>
  </r>
  <r>
    <x v="87"/>
    <d v="2026-05-14T00:00:00"/>
    <d v="2026-05-21T00:00:00"/>
    <n v="7"/>
    <x v="67"/>
    <s v="ESMALTE GLOSI SR BLANCO"/>
    <n v="1"/>
  </r>
  <r>
    <x v="87"/>
    <d v="2026-05-14T00:00:00"/>
    <d v="2026-05-21T00:00:00"/>
    <n v="7"/>
    <x v="48"/>
    <s v="ESMALTE GLOSI SR BLANCO"/>
    <n v="6"/>
  </r>
  <r>
    <x v="87"/>
    <d v="2026-05-14T00:00:00"/>
    <d v="2026-05-21T00:00:00"/>
    <n v="7"/>
    <x v="14"/>
    <s v="ESMALTE GLOSI SR BLANCO"/>
    <n v="6"/>
  </r>
  <r>
    <x v="87"/>
    <d v="2026-05-14T00:00:00"/>
    <d v="2026-05-21T00:00:00"/>
    <n v="7"/>
    <x v="47"/>
    <s v="ESMALTE GLOSI SR NEGRO BRILLANTE"/>
    <n v="1"/>
  </r>
  <r>
    <x v="87"/>
    <d v="2026-05-14T00:00:00"/>
    <d v="2026-05-21T00:00:00"/>
    <n v="7"/>
    <x v="85"/>
    <s v="ESMALTE GLOSI SR NEGRO BRILLANTE"/>
    <n v="6"/>
  </r>
  <r>
    <x v="87"/>
    <d v="2026-05-14T00:00:00"/>
    <d v="2026-05-21T00:00:00"/>
    <n v="7"/>
    <x v="16"/>
    <s v="ESMALTE GLOSI SR NEGRO BRILLANTE"/>
    <n v="6"/>
  </r>
  <r>
    <x v="87"/>
    <d v="2026-05-14T00:00:00"/>
    <d v="2026-05-21T00:00:00"/>
    <n v="7"/>
    <x v="195"/>
    <s v="VINILICA GLOSI BLANCO BASIC"/>
    <n v="2"/>
  </r>
  <r>
    <x v="87"/>
    <d v="2026-05-14T00:00:00"/>
    <d v="2026-05-21T00:00:00"/>
    <n v="7"/>
    <x v="196"/>
    <s v="VINILICA GLOSI BLANCO BASIC"/>
    <n v="2"/>
  </r>
  <r>
    <x v="87"/>
    <d v="2026-05-14T00:00:00"/>
    <d v="2026-05-21T00:00:00"/>
    <n v="7"/>
    <x v="191"/>
    <s v="VINILICA GLOSI BLANCO ULTRA"/>
    <n v="2"/>
  </r>
  <r>
    <x v="87"/>
    <d v="2026-05-14T00:00:00"/>
    <d v="2026-05-21T00:00:00"/>
    <n v="7"/>
    <x v="154"/>
    <s v="VINILICA GLOSI BLANCO ULTRA"/>
    <n v="2"/>
  </r>
  <r>
    <x v="87"/>
    <d v="2026-05-14T00:00:00"/>
    <d v="2026-05-21T00:00:00"/>
    <n v="7"/>
    <x v="164"/>
    <s v="VINILICA GLOSI BLANCO ULTRA"/>
    <n v="6"/>
  </r>
  <r>
    <x v="87"/>
    <d v="2026-05-14T00:00:00"/>
    <d v="2026-05-27T00:00:00"/>
    <n v="13"/>
    <x v="212"/>
    <s v="PARAGUAS 5 AÑOS ASFALTICO"/>
    <n v="2"/>
  </r>
  <r>
    <x v="87"/>
    <d v="2026-05-14T00:00:00"/>
    <d v="2026-05-29T00:00:00"/>
    <n v="15"/>
    <x v="55"/>
    <s v="RELLENADOR AUTOMOTRIZ C/CATAL. ROJO"/>
    <n v="3"/>
  </r>
  <r>
    <x v="87"/>
    <d v="2026-05-14T00:00:00"/>
    <d v="2026-05-30T00:00:00"/>
    <n v="16"/>
    <x v="213"/>
    <s v="PARAGUAS 5 AÑOS ASFALTICO"/>
    <n v="1"/>
  </r>
  <r>
    <x v="88"/>
    <d v="2026-05-15T00:00:00"/>
    <d v="2026-05-20T00:00:00"/>
    <n v="5"/>
    <x v="201"/>
    <s v="BRILLON DORADO"/>
    <n v="3"/>
  </r>
  <r>
    <x v="88"/>
    <d v="2026-05-15T00:00:00"/>
    <d v="2026-05-20T00:00:00"/>
    <n v="5"/>
    <x v="81"/>
    <s v="BRILLON DORADO"/>
    <n v="6"/>
  </r>
  <r>
    <x v="88"/>
    <d v="2026-05-15T00:00:00"/>
    <d v="2026-05-20T00:00:00"/>
    <n v="5"/>
    <x v="61"/>
    <s v="BARNIZ GLOSI ALQUI NOGAL"/>
    <n v="3"/>
  </r>
  <r>
    <x v="88"/>
    <d v="2026-05-15T00:00:00"/>
    <d v="2026-05-20T00:00:00"/>
    <n v="5"/>
    <x v="214"/>
    <s v="KIT CARWASH"/>
    <n v="1"/>
  </r>
  <r>
    <x v="89"/>
    <d v="2026-05-13T00:00:00"/>
    <d v="2026-05-20T00:00:00"/>
    <n v="7"/>
    <x v="76"/>
    <s v="IMPERGLOSI AGUACERO BLANCO 3A"/>
    <n v="5"/>
  </r>
  <r>
    <x v="89"/>
    <d v="2026-05-13T00:00:00"/>
    <d v="2026-05-20T00:00:00"/>
    <n v="7"/>
    <x v="77"/>
    <s v="IMPERGLOSI AGUACERO TERRACOTA 3A"/>
    <n v="1"/>
  </r>
  <r>
    <x v="89"/>
    <d v="2026-05-13T00:00:00"/>
    <d v="2026-05-29T00:00:00"/>
    <n v="16"/>
    <x v="76"/>
    <s v="IMPERGLOSI AGUACERO BLANCO 3A"/>
    <n v="3"/>
  </r>
  <r>
    <x v="89"/>
    <d v="2026-05-13T00:00:00"/>
    <d v="2026-05-29T00:00:00"/>
    <n v="16"/>
    <x v="77"/>
    <s v="IMPERGLOSI AGUACERO TERRACOTA 3A"/>
    <n v="2"/>
  </r>
  <r>
    <x v="89"/>
    <d v="2026-05-13T00:00:00"/>
    <d v="2026-05-30T00:00:00"/>
    <n v="17"/>
    <x v="77"/>
    <s v="IMPERGLOSI AGUACERO TERRACOTA 3A"/>
    <n v="1"/>
  </r>
  <r>
    <x v="89"/>
    <d v="2026-05-13T00:00:00"/>
    <d v="2026-06-11T00:00:00"/>
    <n v="29"/>
    <x v="76"/>
    <s v="IMPERGLOSI AGUACERO BLANCO 3A"/>
    <n v="1"/>
  </r>
  <r>
    <x v="89"/>
    <d v="2026-05-13T00:00:00"/>
    <d v="2026-06-11T00:00:00"/>
    <n v="29"/>
    <x v="76"/>
    <s v="IMPERGLOSI AGUACERO BLANCO 3A"/>
    <n v="2"/>
  </r>
  <r>
    <x v="89"/>
    <d v="2026-05-13T00:00:00"/>
    <d v="2026-06-11T00:00:00"/>
    <n v="29"/>
    <x v="77"/>
    <s v="IMPERGLOSI AGUACERO TERRACOTA 3A"/>
    <n v="3"/>
  </r>
  <r>
    <x v="90"/>
    <d v="2026-05-14T00:00:00"/>
    <d v="2026-05-15T00:00:00"/>
    <n v="1"/>
    <x v="207"/>
    <s v="MEMBRANA DE REFUERZO TRAMADA/POLIREF 60G"/>
    <n v="2"/>
  </r>
  <r>
    <x v="90"/>
    <d v="2026-05-14T00:00:00"/>
    <d v="2026-05-15T00:00:00"/>
    <n v="1"/>
    <x v="76"/>
    <s v="IMPERGLOSI AGUACERO BLANCO 3A"/>
    <n v="6"/>
  </r>
  <r>
    <x v="90"/>
    <d v="2026-05-14T00:00:00"/>
    <d v="2026-05-15T00:00:00"/>
    <n v="1"/>
    <x v="77"/>
    <s v="IMPERGLOSI AGUACERO TERRACOTA 3A"/>
    <n v="6"/>
  </r>
  <r>
    <x v="90"/>
    <d v="2026-05-14T00:00:00"/>
    <d v="2026-05-30T00:00:00"/>
    <n v="16"/>
    <x v="22"/>
    <s v="IMPERGLOSI AGUACERO TERRACOTA 3A"/>
    <n v="3"/>
  </r>
  <r>
    <x v="90"/>
    <d v="2026-05-14T00:00:00"/>
    <d v="2026-05-30T00:00:00"/>
    <n v="16"/>
    <x v="76"/>
    <s v="IMPERGLOSI AGUACERO BLANCO 3A"/>
    <n v="1"/>
  </r>
  <r>
    <x v="90"/>
    <d v="2026-05-14T00:00:00"/>
    <d v="2026-05-30T00:00:00"/>
    <n v="16"/>
    <x v="76"/>
    <s v="IMPERGLOSI AGUACERO BLANCO 3A"/>
    <n v="5"/>
  </r>
  <r>
    <x v="90"/>
    <d v="2026-05-14T00:00:00"/>
    <d v="2026-05-30T00:00:00"/>
    <n v="16"/>
    <x v="21"/>
    <s v="IMPERGLOSI AGUACERO BLANCO 3A"/>
    <n v="3"/>
  </r>
  <r>
    <x v="90"/>
    <d v="2026-05-14T00:00:00"/>
    <d v="2026-05-30T00:00:00"/>
    <n v="16"/>
    <x v="76"/>
    <s v="IMPERGLOSI AGUACERO BLANCO 3A"/>
    <n v="1"/>
  </r>
  <r>
    <x v="90"/>
    <d v="2026-05-14T00:00:00"/>
    <d v="2026-05-30T00:00:00"/>
    <n v="16"/>
    <x v="76"/>
    <s v="IMPERGLOSI AGUACERO BLANCO 3A"/>
    <n v="5"/>
  </r>
  <r>
    <x v="90"/>
    <d v="2026-05-14T00:00:00"/>
    <d v="2026-05-30T00:00:00"/>
    <n v="16"/>
    <x v="18"/>
    <s v="ESMALTE BRILLON BLANCO"/>
    <n v="6"/>
  </r>
  <r>
    <x v="90"/>
    <d v="2026-05-14T00:00:00"/>
    <d v="2026-05-30T00:00:00"/>
    <n v="16"/>
    <x v="215"/>
    <s v="VINILICA GLOSI AMARILLO PRO"/>
    <n v="1"/>
  </r>
  <r>
    <x v="90"/>
    <d v="2026-05-14T00:00:00"/>
    <d v="2026-05-30T00:00:00"/>
    <n v="16"/>
    <x v="216"/>
    <s v="VINILICA GLOSI OCRE PRO"/>
    <n v="2"/>
  </r>
  <r>
    <x v="90"/>
    <d v="2026-05-14T00:00:00"/>
    <d v="2026-05-30T00:00:00"/>
    <n v="16"/>
    <x v="217"/>
    <s v="VINILICA GLOSI VERDE PRO"/>
    <n v="1"/>
  </r>
  <r>
    <x v="90"/>
    <d v="2026-05-14T00:00:00"/>
    <d v="2026-05-30T00:00:00"/>
    <n v="16"/>
    <x v="218"/>
    <s v="VINILICA GLOSI NEGRO PRO"/>
    <n v="2"/>
  </r>
  <r>
    <x v="90"/>
    <d v="2026-05-14T00:00:00"/>
    <d v="2026-05-30T00:00:00"/>
    <n v="16"/>
    <x v="219"/>
    <s v="VINILICA GLOSI ROSA MEX PRO"/>
    <n v="1"/>
  </r>
  <r>
    <x v="90"/>
    <d v="2026-05-14T00:00:00"/>
    <d v="2026-05-30T00:00:00"/>
    <n v="16"/>
    <x v="220"/>
    <s v="VINILICA GLOSI VERDE BOSQUE PRO"/>
    <n v="1"/>
  </r>
  <r>
    <x v="90"/>
    <d v="2026-05-14T00:00:00"/>
    <d v="2026-05-30T00:00:00"/>
    <n v="16"/>
    <x v="21"/>
    <s v="IMPERGLOSI AGUACERO BLANCO 3A"/>
    <n v="6"/>
  </r>
  <r>
    <x v="90"/>
    <d v="2026-05-14T00:00:00"/>
    <d v="2026-05-30T00:00:00"/>
    <n v="16"/>
    <x v="144"/>
    <s v="PRIMARIO GLOSI ESTRUCTURAS GRIS"/>
    <n v="6"/>
  </r>
  <r>
    <x v="90"/>
    <d v="2026-05-14T00:00:00"/>
    <d v="2026-05-30T00:00:00"/>
    <n v="16"/>
    <x v="67"/>
    <s v="ESMALTE GLOSI SR BLANCO"/>
    <n v="2"/>
  </r>
  <r>
    <x v="90"/>
    <d v="2026-05-14T00:00:00"/>
    <d v="2026-06-01T00:00:00"/>
    <n v="18"/>
    <x v="76"/>
    <s v="IMPERGLOSI AGUACERO BLANCO 3A"/>
    <n v="-1"/>
  </r>
  <r>
    <x v="90"/>
    <d v="2026-05-14T00:00:00"/>
    <d v="2026-06-01T00:00:00"/>
    <n v="18"/>
    <x v="22"/>
    <s v="IMPERGLOSI AGUACERO TERRACOTA 3A"/>
    <n v="-3"/>
  </r>
  <r>
    <x v="90"/>
    <d v="2026-05-14T00:00:00"/>
    <d v="2026-06-01T00:00:00"/>
    <n v="18"/>
    <x v="76"/>
    <s v="IMPERGLOSI AGUACERO BLANCO 3A"/>
    <n v="-5"/>
  </r>
  <r>
    <x v="90"/>
    <d v="2026-05-14T00:00:00"/>
    <d v="2026-06-10T00:00:00"/>
    <n v="27"/>
    <x v="218"/>
    <s v="VINILICA GLOSI NEGRO PRO"/>
    <n v="-2"/>
  </r>
  <r>
    <x v="91"/>
    <d v="2026-05-15T00:00:00"/>
    <d v="2026-05-30T00:00:00"/>
    <n v="15"/>
    <x v="77"/>
    <s v="IMPERGLOSI AGUACERO TERRACOTA 3A"/>
    <n v="2"/>
  </r>
  <r>
    <x v="91"/>
    <d v="2026-05-15T00:00:00"/>
    <d v="2026-06-09T00:00:00"/>
    <n v="25"/>
    <x v="77"/>
    <s v="IMPERGLOSI AGUACERO TERRACOTA 3A"/>
    <n v="-2"/>
  </r>
  <r>
    <x v="91"/>
    <d v="2026-05-15T00:00:00"/>
    <d v="2026-06-12T00:00:00"/>
    <n v="28"/>
    <x v="77"/>
    <s v="IMPERGLOSI AGUACERO TERRACOTA 3A"/>
    <n v="2"/>
  </r>
  <r>
    <x v="92"/>
    <d v="2026-05-22T00:00:00"/>
    <d v="2026-05-28T00:00:00"/>
    <n v="6"/>
    <x v="221"/>
    <s v="FONDO VINIL-ACRILICO"/>
    <n v="1"/>
  </r>
  <r>
    <x v="92"/>
    <d v="2026-05-22T00:00:00"/>
    <d v="2026-05-28T00:00:00"/>
    <n v="6"/>
    <x v="132"/>
    <s v="RIVINOL 5 S BLANCO"/>
    <n v="1"/>
  </r>
  <r>
    <x v="93"/>
    <d v="2026-05-20T00:00:00"/>
    <d v="2026-05-29T00:00:00"/>
    <n v="9"/>
    <x v="77"/>
    <s v="IMPERGLOSI AGUACERO TERRACOTA 3A"/>
    <n v="1"/>
  </r>
  <r>
    <x v="93"/>
    <d v="2026-05-20T00:00:00"/>
    <d v="2026-05-29T00:00:00"/>
    <n v="9"/>
    <x v="77"/>
    <s v="IMPERGLOSI AGUACERO TERRACOTA 3A"/>
    <n v="2"/>
  </r>
  <r>
    <x v="93"/>
    <d v="2026-05-20T00:00:00"/>
    <d v="2026-05-29T00:00:00"/>
    <n v="9"/>
    <x v="76"/>
    <s v="IMPERGLOSI AGUACERO BLANCO 3A"/>
    <n v="3"/>
  </r>
  <r>
    <x v="93"/>
    <d v="2026-05-20T00:00:00"/>
    <d v="2026-06-16T00:00:00"/>
    <n v="27"/>
    <x v="194"/>
    <s v="BONIF Y/O CANC BONIFICACIÓN"/>
    <n v="-1"/>
  </r>
  <r>
    <x v="94"/>
    <d v="2026-05-20T00:00:00"/>
    <d v="2026-05-26T00:00:00"/>
    <n v="6"/>
    <x v="3"/>
    <s v="AEROSOL BLANCO BRILLANTE"/>
    <n v="12"/>
  </r>
  <r>
    <x v="94"/>
    <d v="2026-05-20T00:00:00"/>
    <d v="2026-05-26T00:00:00"/>
    <n v="6"/>
    <x v="0"/>
    <s v="AEROSOL NEGRO MATE"/>
    <n v="6"/>
  </r>
  <r>
    <x v="94"/>
    <d v="2026-05-20T00:00:00"/>
    <d v="2026-05-26T00:00:00"/>
    <n v="6"/>
    <x v="1"/>
    <s v="AEROSOL NEGRO BRILLANTE"/>
    <n v="6"/>
  </r>
  <r>
    <x v="94"/>
    <d v="2026-05-20T00:00:00"/>
    <d v="2026-05-26T00:00:00"/>
    <n v="6"/>
    <x v="18"/>
    <s v="ESMALTE BRILLON BLANCO"/>
    <n v="3"/>
  </r>
  <r>
    <x v="94"/>
    <d v="2026-05-20T00:00:00"/>
    <d v="2026-05-26T00:00:00"/>
    <n v="6"/>
    <x v="42"/>
    <s v="BRILLON BLANCO MATE"/>
    <n v="3"/>
  </r>
  <r>
    <x v="94"/>
    <d v="2026-05-20T00:00:00"/>
    <d v="2026-05-26T00:00:00"/>
    <n v="6"/>
    <x v="199"/>
    <s v="BRILLON AZUL AGUA"/>
    <n v="3"/>
  </r>
  <r>
    <x v="94"/>
    <d v="2026-05-20T00:00:00"/>
    <d v="2026-05-26T00:00:00"/>
    <n v="6"/>
    <x v="32"/>
    <s v="BRILLON GRIS"/>
    <n v="3"/>
  </r>
  <r>
    <x v="94"/>
    <d v="2026-05-20T00:00:00"/>
    <d v="2026-05-26T00:00:00"/>
    <n v="6"/>
    <x v="20"/>
    <s v="BRILLON NEGRO"/>
    <n v="3"/>
  </r>
  <r>
    <x v="94"/>
    <d v="2026-05-20T00:00:00"/>
    <d v="2026-05-26T00:00:00"/>
    <n v="6"/>
    <x v="193"/>
    <s v="VINILICA GLOSI BLANCO BASIC"/>
    <n v="3"/>
  </r>
  <r>
    <x v="94"/>
    <d v="2026-05-20T00:00:00"/>
    <d v="2026-05-26T00:00:00"/>
    <n v="6"/>
    <x v="70"/>
    <s v="VINILICA GLOSI NEGRO 5A"/>
    <n v="3"/>
  </r>
  <r>
    <x v="94"/>
    <d v="2026-05-20T00:00:00"/>
    <d v="2026-05-26T00:00:00"/>
    <n v="6"/>
    <x v="76"/>
    <s v="IMPERGLOSI AGUACERO BLANCO 3A"/>
    <n v="1"/>
  </r>
  <r>
    <x v="94"/>
    <d v="2026-05-20T00:00:00"/>
    <d v="2026-05-26T00:00:00"/>
    <n v="6"/>
    <x v="76"/>
    <s v="IMPERGLOSI AGUACERO BLANCO 3A"/>
    <n v="2"/>
  </r>
  <r>
    <x v="94"/>
    <d v="2026-05-20T00:00:00"/>
    <d v="2026-05-26T00:00:00"/>
    <n v="6"/>
    <x v="77"/>
    <s v="IMPERGLOSI AGUACERO TERRACOTA 3A"/>
    <n v="3"/>
  </r>
  <r>
    <x v="94"/>
    <d v="2026-05-20T00:00:00"/>
    <d v="2026-05-28T00:00:00"/>
    <n v="8"/>
    <x v="42"/>
    <s v="BRILLON BLANCO MATE"/>
    <n v="-3"/>
  </r>
  <r>
    <x v="95"/>
    <d v="2026-05-22T00:00:00"/>
    <d v="2026-06-11T00:00:00"/>
    <n v="20"/>
    <x v="42"/>
    <s v="BRILLON BLANCO MATE"/>
    <n v="3"/>
  </r>
  <r>
    <x v="95"/>
    <d v="2026-05-22T00:00:00"/>
    <d v="2026-06-11T00:00:00"/>
    <n v="20"/>
    <x v="120"/>
    <s v="BARNIZ ALQ. TRANSP. NATURAL"/>
    <n v="3"/>
  </r>
  <r>
    <x v="95"/>
    <d v="2026-05-22T00:00:00"/>
    <d v="2026-06-11T00:00:00"/>
    <n v="20"/>
    <x v="32"/>
    <s v="BRILLON GRIS"/>
    <n v="3"/>
  </r>
  <r>
    <x v="96"/>
    <d v="2026-05-22T00:00:00"/>
    <d v="2026-05-29T00:00:00"/>
    <n v="7"/>
    <x v="76"/>
    <s v="IMPERGLOSI AGUACERO BLANCO 3A"/>
    <n v="1"/>
  </r>
  <r>
    <x v="96"/>
    <d v="2026-05-22T00:00:00"/>
    <d v="2026-05-29T00:00:00"/>
    <n v="7"/>
    <x v="76"/>
    <s v="IMPERGLOSI AGUACERO BLANCO 3A"/>
    <n v="5"/>
  </r>
  <r>
    <x v="96"/>
    <d v="2026-05-22T00:00:00"/>
    <d v="2026-05-29T00:00:00"/>
    <n v="7"/>
    <x v="22"/>
    <s v="IMPERGLOSI AGUACERO TERRACOTA 3A"/>
    <n v="4"/>
  </r>
  <r>
    <x v="97"/>
    <d v="2026-05-26T00:00:00"/>
    <d v="2026-05-30T00:00:00"/>
    <n v="4"/>
    <x v="76"/>
    <s v="IMPERGLOSI AGUACERO BLANCO 3A"/>
    <n v="1"/>
  </r>
  <r>
    <x v="97"/>
    <d v="2026-05-26T00:00:00"/>
    <d v="2026-05-30T00:00:00"/>
    <n v="4"/>
    <x v="76"/>
    <s v="IMPERGLOSI AGUACERO BLANCO 3A"/>
    <n v="2"/>
  </r>
  <r>
    <x v="97"/>
    <d v="2026-05-26T00:00:00"/>
    <d v="2026-05-30T00:00:00"/>
    <n v="4"/>
    <x v="77"/>
    <s v="IMPERGLOSI AGUACERO TERRACOTA 3A"/>
    <n v="3"/>
  </r>
  <r>
    <x v="97"/>
    <d v="2026-05-26T00:00:00"/>
    <d v="2026-06-09T00:00:00"/>
    <n v="14"/>
    <x v="76"/>
    <s v="IMPERGLOSI AGUACERO BLANCO 3A"/>
    <n v="-1"/>
  </r>
  <r>
    <x v="97"/>
    <d v="2026-05-26T00:00:00"/>
    <d v="2026-06-09T00:00:00"/>
    <n v="14"/>
    <x v="76"/>
    <s v="IMPERGLOSI AGUACERO BLANCO 3A"/>
    <n v="-2"/>
  </r>
  <r>
    <x v="97"/>
    <d v="2026-05-26T00:00:00"/>
    <d v="2026-06-09T00:00:00"/>
    <n v="14"/>
    <x v="77"/>
    <s v="IMPERGLOSI AGUACERO TERRACOTA 3A"/>
    <n v="-3"/>
  </r>
  <r>
    <x v="98"/>
    <d v="2026-05-28T00:00:00"/>
    <d v="2026-05-30T00:00:00"/>
    <n v="2"/>
    <x v="195"/>
    <s v="VINILICA GLOSI BLANCO BASIC"/>
    <n v="1"/>
  </r>
  <r>
    <x v="98"/>
    <d v="2026-05-28T00:00:00"/>
    <d v="2026-05-30T00:00:00"/>
    <n v="2"/>
    <x v="196"/>
    <s v="VINILICA GLOSI BLANCO BASIC"/>
    <n v="4"/>
  </r>
  <r>
    <x v="98"/>
    <d v="2026-05-28T00:00:00"/>
    <d v="2026-05-30T00:00:00"/>
    <n v="2"/>
    <x v="191"/>
    <s v="VINILICA GLOSI BLANCO ULTRA"/>
    <n v="1"/>
  </r>
  <r>
    <x v="98"/>
    <d v="2026-05-28T00:00:00"/>
    <d v="2026-06-16T00:00:00"/>
    <n v="19"/>
    <x v="76"/>
    <s v="IMPERGLOSI AGUACERO BLANCO 3A"/>
    <n v="2"/>
  </r>
  <r>
    <x v="98"/>
    <d v="2026-05-28T00:00:00"/>
    <d v="2026-06-17T00:00:00"/>
    <n v="20"/>
    <x v="76"/>
    <s v="IMPERGLOSI AGUACERO BLANCO 3A"/>
    <n v="3"/>
  </r>
  <r>
    <x v="98"/>
    <d v="2026-05-28T00:00:00"/>
    <d v="2026-06-17T00:00:00"/>
    <n v="20"/>
    <x v="77"/>
    <s v="IMPERGLOSI AGUACERO TERRACOTA 3A"/>
    <n v="7"/>
  </r>
  <r>
    <x v="98"/>
    <d v="2026-05-28T00:00:00"/>
    <d v="2026-06-18T00:00:00"/>
    <n v="21"/>
    <x v="11"/>
    <s v="AEROSOL AZUL METALICO"/>
    <n v="6"/>
  </r>
  <r>
    <x v="98"/>
    <d v="2026-05-28T00:00:00"/>
    <d v="2026-06-18T00:00:00"/>
    <n v="21"/>
    <x v="18"/>
    <s v="ESMALTE BRILLON BLANCO"/>
    <n v="3"/>
  </r>
  <r>
    <x v="98"/>
    <d v="2026-05-28T00:00:00"/>
    <d v="2026-06-18T00:00:00"/>
    <n v="21"/>
    <x v="27"/>
    <s v="BRILLON BLANCO"/>
    <n v="3"/>
  </r>
  <r>
    <x v="98"/>
    <d v="2026-05-28T00:00:00"/>
    <d v="2026-06-18T00:00:00"/>
    <n v="21"/>
    <x v="20"/>
    <s v="BRILLON NEGRO"/>
    <n v="3"/>
  </r>
  <r>
    <x v="98"/>
    <d v="2026-05-28T00:00:00"/>
    <d v="2026-06-18T00:00:00"/>
    <n v="21"/>
    <x v="36"/>
    <s v="BRILLON NEGRO"/>
    <n v="3"/>
  </r>
  <r>
    <x v="99"/>
    <d v="2026-05-25T00:00:00"/>
    <d v="2026-05-29T00:00:00"/>
    <n v="4"/>
    <x v="49"/>
    <s v="SIAMIL ECONOMICO MI FL 20 KG"/>
    <n v="10"/>
  </r>
  <r>
    <x v="99"/>
    <d v="2026-05-25T00:00:00"/>
    <d v="2026-05-29T00:00:00"/>
    <n v="4"/>
    <x v="222"/>
    <s v="FONDO VINILICO BLANCO P/INTERIORES"/>
    <n v="2"/>
  </r>
  <r>
    <x v="100"/>
    <d v="2026-05-28T00:00:00"/>
    <d v="2026-05-30T00:00:00"/>
    <n v="2"/>
    <x v="3"/>
    <s v="AEROSOL BLANCO BRILLANTE"/>
    <n v="12"/>
  </r>
  <r>
    <x v="100"/>
    <d v="2026-05-28T00:00:00"/>
    <d v="2026-05-30T00:00:00"/>
    <n v="2"/>
    <x v="6"/>
    <s v="AEROSOL MORADO"/>
    <n v="6"/>
  </r>
  <r>
    <x v="100"/>
    <d v="2026-05-28T00:00:00"/>
    <d v="2026-05-30T00:00:00"/>
    <n v="2"/>
    <x v="139"/>
    <s v="AEROSOL ACRILICO TRANSPARENTE"/>
    <n v="6"/>
  </r>
  <r>
    <x v="100"/>
    <d v="2026-05-28T00:00:00"/>
    <d v="2026-05-30T00:00:00"/>
    <n v="2"/>
    <x v="8"/>
    <s v="AEROSOL ALUMINIO"/>
    <n v="6"/>
  </r>
  <r>
    <x v="100"/>
    <d v="2026-05-28T00:00:00"/>
    <d v="2026-05-30T00:00:00"/>
    <n v="2"/>
    <x v="9"/>
    <s v="AEROSOL  NEGRO SEMI BRILLANTE"/>
    <n v="6"/>
  </r>
  <r>
    <x v="100"/>
    <d v="2026-05-28T00:00:00"/>
    <d v="2026-05-30T00:00:00"/>
    <n v="2"/>
    <x v="0"/>
    <s v="AEROSOL NEGRO MATE"/>
    <n v="6"/>
  </r>
  <r>
    <x v="100"/>
    <d v="2026-05-28T00:00:00"/>
    <d v="2026-05-30T00:00:00"/>
    <n v="2"/>
    <x v="1"/>
    <s v="AEROSOL NEGRO BRILLANTE"/>
    <n v="12"/>
  </r>
  <r>
    <x v="101"/>
    <d v="2026-05-29T00:00:00"/>
    <d v="2026-05-30T00:00:00"/>
    <n v="1"/>
    <x v="77"/>
    <s v="IMPERGLOSI AGUACERO TERRACOTA 3A"/>
    <n v="1"/>
  </r>
  <r>
    <x v="101"/>
    <d v="2026-05-29T00:00:00"/>
    <d v="2026-05-30T00:00:00"/>
    <n v="1"/>
    <x v="77"/>
    <s v="IMPERGLOSI AGUACERO TERRACOTA 3A"/>
    <n v="5"/>
  </r>
  <r>
    <x v="101"/>
    <d v="2026-05-29T00:00:00"/>
    <d v="2026-05-30T00:00:00"/>
    <n v="1"/>
    <x v="76"/>
    <s v="IMPERGLOSI AGUACERO BLANCO 3A"/>
    <n v="1"/>
  </r>
  <r>
    <x v="101"/>
    <d v="2026-05-29T00:00:00"/>
    <d v="2026-05-30T00:00:00"/>
    <n v="1"/>
    <x v="76"/>
    <s v="IMPERGLOSI AGUACERO BLANCO 3A"/>
    <n v="5"/>
  </r>
  <r>
    <x v="101"/>
    <d v="2026-05-29T00:00:00"/>
    <d v="2026-06-09T00:00:00"/>
    <n v="11"/>
    <x v="76"/>
    <s v="IMPERGLOSI AGUACERO BLANCO 3A"/>
    <n v="-5"/>
  </r>
  <r>
    <x v="101"/>
    <d v="2026-05-29T00:00:00"/>
    <d v="2026-06-10T00:00:00"/>
    <n v="12"/>
    <x v="76"/>
    <s v="IMPERGLOSI AGUACERO BLANCO 3A"/>
    <n v="-1"/>
  </r>
  <r>
    <x v="101"/>
    <d v="2026-05-29T00:00:00"/>
    <d v="2026-06-22T00:00:00"/>
    <n v="24"/>
    <x v="194"/>
    <s v="BONIF Y/O CANC BONIFICACIÓN"/>
    <n v="-1"/>
  </r>
  <r>
    <x v="102"/>
    <d v="2026-06-03T00:00:00"/>
    <d v="2026-06-11T00:00:00"/>
    <n v="8"/>
    <x v="18"/>
    <s v="ESMALTE BRILLON BLANCO"/>
    <n v="6"/>
  </r>
  <r>
    <x v="102"/>
    <d v="2026-06-03T00:00:00"/>
    <d v="2026-06-11T00:00:00"/>
    <n v="8"/>
    <x v="27"/>
    <s v="BRILLON BLANCO"/>
    <n v="6"/>
  </r>
  <r>
    <x v="102"/>
    <d v="2026-06-03T00:00:00"/>
    <d v="2026-06-11T00:00:00"/>
    <n v="8"/>
    <x v="39"/>
    <s v="BRILLON BLANCO"/>
    <n v="12"/>
  </r>
  <r>
    <x v="102"/>
    <d v="2026-06-03T00:00:00"/>
    <d v="2026-06-11T00:00:00"/>
    <n v="8"/>
    <x v="45"/>
    <s v="BRILLON SANDIA"/>
    <n v="3"/>
  </r>
  <r>
    <x v="102"/>
    <d v="2026-06-03T00:00:00"/>
    <d v="2026-06-11T00:00:00"/>
    <n v="8"/>
    <x v="162"/>
    <s v="BRILLON SANDIA"/>
    <n v="6"/>
  </r>
  <r>
    <x v="102"/>
    <d v="2026-06-03T00:00:00"/>
    <d v="2026-06-11T00:00:00"/>
    <n v="8"/>
    <x v="161"/>
    <s v="BRILLON AZUL IRIS"/>
    <n v="3"/>
  </r>
  <r>
    <x v="102"/>
    <d v="2026-06-03T00:00:00"/>
    <d v="2026-06-11T00:00:00"/>
    <n v="8"/>
    <x v="223"/>
    <s v="BRILLON AZUL IRIS"/>
    <n v="3"/>
  </r>
  <r>
    <x v="102"/>
    <d v="2026-06-03T00:00:00"/>
    <d v="2026-06-11T00:00:00"/>
    <n v="8"/>
    <x v="186"/>
    <s v="BRILLON AZUL IRIS"/>
    <n v="6"/>
  </r>
  <r>
    <x v="102"/>
    <d v="2026-06-03T00:00:00"/>
    <d v="2026-06-11T00:00:00"/>
    <n v="8"/>
    <x v="59"/>
    <s v="BARNIZ ALQ. TRANSP. NATURAL"/>
    <n v="6"/>
  </r>
  <r>
    <x v="102"/>
    <d v="2026-06-03T00:00:00"/>
    <d v="2026-06-11T00:00:00"/>
    <n v="8"/>
    <x v="32"/>
    <s v="BRILLON GRIS"/>
    <n v="6"/>
  </r>
  <r>
    <x v="102"/>
    <d v="2026-06-03T00:00:00"/>
    <d v="2026-06-11T00:00:00"/>
    <n v="8"/>
    <x v="58"/>
    <s v="BRILLON GRIS"/>
    <n v="6"/>
  </r>
  <r>
    <x v="102"/>
    <d v="2026-06-03T00:00:00"/>
    <d v="2026-06-11T00:00:00"/>
    <n v="8"/>
    <x v="20"/>
    <s v="BRILLON NEGRO"/>
    <n v="12"/>
  </r>
  <r>
    <x v="102"/>
    <d v="2026-06-03T00:00:00"/>
    <d v="2026-06-11T00:00:00"/>
    <n v="8"/>
    <x v="36"/>
    <s v="BRILLON NEGRO"/>
    <n v="12"/>
  </r>
  <r>
    <x v="102"/>
    <d v="2026-06-03T00:00:00"/>
    <d v="2026-06-11T00:00:00"/>
    <n v="8"/>
    <x v="75"/>
    <s v="BRILLON NEGRO"/>
    <n v="12"/>
  </r>
  <r>
    <x v="102"/>
    <d v="2026-06-03T00:00:00"/>
    <d v="2026-06-13T00:00:00"/>
    <n v="10"/>
    <x v="49"/>
    <s v="SIAMIL ECONOMICO MI FL 20 KG"/>
    <n v="10"/>
  </r>
  <r>
    <x v="102"/>
    <d v="2026-06-03T00:00:00"/>
    <d v="2026-06-26T00:00:00"/>
    <n v="23"/>
    <x v="161"/>
    <s v="BRILLON AZUL IRIS"/>
    <n v="-3"/>
  </r>
  <r>
    <x v="103"/>
    <d v="2026-06-11T00:00:00"/>
    <d v="2026-06-25T00:00:00"/>
    <n v="14"/>
    <x v="18"/>
    <s v="ESMALTE BRILLON BLANCO"/>
    <n v="3"/>
  </r>
  <r>
    <x v="103"/>
    <d v="2026-06-11T00:00:00"/>
    <d v="2026-06-25T00:00:00"/>
    <n v="14"/>
    <x v="27"/>
    <s v="BRILLON BLANCO"/>
    <n v="3"/>
  </r>
  <r>
    <x v="103"/>
    <d v="2026-06-11T00:00:00"/>
    <d v="2026-06-25T00:00:00"/>
    <n v="14"/>
    <x v="39"/>
    <s v="BRILLON BLANCO"/>
    <n v="6"/>
  </r>
  <r>
    <x v="103"/>
    <d v="2026-06-11T00:00:00"/>
    <d v="2026-06-25T00:00:00"/>
    <n v="14"/>
    <x v="20"/>
    <s v="BRILLON NEGRO"/>
    <n v="3"/>
  </r>
  <r>
    <x v="103"/>
    <d v="2026-06-11T00:00:00"/>
    <d v="2026-06-25T00:00:00"/>
    <n v="14"/>
    <x v="36"/>
    <s v="BRILLON NEGRO"/>
    <n v="3"/>
  </r>
  <r>
    <x v="103"/>
    <d v="2026-06-11T00:00:00"/>
    <d v="2026-06-25T00:00:00"/>
    <n v="14"/>
    <x v="75"/>
    <s v="BRILLON NEGRO"/>
    <n v="6"/>
  </r>
  <r>
    <x v="103"/>
    <d v="2026-06-11T00:00:00"/>
    <d v="2026-06-25T00:00:00"/>
    <n v="14"/>
    <x v="69"/>
    <s v="BARNIZ GLOSI ALQUI CEDRO"/>
    <n v="6"/>
  </r>
  <r>
    <x v="103"/>
    <d v="2026-06-11T00:00:00"/>
    <d v="2026-06-25T00:00:00"/>
    <n v="14"/>
    <x v="97"/>
    <s v="BARNIZ GLOSI ALQUI CAOBA"/>
    <n v="3"/>
  </r>
  <r>
    <x v="103"/>
    <d v="2026-06-11T00:00:00"/>
    <d v="2026-06-25T00:00:00"/>
    <n v="14"/>
    <x v="165"/>
    <s v="BARNIZ GLOSI ALQUI NOGAL"/>
    <n v="3"/>
  </r>
  <r>
    <x v="103"/>
    <d v="2026-06-11T00:00:00"/>
    <d v="2026-06-25T00:00:00"/>
    <n v="14"/>
    <x v="61"/>
    <s v="BARNIZ GLOSI ALQUI NOGAL"/>
    <n v="3"/>
  </r>
  <r>
    <x v="103"/>
    <d v="2026-06-11T00:00:00"/>
    <d v="2026-06-25T00:00:00"/>
    <n v="14"/>
    <x v="154"/>
    <s v="VINILICA GLOSI BLANCO ULTRA"/>
    <n v="2"/>
  </r>
  <r>
    <x v="103"/>
    <d v="2026-06-11T00:00:00"/>
    <d v="2026-06-25T00:00:00"/>
    <n v="14"/>
    <x v="164"/>
    <s v="VINILICA GLOSI BLANCO ULTRA"/>
    <n v="6"/>
  </r>
  <r>
    <x v="103"/>
    <d v="2026-06-11T00:00:00"/>
    <d v="2026-06-30T00:00:00"/>
    <n v="19"/>
    <x v="60"/>
    <s v="BARNIZ GLOSI ALQUI CAOBA"/>
    <n v="3"/>
  </r>
  <r>
    <x v="103"/>
    <d v="2026-06-11T00:00:00"/>
    <d v="2026-06-30T00:00:00"/>
    <n v="19"/>
    <x v="96"/>
    <s v="BARNIZ GLOSI ALQUI CEDRO"/>
    <n v="3"/>
  </r>
  <r>
    <x v="103"/>
    <d v="2026-06-11T00:00:00"/>
    <d v="2026-07-07T00:00:00"/>
    <n v="26"/>
    <x v="96"/>
    <s v="BARNIZ GLOSI ALQUI CEDRO"/>
    <n v="3"/>
  </r>
  <r>
    <x v="103"/>
    <d v="2026-06-11T00:00:00"/>
    <d v="2026-07-07T00:00:00"/>
    <n v="26"/>
    <x v="96"/>
    <s v="BARNIZ GLOSI ALQUI CEDRO"/>
    <n v="-3"/>
  </r>
  <r>
    <x v="103"/>
    <d v="2026-06-11T00:00:00"/>
    <d v="2026-07-07T00:00:00"/>
    <n v="26"/>
    <x v="96"/>
    <s v="BARNIZ GLOSI ALQUI CEDRO"/>
    <n v="3"/>
  </r>
  <r>
    <x v="103"/>
    <d v="2026-06-11T00:00:00"/>
    <d v="2026-07-07T00:00:00"/>
    <n v="26"/>
    <x v="96"/>
    <s v="BARNIZ GLOSI ALQUI CEDRO"/>
    <n v="-3"/>
  </r>
  <r>
    <x v="103"/>
    <d v="2026-06-11T00:00:00"/>
    <d v="2026-07-07T00:00:00"/>
    <n v="26"/>
    <x v="154"/>
    <s v="VINILICA GLOSI BLANCO ULTRA"/>
    <n v="2"/>
  </r>
  <r>
    <x v="103"/>
    <d v="2026-06-11T00:00:00"/>
    <d v="2026-07-07T00:00:00"/>
    <n v="26"/>
    <x v="164"/>
    <s v="VINILICA GLOSI BLANCO ULTRA"/>
    <n v="6"/>
  </r>
  <r>
    <x v="103"/>
    <d v="2026-06-11T00:00:00"/>
    <d v="2026-07-07T00:00:00"/>
    <n v="26"/>
    <x v="154"/>
    <s v="VINILICA GLOSI BLANCO ULTRA"/>
    <n v="-2"/>
  </r>
  <r>
    <x v="103"/>
    <d v="2026-06-11T00:00:00"/>
    <d v="2026-07-07T00:00:00"/>
    <n v="26"/>
    <x v="164"/>
    <s v="VINILICA GLOSI BLANCO ULTRA"/>
    <n v="-6"/>
  </r>
  <r>
    <x v="103"/>
    <d v="2026-06-11T00:00:00"/>
    <d v="2026-07-07T00:00:00"/>
    <n v="26"/>
    <x v="69"/>
    <s v="BARNIZ GLOSI ALQUI CEDRO"/>
    <n v="6"/>
  </r>
  <r>
    <x v="103"/>
    <d v="2026-06-11T00:00:00"/>
    <d v="2026-07-07T00:00:00"/>
    <n v="26"/>
    <x v="97"/>
    <s v="BARNIZ GLOSI ALQUI CAOBA"/>
    <n v="3"/>
  </r>
  <r>
    <x v="103"/>
    <d v="2026-06-11T00:00:00"/>
    <d v="2026-07-07T00:00:00"/>
    <n v="26"/>
    <x v="165"/>
    <s v="BARNIZ GLOSI ALQUI NOGAL"/>
    <n v="3"/>
  </r>
  <r>
    <x v="103"/>
    <d v="2026-06-11T00:00:00"/>
    <d v="2026-07-07T00:00:00"/>
    <n v="26"/>
    <x v="61"/>
    <s v="BARNIZ GLOSI ALQUI NOGAL"/>
    <n v="3"/>
  </r>
  <r>
    <x v="103"/>
    <d v="2026-06-11T00:00:00"/>
    <d v="2026-07-07T00:00:00"/>
    <n v="26"/>
    <x v="69"/>
    <s v="BARNIZ GLOSI ALQUI CEDRO"/>
    <n v="-6"/>
  </r>
  <r>
    <x v="103"/>
    <d v="2026-06-11T00:00:00"/>
    <d v="2026-07-07T00:00:00"/>
    <n v="26"/>
    <x v="97"/>
    <s v="BARNIZ GLOSI ALQUI CAOBA"/>
    <n v="-3"/>
  </r>
  <r>
    <x v="103"/>
    <d v="2026-06-11T00:00:00"/>
    <d v="2026-07-07T00:00:00"/>
    <n v="26"/>
    <x v="165"/>
    <s v="BARNIZ GLOSI ALQUI NOGAL"/>
    <n v="-3"/>
  </r>
  <r>
    <x v="103"/>
    <d v="2026-06-11T00:00:00"/>
    <d v="2026-07-07T00:00:00"/>
    <n v="26"/>
    <x v="61"/>
    <s v="BARNIZ GLOSI ALQUI NOGAL"/>
    <n v="-3"/>
  </r>
  <r>
    <x v="103"/>
    <d v="2026-06-11T00:00:00"/>
    <d v="2026-07-07T00:00:00"/>
    <n v="26"/>
    <x v="60"/>
    <s v="BARNIZ GLOSI ALQUI CAOBA"/>
    <n v="3"/>
  </r>
  <r>
    <x v="103"/>
    <d v="2026-06-11T00:00:00"/>
    <d v="2026-07-07T00:00:00"/>
    <n v="26"/>
    <x v="60"/>
    <s v="BARNIZ GLOSI ALQUI CAOBA"/>
    <n v="-3"/>
  </r>
  <r>
    <x v="103"/>
    <d v="2026-06-11T00:00:00"/>
    <d v="2026-07-07T00:00:00"/>
    <n v="26"/>
    <x v="18"/>
    <s v="ESMALTE BRILLON BLANCO"/>
    <n v="3"/>
  </r>
  <r>
    <x v="103"/>
    <d v="2026-06-11T00:00:00"/>
    <d v="2026-07-07T00:00:00"/>
    <n v="26"/>
    <x v="27"/>
    <s v="BRILLON BLANCO"/>
    <n v="3"/>
  </r>
  <r>
    <x v="103"/>
    <d v="2026-06-11T00:00:00"/>
    <d v="2026-07-07T00:00:00"/>
    <n v="26"/>
    <x v="39"/>
    <s v="BRILLON BLANCO"/>
    <n v="6"/>
  </r>
  <r>
    <x v="103"/>
    <d v="2026-06-11T00:00:00"/>
    <d v="2026-07-07T00:00:00"/>
    <n v="26"/>
    <x v="20"/>
    <s v="BRILLON NEGRO"/>
    <n v="3"/>
  </r>
  <r>
    <x v="103"/>
    <d v="2026-06-11T00:00:00"/>
    <d v="2026-07-07T00:00:00"/>
    <n v="26"/>
    <x v="36"/>
    <s v="BRILLON NEGRO"/>
    <n v="3"/>
  </r>
  <r>
    <x v="103"/>
    <d v="2026-06-11T00:00:00"/>
    <d v="2026-07-07T00:00:00"/>
    <n v="26"/>
    <x v="75"/>
    <s v="BRILLON NEGRO"/>
    <n v="6"/>
  </r>
  <r>
    <x v="103"/>
    <d v="2026-06-11T00:00:00"/>
    <d v="2026-07-07T00:00:00"/>
    <n v="26"/>
    <x v="18"/>
    <s v="ESMALTE BRILLON BLANCO"/>
    <n v="-3"/>
  </r>
  <r>
    <x v="103"/>
    <d v="2026-06-11T00:00:00"/>
    <d v="2026-07-07T00:00:00"/>
    <n v="26"/>
    <x v="27"/>
    <s v="BRILLON BLANCO"/>
    <n v="-3"/>
  </r>
  <r>
    <x v="103"/>
    <d v="2026-06-11T00:00:00"/>
    <d v="2026-07-07T00:00:00"/>
    <n v="26"/>
    <x v="39"/>
    <s v="BRILLON BLANCO"/>
    <n v="-6"/>
  </r>
  <r>
    <x v="103"/>
    <d v="2026-06-11T00:00:00"/>
    <d v="2026-07-07T00:00:00"/>
    <n v="26"/>
    <x v="20"/>
    <s v="BRILLON NEGRO"/>
    <n v="-3"/>
  </r>
  <r>
    <x v="103"/>
    <d v="2026-06-11T00:00:00"/>
    <d v="2026-07-07T00:00:00"/>
    <n v="26"/>
    <x v="36"/>
    <s v="BRILLON NEGRO"/>
    <n v="-3"/>
  </r>
  <r>
    <x v="103"/>
    <d v="2026-06-11T00:00:00"/>
    <d v="2026-07-07T00:00:00"/>
    <n v="26"/>
    <x v="75"/>
    <s v="BRILLON NEGRO"/>
    <n v="-6"/>
  </r>
  <r>
    <x v="104"/>
    <d v="2026-06-10T00:00:00"/>
    <d v="2026-06-17T00:00:00"/>
    <n v="7"/>
    <x v="79"/>
    <s v="IMPERGLOSI AGUACERO BLANCO 5A"/>
    <n v="5"/>
  </r>
  <r>
    <x v="104"/>
    <d v="2026-06-10T00:00:00"/>
    <d v="2026-06-17T00:00:00"/>
    <n v="7"/>
    <x v="76"/>
    <s v="IMPERGLOSI AGUACERO BLANCO 3A"/>
    <n v="3"/>
  </r>
  <r>
    <x v="104"/>
    <d v="2026-06-10T00:00:00"/>
    <d v="2026-06-17T00:00:00"/>
    <n v="7"/>
    <x v="23"/>
    <s v="IMPERGLOSI AGUACERO TERRACOTA 5A"/>
    <n v="1"/>
  </r>
  <r>
    <x v="104"/>
    <d v="2026-06-10T00:00:00"/>
    <d v="2026-06-17T00:00:00"/>
    <n v="7"/>
    <x v="77"/>
    <s v="IMPERGLOSI AGUACERO TERRACOTA 3A"/>
    <n v="1"/>
  </r>
  <r>
    <x v="104"/>
    <d v="2026-06-10T00:00:00"/>
    <d v="2026-06-17T00:00:00"/>
    <n v="7"/>
    <x v="79"/>
    <s v="IMPERGLOSI AGUACERO BLANCO 5A"/>
    <n v="1"/>
  </r>
  <r>
    <x v="104"/>
    <d v="2026-06-10T00:00:00"/>
    <d v="2026-06-17T00:00:00"/>
    <n v="7"/>
    <x v="112"/>
    <s v="AGUACERO 4A TERRACOTA FIBRATADO"/>
    <n v="1"/>
  </r>
  <r>
    <x v="105"/>
    <d v="2026-06-16T00:00:00"/>
    <d v="2026-06-23T00:00:00"/>
    <n v="7"/>
    <x v="3"/>
    <s v="AEROSOL BLANCO BRILLANTE"/>
    <n v="6"/>
  </r>
  <r>
    <x v="105"/>
    <d v="2026-06-16T00:00:00"/>
    <d v="2026-06-23T00:00:00"/>
    <n v="7"/>
    <x v="1"/>
    <s v="AEROSOL NEGRO BRILLANTE"/>
    <n v="6"/>
  </r>
  <r>
    <x v="105"/>
    <d v="2026-06-16T00:00:00"/>
    <d v="2026-06-23T00:00:00"/>
    <n v="7"/>
    <x v="18"/>
    <s v="ESMALTE BRILLON BLANCO"/>
    <n v="6"/>
  </r>
  <r>
    <x v="105"/>
    <d v="2026-06-16T00:00:00"/>
    <d v="2026-06-23T00:00:00"/>
    <n v="7"/>
    <x v="27"/>
    <s v="BRILLON BLANCO"/>
    <n v="6"/>
  </r>
  <r>
    <x v="105"/>
    <d v="2026-06-16T00:00:00"/>
    <d v="2026-06-23T00:00:00"/>
    <n v="7"/>
    <x v="135"/>
    <s v="BRILLON ALUMINIO"/>
    <n v="3"/>
  </r>
  <r>
    <x v="105"/>
    <d v="2026-06-16T00:00:00"/>
    <d v="2026-06-23T00:00:00"/>
    <n v="7"/>
    <x v="109"/>
    <s v="BRILLON ALUMINIO"/>
    <n v="3"/>
  </r>
  <r>
    <x v="105"/>
    <d v="2026-06-16T00:00:00"/>
    <d v="2026-06-23T00:00:00"/>
    <n v="7"/>
    <x v="45"/>
    <s v="BRILLON SANDIA"/>
    <n v="3"/>
  </r>
  <r>
    <x v="105"/>
    <d v="2026-06-16T00:00:00"/>
    <d v="2026-06-23T00:00:00"/>
    <n v="7"/>
    <x v="29"/>
    <s v="BRILLON SANDIA"/>
    <n v="3"/>
  </r>
  <r>
    <x v="105"/>
    <d v="2026-06-16T00:00:00"/>
    <d v="2026-06-23T00:00:00"/>
    <n v="7"/>
    <x v="19"/>
    <s v="BRILLON CACAO"/>
    <n v="6"/>
  </r>
  <r>
    <x v="105"/>
    <d v="2026-06-16T00:00:00"/>
    <d v="2026-06-23T00:00:00"/>
    <n v="7"/>
    <x v="57"/>
    <s v="BRILLON CACAO"/>
    <n v="6"/>
  </r>
  <r>
    <x v="105"/>
    <d v="2026-06-16T00:00:00"/>
    <d v="2026-06-23T00:00:00"/>
    <n v="7"/>
    <x v="199"/>
    <s v="BRILLON AZUL AGUA"/>
    <n v="3"/>
  </r>
  <r>
    <x v="105"/>
    <d v="2026-06-16T00:00:00"/>
    <d v="2026-06-23T00:00:00"/>
    <n v="7"/>
    <x v="224"/>
    <s v="BRILLON AZUL AGUA"/>
    <n v="3"/>
  </r>
  <r>
    <x v="105"/>
    <d v="2026-06-16T00:00:00"/>
    <d v="2026-06-23T00:00:00"/>
    <n v="7"/>
    <x v="201"/>
    <s v="BRILLON DORADO"/>
    <n v="3"/>
  </r>
  <r>
    <x v="105"/>
    <d v="2026-06-16T00:00:00"/>
    <d v="2026-06-23T00:00:00"/>
    <n v="7"/>
    <x v="36"/>
    <s v="BRILLON NEGRO"/>
    <n v="6"/>
  </r>
  <r>
    <x v="105"/>
    <d v="2026-06-16T00:00:00"/>
    <d v="2026-06-23T00:00:00"/>
    <n v="7"/>
    <x v="76"/>
    <s v="IMPERGLOSI AGUACERO BLANCO 3A"/>
    <n v="1"/>
  </r>
  <r>
    <x v="105"/>
    <d v="2026-06-16T00:00:00"/>
    <d v="2026-06-23T00:00:00"/>
    <n v="7"/>
    <x v="79"/>
    <s v="IMPERGLOSI AGUACERO BLANCO 5A"/>
    <n v="1"/>
  </r>
  <r>
    <x v="105"/>
    <d v="2026-06-16T00:00:00"/>
    <d v="2026-06-23T00:00:00"/>
    <n v="7"/>
    <x v="76"/>
    <s v="IMPERGLOSI AGUACERO BLANCO 3A"/>
    <n v="5"/>
  </r>
  <r>
    <x v="105"/>
    <d v="2026-06-16T00:00:00"/>
    <d v="2026-06-23T00:00:00"/>
    <n v="7"/>
    <x v="79"/>
    <s v="IMPERGLOSI AGUACERO BLANCO 5A"/>
    <n v="5"/>
  </r>
  <r>
    <x v="105"/>
    <d v="2026-06-16T00:00:00"/>
    <d v="2026-06-30T00:00:00"/>
    <n v="14"/>
    <x v="195"/>
    <s v="VINILICA GLOSI BLANCO BASIC"/>
    <n v="3"/>
  </r>
  <r>
    <x v="105"/>
    <d v="2026-06-16T00:00:00"/>
    <d v="2026-06-30T00:00:00"/>
    <n v="14"/>
    <x v="191"/>
    <s v="VINILICA GLOSI BLANCO ULTRA"/>
    <n v="1"/>
  </r>
  <r>
    <x v="105"/>
    <d v="2026-06-16T00:00:00"/>
    <d v="2026-07-09T00:00:00"/>
    <n v="23"/>
    <x v="7"/>
    <s v="AEROSOL ROJO"/>
    <n v="6"/>
  </r>
  <r>
    <x v="105"/>
    <d v="2026-06-16T00:00:00"/>
    <d v="2026-07-09T00:00:00"/>
    <n v="23"/>
    <x v="182"/>
    <s v="AEROSOL AZUL CLARO"/>
    <n v="6"/>
  </r>
  <r>
    <x v="105"/>
    <d v="2026-06-16T00:00:00"/>
    <d v="2026-07-09T00:00:00"/>
    <n v="23"/>
    <x v="91"/>
    <s v="AEROSOL VERDE HOJA"/>
    <n v="6"/>
  </r>
  <r>
    <x v="105"/>
    <d v="2026-06-16T00:00:00"/>
    <d v="2026-07-09T00:00:00"/>
    <n v="23"/>
    <x v="8"/>
    <s v="AEROSOL ALUMINIO"/>
    <n v="6"/>
  </r>
  <r>
    <x v="105"/>
    <d v="2026-06-16T00:00:00"/>
    <d v="2026-07-09T00:00:00"/>
    <n v="23"/>
    <x v="1"/>
    <s v="AEROSOL NEGRO BRILLANTE"/>
    <n v="6"/>
  </r>
  <r>
    <x v="105"/>
    <d v="2026-06-16T00:00:00"/>
    <d v="2026-07-09T00:00:00"/>
    <n v="23"/>
    <x v="2"/>
    <s v="AEROSOL SUPER ORO"/>
    <n v="6"/>
  </r>
  <r>
    <x v="106"/>
    <d v="2026-06-17T00:00:00"/>
    <d v="2026-06-29T00:00:00"/>
    <n v="12"/>
    <x v="27"/>
    <s v="BRILLON BLANCO"/>
    <n v="3"/>
  </r>
  <r>
    <x v="106"/>
    <d v="2026-06-17T00:00:00"/>
    <d v="2026-06-29T00:00:00"/>
    <n v="12"/>
    <x v="32"/>
    <s v="BRILLON GRIS"/>
    <n v="3"/>
  </r>
  <r>
    <x v="106"/>
    <d v="2026-06-17T00:00:00"/>
    <d v="2026-06-29T00:00:00"/>
    <n v="12"/>
    <x v="36"/>
    <s v="BRILLON NEGRO"/>
    <n v="3"/>
  </r>
  <r>
    <x v="106"/>
    <d v="2026-06-17T00:00:00"/>
    <d v="2026-06-29T00:00:00"/>
    <n v="12"/>
    <x v="210"/>
    <s v="ESTRUCTURAS ROJO OXIDO"/>
    <n v="3"/>
  </r>
  <r>
    <x v="106"/>
    <d v="2026-06-17T00:00:00"/>
    <d v="2026-06-29T00:00:00"/>
    <n v="12"/>
    <x v="144"/>
    <s v="PRIMARIO GLOSI ESTRUCTURAS GRIS"/>
    <n v="3"/>
  </r>
  <r>
    <x v="106"/>
    <d v="2026-06-17T00:00:00"/>
    <d v="2026-06-29T00:00:00"/>
    <n v="12"/>
    <x v="154"/>
    <s v="VINILICA GLOSI BLANCO ULTRA"/>
    <n v="2"/>
  </r>
  <r>
    <x v="107"/>
    <d v="2026-06-22T00:00:00"/>
    <d v="2026-06-30T00:00:00"/>
    <n v="8"/>
    <x v="78"/>
    <s v="AGUACERO 4A BLANCO FIBRATADO"/>
    <n v="10"/>
  </r>
  <r>
    <x v="107"/>
    <d v="2026-06-22T00:00:00"/>
    <d v="2026-06-30T00:00:00"/>
    <n v="8"/>
    <x v="78"/>
    <s v="AGUACERO 4A BLANCO FIBRATADO"/>
    <n v="2"/>
  </r>
  <r>
    <x v="108"/>
    <d v="2026-06-26T00:00:00"/>
    <d v="2026-06-30T00:00:00"/>
    <n v="4"/>
    <x v="195"/>
    <s v="VINILICA GLOSI BLANCO BASIC"/>
    <n v="5"/>
  </r>
  <r>
    <x v="109"/>
    <d v="2026-06-26T00:00:00"/>
    <d v="2026-06-29T00:00:00"/>
    <n v="3"/>
    <x v="76"/>
    <s v="IMPERGLOSI AGUACERO BLANCO 3A"/>
    <n v="1"/>
  </r>
  <r>
    <x v="109"/>
    <d v="2026-06-26T00:00:00"/>
    <d v="2026-06-29T00:00:00"/>
    <n v="3"/>
    <x v="77"/>
    <s v="IMPERGLOSI AGUACERO TERRACOTA 3A"/>
    <n v="1"/>
  </r>
  <r>
    <x v="109"/>
    <d v="2026-06-26T00:00:00"/>
    <d v="2026-06-29T00:00:00"/>
    <n v="3"/>
    <x v="76"/>
    <s v="IMPERGLOSI AGUACERO BLANCO 3A"/>
    <n v="5"/>
  </r>
  <r>
    <x v="109"/>
    <d v="2026-06-26T00:00:00"/>
    <d v="2026-06-29T00:00:00"/>
    <n v="3"/>
    <x v="77"/>
    <s v="IMPERGLOSI AGUACERO TERRACOTA 3A"/>
    <n v="5"/>
  </r>
  <r>
    <x v="109"/>
    <d v="2026-06-26T00:00:00"/>
    <d v="2026-07-20T00:00:00"/>
    <n v="24"/>
    <x v="44"/>
    <s v="ESMALTE BRILLON BLANCO."/>
    <n v="1"/>
  </r>
  <r>
    <x v="109"/>
    <d v="2026-06-26T00:00:00"/>
    <d v="2026-07-20T00:00:00"/>
    <n v="24"/>
    <x v="18"/>
    <s v="ESMALTE BRILLON BLANCO"/>
    <n v="12"/>
  </r>
  <r>
    <x v="109"/>
    <d v="2026-06-26T00:00:00"/>
    <d v="2026-07-20T00:00:00"/>
    <n v="24"/>
    <x v="27"/>
    <s v="BRILLON BLANCO"/>
    <n v="6"/>
  </r>
  <r>
    <x v="109"/>
    <d v="2026-06-26T00:00:00"/>
    <d v="2026-07-20T00:00:00"/>
    <n v="24"/>
    <x v="39"/>
    <s v="BRILLON BLANCO"/>
    <n v="12"/>
  </r>
  <r>
    <x v="109"/>
    <d v="2026-06-26T00:00:00"/>
    <d v="2026-07-20T00:00:00"/>
    <n v="24"/>
    <x v="42"/>
    <s v="BRILLON BLANCO MATE"/>
    <n v="6"/>
  </r>
  <r>
    <x v="109"/>
    <d v="2026-06-26T00:00:00"/>
    <d v="2026-07-20T00:00:00"/>
    <n v="24"/>
    <x v="149"/>
    <s v="BRILLON BLANCO MATE"/>
    <n v="6"/>
  </r>
  <r>
    <x v="109"/>
    <d v="2026-06-26T00:00:00"/>
    <d v="2026-07-20T00:00:00"/>
    <n v="24"/>
    <x v="225"/>
    <s v="BRILLON BLANCO MATE"/>
    <n v="6"/>
  </r>
  <r>
    <x v="109"/>
    <d v="2026-06-26T00:00:00"/>
    <d v="2026-07-20T00:00:00"/>
    <n v="24"/>
    <x v="226"/>
    <s v="BRILLON ALUMINIO"/>
    <n v="6"/>
  </r>
  <r>
    <x v="109"/>
    <d v="2026-06-26T00:00:00"/>
    <d v="2026-07-20T00:00:00"/>
    <n v="24"/>
    <x v="227"/>
    <s v="BRILLON PITAYA"/>
    <n v="3"/>
  </r>
  <r>
    <x v="109"/>
    <d v="2026-06-26T00:00:00"/>
    <d v="2026-07-20T00:00:00"/>
    <n v="24"/>
    <x v="228"/>
    <s v="BRILLON PITAYA"/>
    <n v="6"/>
  </r>
  <r>
    <x v="109"/>
    <d v="2026-06-26T00:00:00"/>
    <d v="2026-07-20T00:00:00"/>
    <n v="24"/>
    <x v="29"/>
    <s v="BRILLON SANDIA"/>
    <n v="3"/>
  </r>
  <r>
    <x v="109"/>
    <d v="2026-06-26T00:00:00"/>
    <d v="2026-07-20T00:00:00"/>
    <n v="24"/>
    <x v="162"/>
    <s v="BRILLON SANDIA"/>
    <n v="6"/>
  </r>
  <r>
    <x v="109"/>
    <d v="2026-06-26T00:00:00"/>
    <d v="2026-07-20T00:00:00"/>
    <n v="24"/>
    <x v="229"/>
    <s v="BRILLON TAMARINDO"/>
    <n v="3"/>
  </r>
  <r>
    <x v="109"/>
    <d v="2026-06-26T00:00:00"/>
    <d v="2026-07-20T00:00:00"/>
    <n v="24"/>
    <x v="230"/>
    <s v="BRILLON TAMARINDO"/>
    <n v="6"/>
  </r>
  <r>
    <x v="109"/>
    <d v="2026-06-26T00:00:00"/>
    <d v="2026-07-20T00:00:00"/>
    <n v="24"/>
    <x v="19"/>
    <s v="BRILLON CACAO"/>
    <n v="3"/>
  </r>
  <r>
    <x v="109"/>
    <d v="2026-06-26T00:00:00"/>
    <d v="2026-07-20T00:00:00"/>
    <n v="24"/>
    <x v="57"/>
    <s v="BRILLON CACAO"/>
    <n v="3"/>
  </r>
  <r>
    <x v="109"/>
    <d v="2026-06-26T00:00:00"/>
    <d v="2026-07-20T00:00:00"/>
    <n v="24"/>
    <x v="30"/>
    <s v="BRILLON CACAO"/>
    <n v="6"/>
  </r>
  <r>
    <x v="109"/>
    <d v="2026-06-26T00:00:00"/>
    <d v="2026-07-20T00:00:00"/>
    <n v="24"/>
    <x v="231"/>
    <s v="BRILLON MENTA"/>
    <n v="3"/>
  </r>
  <r>
    <x v="109"/>
    <d v="2026-06-26T00:00:00"/>
    <d v="2026-07-20T00:00:00"/>
    <n v="24"/>
    <x v="232"/>
    <s v="BRILLON MENTA"/>
    <n v="6"/>
  </r>
  <r>
    <x v="109"/>
    <d v="2026-06-26T00:00:00"/>
    <d v="2026-07-20T00:00:00"/>
    <n v="24"/>
    <x v="224"/>
    <s v="BRILLON AZUL AGUA"/>
    <n v="3"/>
  </r>
  <r>
    <x v="109"/>
    <d v="2026-06-26T00:00:00"/>
    <d v="2026-07-20T00:00:00"/>
    <n v="24"/>
    <x v="31"/>
    <s v="BRILLON AZUL AGUA"/>
    <n v="6"/>
  </r>
  <r>
    <x v="109"/>
    <d v="2026-06-26T00:00:00"/>
    <d v="2026-07-20T00:00:00"/>
    <n v="24"/>
    <x v="233"/>
    <s v="BRILLON VERDE KIWI"/>
    <n v="3"/>
  </r>
  <r>
    <x v="109"/>
    <d v="2026-06-26T00:00:00"/>
    <d v="2026-07-20T00:00:00"/>
    <n v="24"/>
    <x v="234"/>
    <s v="BRILLON VERDE KIWI"/>
    <n v="6"/>
  </r>
  <r>
    <x v="109"/>
    <d v="2026-06-26T00:00:00"/>
    <d v="2026-07-20T00:00:00"/>
    <n v="24"/>
    <x v="59"/>
    <s v="BARNIZ ALQ. TRANSP. NATURAL"/>
    <n v="6"/>
  </r>
  <r>
    <x v="109"/>
    <d v="2026-06-26T00:00:00"/>
    <d v="2026-07-20T00:00:00"/>
    <n v="24"/>
    <x v="81"/>
    <s v="BRILLON DORADO"/>
    <n v="6"/>
  </r>
  <r>
    <x v="109"/>
    <d v="2026-06-26T00:00:00"/>
    <d v="2026-07-20T00:00:00"/>
    <n v="24"/>
    <x v="235"/>
    <s v="BRILLON GRIS"/>
    <n v="1"/>
  </r>
  <r>
    <x v="109"/>
    <d v="2026-06-26T00:00:00"/>
    <d v="2026-07-20T00:00:00"/>
    <n v="24"/>
    <x v="58"/>
    <s v="BRILLON GRIS"/>
    <n v="3"/>
  </r>
  <r>
    <x v="109"/>
    <d v="2026-06-26T00:00:00"/>
    <d v="2026-07-20T00:00:00"/>
    <n v="24"/>
    <x v="163"/>
    <s v="BRILLON GRIS"/>
    <n v="6"/>
  </r>
  <r>
    <x v="109"/>
    <d v="2026-06-26T00:00:00"/>
    <d v="2026-07-20T00:00:00"/>
    <n v="24"/>
    <x v="82"/>
    <s v="BRILLON NEGRO MATE"/>
    <n v="6"/>
  </r>
  <r>
    <x v="109"/>
    <d v="2026-06-26T00:00:00"/>
    <d v="2026-07-20T00:00:00"/>
    <n v="24"/>
    <x v="236"/>
    <s v="BRILLON NEGRO MATE"/>
    <n v="12"/>
  </r>
  <r>
    <x v="109"/>
    <d v="2026-06-26T00:00:00"/>
    <d v="2026-07-20T00:00:00"/>
    <n v="24"/>
    <x v="35"/>
    <s v="BRILLON NEGRO"/>
    <n v="1"/>
  </r>
  <r>
    <x v="109"/>
    <d v="2026-06-26T00:00:00"/>
    <d v="2026-07-20T00:00:00"/>
    <n v="24"/>
    <x v="20"/>
    <s v="BRILLON NEGRO"/>
    <n v="12"/>
  </r>
  <r>
    <x v="109"/>
    <d v="2026-06-26T00:00:00"/>
    <d v="2026-07-20T00:00:00"/>
    <n v="24"/>
    <x v="36"/>
    <s v="BRILLON NEGRO"/>
    <n v="6"/>
  </r>
  <r>
    <x v="109"/>
    <d v="2026-06-26T00:00:00"/>
    <d v="2026-07-20T00:00:00"/>
    <n v="24"/>
    <x v="75"/>
    <s v="BRILLON NEGRO"/>
    <n v="6"/>
  </r>
  <r>
    <x v="109"/>
    <d v="2026-06-26T00:00:00"/>
    <d v="2026-07-20T00:00:00"/>
    <n v="24"/>
    <x v="60"/>
    <s v="BARNIZ GLOSI ALQUI CAOBA"/>
    <n v="3"/>
  </r>
  <r>
    <x v="109"/>
    <d v="2026-06-26T00:00:00"/>
    <d v="2026-07-20T00:00:00"/>
    <n v="24"/>
    <x v="21"/>
    <s v="IMPERGLOSI AGUACERO BLANCO 3A"/>
    <n v="5"/>
  </r>
  <r>
    <x v="109"/>
    <d v="2026-06-26T00:00:00"/>
    <d v="2026-07-20T00:00:00"/>
    <n v="24"/>
    <x v="22"/>
    <s v="IMPERGLOSI AGUACERO TERRACOTA 3A"/>
    <n v="5"/>
  </r>
  <r>
    <x v="109"/>
    <d v="2026-06-26T00:00:00"/>
    <d v="2026-07-20T00:00:00"/>
    <n v="24"/>
    <x v="195"/>
    <s v="VINILICA GLOSI BLANCO BASIC"/>
    <n v="2"/>
  </r>
  <r>
    <x v="109"/>
    <d v="2026-06-26T00:00:00"/>
    <d v="2026-07-20T00:00:00"/>
    <n v="24"/>
    <x v="196"/>
    <s v="VINILICA GLOSI BLANCO BASIC"/>
    <n v="10"/>
  </r>
  <r>
    <x v="109"/>
    <d v="2026-06-26T00:00:00"/>
    <d v="2026-07-20T00:00:00"/>
    <n v="24"/>
    <x v="193"/>
    <s v="VINILICA GLOSI BLANCO BASIC"/>
    <n v="12"/>
  </r>
  <r>
    <x v="109"/>
    <d v="2026-06-26T00:00:00"/>
    <d v="2026-07-20T00:00:00"/>
    <n v="24"/>
    <x v="191"/>
    <s v="VINILICA GLOSI BLANCO ULTRA"/>
    <n v="2"/>
  </r>
  <r>
    <x v="110"/>
    <d v="2026-06-27T00:00:00"/>
    <d v="2026-07-04T00:00:00"/>
    <n v="7"/>
    <x v="237"/>
    <s v="AEROSOL AZUL NAVAL"/>
    <n v="12"/>
  </r>
  <r>
    <x v="110"/>
    <d v="2026-06-27T00:00:00"/>
    <d v="2026-07-04T00:00:00"/>
    <n v="7"/>
    <x v="8"/>
    <s v="AEROSOL ALUMINIO"/>
    <n v="6"/>
  </r>
  <r>
    <x v="110"/>
    <d v="2026-06-27T00:00:00"/>
    <d v="2026-07-04T00:00:00"/>
    <n v="7"/>
    <x v="1"/>
    <s v="AEROSOL NEGRO BRILLANTE"/>
    <n v="24"/>
  </r>
  <r>
    <x v="110"/>
    <d v="2026-06-27T00:00:00"/>
    <d v="2026-07-04T00:00:00"/>
    <n v="7"/>
    <x v="2"/>
    <s v="AEROSOL SUPER ORO"/>
    <n v="6"/>
  </r>
  <r>
    <x v="110"/>
    <d v="2026-06-27T00:00:00"/>
    <d v="2026-07-09T00:00:00"/>
    <n v="12"/>
    <x v="88"/>
    <s v="AEROSOL AMARILLO"/>
    <n v="6"/>
  </r>
  <r>
    <x v="111"/>
    <d v="2026-06-29T00:00:00"/>
    <d v="2026-06-30T00:00:00"/>
    <n v="1"/>
    <x v="50"/>
    <s v="RELLENADOR AUTOMOTRIZ C/CATAL. ROJO"/>
    <n v="4"/>
  </r>
  <r>
    <x v="111"/>
    <d v="2026-06-29T00:00:00"/>
    <d v="2026-07-09T00:00:00"/>
    <n v="10"/>
    <x v="120"/>
    <s v="BARNIZ ALQ. TRANSP. NATURAL"/>
    <n v="1"/>
  </r>
  <r>
    <x v="111"/>
    <d v="2026-06-29T00:00:00"/>
    <d v="2026-07-09T00:00:00"/>
    <n v="10"/>
    <x v="67"/>
    <s v="ESMALTE GLOSI SR BLANCO"/>
    <n v="1"/>
  </r>
  <r>
    <x v="111"/>
    <d v="2026-06-29T00:00:00"/>
    <d v="2026-07-09T00:00:00"/>
    <n v="10"/>
    <x v="47"/>
    <s v="ESMALTE GLOSI SR NEGRO BRILLANTE"/>
    <n v="1"/>
  </r>
  <r>
    <x v="111"/>
    <d v="2026-06-29T00:00:00"/>
    <d v="2026-07-11T00:00:00"/>
    <n v="12"/>
    <x v="50"/>
    <s v="RELLENADOR AUTOMOTRIZ C/CATAL. ROJO"/>
    <n v="2"/>
  </r>
  <r>
    <x v="111"/>
    <d v="2026-06-29T00:00:00"/>
    <d v="2026-07-23T00:00:00"/>
    <n v="24"/>
    <x v="238"/>
    <s v="RELLENADOR AUTOMOTRIZ"/>
    <n v="2"/>
  </r>
  <r>
    <x v="111"/>
    <d v="2026-06-29T00:00:00"/>
    <d v="2026-07-23T00:00:00"/>
    <n v="24"/>
    <x v="67"/>
    <s v="ESMALTE GLOSI SR BLANCO"/>
    <n v="1"/>
  </r>
  <r>
    <x v="112"/>
    <d v="2026-06-30T00:00:00"/>
    <d v="2026-06-30T00:00:00"/>
    <n v="0"/>
    <x v="144"/>
    <s v="PRIMARIO GLOSI ESTRUCTURAS GRIS"/>
    <n v="3"/>
  </r>
  <r>
    <x v="112"/>
    <d v="2026-06-30T00:00:00"/>
    <d v="2026-06-30T00:00:00"/>
    <n v="0"/>
    <x v="191"/>
    <s v="VINILICA GLOSI BLANCO ULTRA"/>
    <n v="1"/>
  </r>
  <r>
    <x v="112"/>
    <d v="2026-06-30T00:00:00"/>
    <d v="2026-06-30T00:00:00"/>
    <n v="0"/>
    <x v="154"/>
    <s v="VINILICA GLOSI BLANCO ULTRA"/>
    <n v="2"/>
  </r>
  <r>
    <x v="112"/>
    <d v="2026-06-30T00:00:00"/>
    <d v="2026-06-30T00:00:00"/>
    <n v="0"/>
    <x v="164"/>
    <s v="VINILICA GLOSI BLANCO ULTRA"/>
    <n v="6"/>
  </r>
  <r>
    <x v="113"/>
    <d v="2026-07-03T00:00:00"/>
    <d v="2026-07-23T00:00:00"/>
    <n v="20"/>
    <x v="18"/>
    <s v="ESMALTE BRILLON BLANCO"/>
    <n v="3"/>
  </r>
  <r>
    <x v="113"/>
    <d v="2026-07-03T00:00:00"/>
    <d v="2026-07-23T00:00:00"/>
    <n v="20"/>
    <x v="20"/>
    <s v="BRILLON NEGRO"/>
    <n v="3"/>
  </r>
  <r>
    <x v="113"/>
    <d v="2026-07-03T00:00:00"/>
    <d v="2026-07-23T00:00:00"/>
    <n v="20"/>
    <x v="36"/>
    <s v="BRILLON NEGRO"/>
    <n v="6"/>
  </r>
  <r>
    <x v="113"/>
    <d v="2026-07-03T00:00:00"/>
    <d v="2026-07-23T00:00:00"/>
    <n v="20"/>
    <x v="27"/>
    <s v="BRILLON BLANCO"/>
    <n v="6"/>
  </r>
  <r>
    <x v="113"/>
    <d v="2026-07-03T00:00:00"/>
    <d v="2026-07-23T00:00:00"/>
    <n v="20"/>
    <x v="39"/>
    <s v="BRILLON BLANCO"/>
    <n v="6"/>
  </r>
  <r>
    <x v="113"/>
    <d v="2026-07-03T00:00:00"/>
    <d v="2026-07-23T00:00:00"/>
    <n v="20"/>
    <x v="57"/>
    <s v="BRILLON CACAO"/>
    <n v="3"/>
  </r>
  <r>
    <x v="113"/>
    <d v="2026-07-03T00:00:00"/>
    <d v="2026-07-23T00:00:00"/>
    <n v="20"/>
    <x v="75"/>
    <s v="BRILLON NEGRO"/>
    <n v="6"/>
  </r>
  <r>
    <x v="114"/>
    <d v="2026-07-03T00:00:00"/>
    <d v="2026-07-09T00:00:00"/>
    <n v="6"/>
    <x v="20"/>
    <s v="BRILLON NEGRO"/>
    <n v="3"/>
  </r>
  <r>
    <x v="114"/>
    <d v="2026-07-03T00:00:00"/>
    <d v="2026-07-09T00:00:00"/>
    <n v="6"/>
    <x v="18"/>
    <s v="ESMALTE BRILLON BLANCO"/>
    <n v="3"/>
  </r>
  <r>
    <x v="114"/>
    <d v="2026-07-03T00:00:00"/>
    <d v="2026-07-09T00:00:00"/>
    <n v="6"/>
    <x v="27"/>
    <s v="BRILLON BLANCO"/>
    <n v="3"/>
  </r>
  <r>
    <x v="114"/>
    <d v="2026-07-03T00:00:00"/>
    <d v="2026-07-09T00:00:00"/>
    <n v="6"/>
    <x v="39"/>
    <s v="BRILLON BLANCO"/>
    <n v="6"/>
  </r>
  <r>
    <x v="114"/>
    <d v="2026-07-03T00:00:00"/>
    <d v="2026-07-09T00:00:00"/>
    <n v="6"/>
    <x v="225"/>
    <s v="BRILLON BLANCO MATE"/>
    <n v="6"/>
  </r>
  <r>
    <x v="114"/>
    <d v="2026-07-03T00:00:00"/>
    <d v="2026-07-09T00:00:00"/>
    <n v="6"/>
    <x v="109"/>
    <s v="BRILLON ALUMINIO"/>
    <n v="3"/>
  </r>
  <r>
    <x v="114"/>
    <d v="2026-07-03T00:00:00"/>
    <d v="2026-07-09T00:00:00"/>
    <n v="6"/>
    <x v="226"/>
    <s v="BRILLON ALUMINIO"/>
    <n v="6"/>
  </r>
  <r>
    <x v="114"/>
    <d v="2026-07-03T00:00:00"/>
    <d v="2026-07-09T00:00:00"/>
    <n v="6"/>
    <x v="31"/>
    <s v="BRILLON AZUL AGUA"/>
    <n v="6"/>
  </r>
  <r>
    <x v="114"/>
    <d v="2026-07-03T00:00:00"/>
    <d v="2026-07-09T00:00:00"/>
    <n v="6"/>
    <x v="82"/>
    <s v="BRILLON NEGRO MATE"/>
    <n v="3"/>
  </r>
  <r>
    <x v="115"/>
    <d v="2026-07-07T00:00:00"/>
    <d v="2026-07-08T00:00:00"/>
    <n v="1"/>
    <x v="198"/>
    <s v="ESMALTE GLOSI SR CHOCOLATE"/>
    <n v="6"/>
  </r>
  <r>
    <x v="115"/>
    <d v="2026-07-07T00:00:00"/>
    <d v="2026-07-08T00:00:00"/>
    <n v="1"/>
    <x v="85"/>
    <s v="ESMALTE GLOSI SR NEGRO BRILLANTE"/>
    <n v="3"/>
  </r>
  <r>
    <x v="115"/>
    <d v="2026-07-07T00:00:00"/>
    <d v="2026-07-08T00:00:00"/>
    <n v="1"/>
    <x v="16"/>
    <s v="ESMALTE GLOSI SR NEGRO BRILLANTE"/>
    <n v="3"/>
  </r>
  <r>
    <x v="116"/>
    <d v="2026-07-08T00:00:00"/>
    <d v="2026-07-17T00:00:00"/>
    <n v="9"/>
    <x v="3"/>
    <s v="AEROSOL BLANCO BRILLANTE"/>
    <n v="6"/>
  </r>
  <r>
    <x v="116"/>
    <d v="2026-07-08T00:00:00"/>
    <d v="2026-07-17T00:00:00"/>
    <n v="9"/>
    <x v="239"/>
    <s v="AEROSOL BEIGE"/>
    <n v="6"/>
  </r>
  <r>
    <x v="116"/>
    <d v="2026-07-08T00:00:00"/>
    <d v="2026-07-17T00:00:00"/>
    <n v="9"/>
    <x v="110"/>
    <s v="AEROSOL CAFE CHOCOLATE"/>
    <n v="6"/>
  </r>
  <r>
    <x v="116"/>
    <d v="2026-07-08T00:00:00"/>
    <d v="2026-07-17T00:00:00"/>
    <n v="9"/>
    <x v="0"/>
    <s v="AEROSOL NEGRO MATE"/>
    <n v="6"/>
  </r>
  <r>
    <x v="116"/>
    <d v="2026-07-08T00:00:00"/>
    <d v="2026-07-17T00:00:00"/>
    <n v="9"/>
    <x v="1"/>
    <s v="AEROSOL NEGRO BRILLANTE"/>
    <n v="12"/>
  </r>
  <r>
    <x v="117"/>
    <d v="2026-07-20T00:00:00"/>
    <d v="2026-07-29T00:00:00"/>
    <n v="9"/>
    <x v="76"/>
    <s v="IMPERGLOSI AGUACERO BLANCO 3A"/>
    <n v="6"/>
  </r>
  <r>
    <x v="117"/>
    <d v="2026-07-20T00:00:00"/>
    <d v="2026-07-29T00:00:00"/>
    <n v="9"/>
    <x v="77"/>
    <s v="IMPERGLOSI AGUACERO TERRACOTA 3A"/>
    <n v="6"/>
  </r>
  <r>
    <x v="117"/>
    <d v="2026-07-20T00:00:00"/>
    <d v="2026-07-29T00:00:00"/>
    <n v="9"/>
    <x v="76"/>
    <s v="IMPERGLOSI AGUACERO BLANCO 3A"/>
    <n v="30"/>
  </r>
  <r>
    <x v="117"/>
    <d v="2026-07-20T00:00:00"/>
    <d v="2026-07-29T00:00:00"/>
    <n v="9"/>
    <x v="77"/>
    <s v="IMPERGLOSI AGUACERO TERRACOTA 3A"/>
    <n v="30"/>
  </r>
  <r>
    <x v="117"/>
    <d v="2026-07-20T00:00:00"/>
    <d v="2026-07-31T00:00:00"/>
    <n v="11"/>
    <x v="55"/>
    <s v="RELLENADOR AUTOMOTRIZ C/CATAL. ROJO"/>
    <n v="12"/>
  </r>
  <r>
    <x v="118"/>
    <d v="2026-07-21T00:00:00"/>
    <d v="2026-07-24T00:00:00"/>
    <n v="3"/>
    <x v="18"/>
    <s v="ESMALTE BRILLON BLANCO"/>
    <n v="6"/>
  </r>
  <r>
    <x v="118"/>
    <d v="2026-07-21T00:00:00"/>
    <d v="2026-07-24T00:00:00"/>
    <n v="3"/>
    <x v="27"/>
    <s v="BRILLON BLANCO"/>
    <n v="6"/>
  </r>
  <r>
    <x v="118"/>
    <d v="2026-07-21T00:00:00"/>
    <d v="2026-07-24T00:00:00"/>
    <n v="3"/>
    <x v="20"/>
    <s v="BRILLON NEGRO"/>
    <n v="6"/>
  </r>
  <r>
    <x v="118"/>
    <d v="2026-07-21T00:00:00"/>
    <d v="2026-07-24T00:00:00"/>
    <n v="3"/>
    <x v="36"/>
    <s v="BRILLON NEGRO"/>
    <n v="6"/>
  </r>
  <r>
    <x v="118"/>
    <d v="2026-07-21T00:00:00"/>
    <d v="2026-07-24T00:00:00"/>
    <n v="3"/>
    <x v="193"/>
    <s v="VINILICA GLOSI BLANCO BASIC"/>
    <n v="2"/>
  </r>
  <r>
    <x v="118"/>
    <d v="2026-07-21T00:00:00"/>
    <d v="2026-07-24T00:00:00"/>
    <n v="3"/>
    <x v="240"/>
    <s v="VINILICA GLOSI CORAL 5A"/>
    <n v="1"/>
  </r>
  <r>
    <x v="118"/>
    <d v="2026-07-21T00:00:00"/>
    <d v="2026-07-24T00:00:00"/>
    <n v="3"/>
    <x v="241"/>
    <s v="VINILICA GLOSI ROJO 5A"/>
    <n v="1"/>
  </r>
  <r>
    <x v="118"/>
    <d v="2026-07-21T00:00:00"/>
    <d v="2026-07-28T00:00:00"/>
    <n v="7"/>
    <x v="18"/>
    <s v="ESMALTE BRILLON BLANCO"/>
    <n v="-6"/>
  </r>
  <r>
    <x v="118"/>
    <d v="2026-07-21T00:00:00"/>
    <d v="2026-07-28T00:00:00"/>
    <n v="7"/>
    <x v="27"/>
    <s v="BRILLON BLANCO"/>
    <n v="-6"/>
  </r>
  <r>
    <x v="118"/>
    <d v="2026-07-21T00:00:00"/>
    <d v="2026-07-28T00:00:00"/>
    <n v="7"/>
    <x v="20"/>
    <s v="BRILLON NEGRO"/>
    <n v="-6"/>
  </r>
  <r>
    <x v="118"/>
    <d v="2026-07-21T00:00:00"/>
    <d v="2026-07-28T00:00:00"/>
    <n v="7"/>
    <x v="36"/>
    <s v="BRILLON NEGRO"/>
    <n v="-6"/>
  </r>
  <r>
    <x v="118"/>
    <d v="2026-07-21T00:00:00"/>
    <d v="2026-07-28T00:00:00"/>
    <n v="7"/>
    <x v="193"/>
    <s v="VINILICA GLOSI BLANCO BASIC"/>
    <n v="-2"/>
  </r>
  <r>
    <x v="118"/>
    <d v="2026-07-21T00:00:00"/>
    <d v="2026-07-28T00:00:00"/>
    <n v="7"/>
    <x v="240"/>
    <s v="VINILICA GLOSI CORAL 5A"/>
    <n v="-1"/>
  </r>
  <r>
    <x v="118"/>
    <d v="2026-07-21T00:00:00"/>
    <d v="2026-07-28T00:00:00"/>
    <n v="7"/>
    <x v="241"/>
    <s v="VINILICA GLOSI ROJO 5A"/>
    <n v="-1"/>
  </r>
  <r>
    <x v="119"/>
    <d v="2026-07-20T00:00:00"/>
    <d v="2026-08-10T00:00:00"/>
    <n v="21"/>
    <x v="216"/>
    <s v="VINILICA GLOSI OCRE PRO"/>
    <n v="1"/>
  </r>
  <r>
    <x v="119"/>
    <d v="2026-07-20T00:00:00"/>
    <d v="2026-08-10T00:00:00"/>
    <n v="21"/>
    <x v="164"/>
    <s v="VINILICA GLOSI BLANCO ULTRA"/>
    <n v="6"/>
  </r>
  <r>
    <x v="120"/>
    <d v="2026-07-23T00:00:00"/>
    <d v="2026-07-25T00:00:00"/>
    <n v="2"/>
    <x v="48"/>
    <s v="ESMALTE GLOSI SR BLANCO"/>
    <n v="6"/>
  </r>
  <r>
    <x v="120"/>
    <d v="2026-07-23T00:00:00"/>
    <d v="2026-07-25T00:00:00"/>
    <n v="2"/>
    <x v="85"/>
    <s v="ESMALTE GLOSI SR NEGRO BRILLANTE"/>
    <n v="6"/>
  </r>
  <r>
    <x v="120"/>
    <d v="2026-07-23T00:00:00"/>
    <d v="2026-07-25T00:00:00"/>
    <n v="2"/>
    <x v="44"/>
    <s v="ESMALTE BRILLON BLANCO."/>
    <n v="2"/>
  </r>
  <r>
    <x v="120"/>
    <d v="2026-07-23T00:00:00"/>
    <d v="2026-07-25T00:00:00"/>
    <n v="2"/>
    <x v="18"/>
    <s v="ESMALTE BRILLON BLANCO"/>
    <n v="6"/>
  </r>
  <r>
    <x v="120"/>
    <d v="2026-07-23T00:00:00"/>
    <d v="2026-07-25T00:00:00"/>
    <n v="2"/>
    <x v="35"/>
    <s v="BRILLON NEGRO"/>
    <n v="2"/>
  </r>
  <r>
    <x v="120"/>
    <d v="2026-07-23T00:00:00"/>
    <d v="2026-07-25T00:00:00"/>
    <n v="2"/>
    <x v="20"/>
    <s v="BRILLON NEGRO"/>
    <n v="6"/>
  </r>
  <r>
    <x v="120"/>
    <d v="2026-07-23T00:00:00"/>
    <d v="2026-07-31T00:00:00"/>
    <n v="8"/>
    <x v="27"/>
    <s v="BRILLON BLANCO"/>
    <n v="6"/>
  </r>
  <r>
    <x v="120"/>
    <d v="2026-07-23T00:00:00"/>
    <d v="2026-07-31T00:00:00"/>
    <n v="8"/>
    <x v="36"/>
    <s v="BRILLON NEGRO"/>
    <n v="6"/>
  </r>
  <r>
    <x v="121"/>
    <d v="2026-07-23T00:00:00"/>
    <d v="2026-07-28T00:00:00"/>
    <n v="5"/>
    <x v="49"/>
    <s v="SIAMIL ECONOMICO MI FL 20 KG"/>
    <n v="20"/>
  </r>
  <r>
    <x v="121"/>
    <d v="2026-07-23T00:00:00"/>
    <d v="2026-07-28T00:00:00"/>
    <n v="5"/>
    <x v="39"/>
    <s v="BRILLON BLANCO"/>
    <n v="3"/>
  </r>
  <r>
    <x v="121"/>
    <d v="2026-07-23T00:00:00"/>
    <d v="2026-07-28T00:00:00"/>
    <n v="5"/>
    <x v="225"/>
    <s v="BRILLON BLANCO MATE"/>
    <n v="3"/>
  </r>
  <r>
    <x v="121"/>
    <d v="2026-07-23T00:00:00"/>
    <d v="2026-07-28T00:00:00"/>
    <n v="5"/>
    <x v="236"/>
    <s v="BRILLON NEGRO MATE"/>
    <n v="3"/>
  </r>
  <r>
    <x v="121"/>
    <d v="2026-07-23T00:00:00"/>
    <d v="2026-07-28T00:00:00"/>
    <n v="5"/>
    <x v="75"/>
    <s v="BRILLON NEGRO"/>
    <n v="3"/>
  </r>
  <r>
    <x v="121"/>
    <d v="2026-07-23T00:00:00"/>
    <d v="2026-07-28T00:00:00"/>
    <n v="5"/>
    <x v="210"/>
    <s v="ESTRUCTURAS ROJO OXIDO"/>
    <n v="2"/>
  </r>
  <r>
    <x v="121"/>
    <d v="2026-07-23T00:00:00"/>
    <d v="2026-07-28T00:00:00"/>
    <n v="5"/>
    <x v="144"/>
    <s v="PRIMARIO GLOSI ESTRUCTURAS GRIS"/>
    <n v="2"/>
  </r>
  <r>
    <x v="121"/>
    <d v="2026-07-23T00:00:00"/>
    <d v="2026-07-28T00:00:00"/>
    <n v="5"/>
    <x v="3"/>
    <s v="AEROSOL BLANCO BRILLANTE"/>
    <n v="6"/>
  </r>
  <r>
    <x v="121"/>
    <d v="2026-07-23T00:00:00"/>
    <d v="2026-07-28T00:00:00"/>
    <n v="5"/>
    <x v="4"/>
    <s v="AEROSOL BLANCO MATE"/>
    <n v="6"/>
  </r>
  <r>
    <x v="121"/>
    <d v="2026-07-23T00:00:00"/>
    <d v="2026-07-28T00:00:00"/>
    <n v="5"/>
    <x v="7"/>
    <s v="AEROSOL ROJO"/>
    <n v="6"/>
  </r>
  <r>
    <x v="121"/>
    <d v="2026-07-23T00:00:00"/>
    <d v="2026-07-28T00:00:00"/>
    <n v="5"/>
    <x v="8"/>
    <s v="AEROSOL ALUMINIO"/>
    <n v="6"/>
  </r>
  <r>
    <x v="121"/>
    <d v="2026-07-23T00:00:00"/>
    <d v="2026-07-28T00:00:00"/>
    <n v="5"/>
    <x v="26"/>
    <s v="AEROSOL GRIS CLARO"/>
    <n v="6"/>
  </r>
  <r>
    <x v="121"/>
    <d v="2026-07-23T00:00:00"/>
    <d v="2026-07-28T00:00:00"/>
    <n v="5"/>
    <x v="0"/>
    <s v="AEROSOL NEGRO MATE"/>
    <n v="6"/>
  </r>
  <r>
    <x v="121"/>
    <d v="2026-07-23T00:00:00"/>
    <d v="2026-07-28T00:00:00"/>
    <n v="5"/>
    <x v="1"/>
    <s v="AEROSOL NEGRO BRILLANTE"/>
    <n v="6"/>
  </r>
  <r>
    <x v="121"/>
    <d v="2026-07-23T00:00:00"/>
    <d v="2026-07-28T00:00:00"/>
    <n v="5"/>
    <x v="2"/>
    <s v="AEROSOL SUPER ORO"/>
    <n v="6"/>
  </r>
  <r>
    <x v="121"/>
    <d v="2026-07-23T00:00:00"/>
    <d v="2026-07-28T00:00:00"/>
    <n v="5"/>
    <x v="10"/>
    <s v="AEROSOL PRISA SUPER CROMO"/>
    <n v="6"/>
  </r>
  <r>
    <x v="121"/>
    <d v="2026-07-23T00:00:00"/>
    <d v="2026-07-28T00:00:00"/>
    <n v="5"/>
    <x v="18"/>
    <s v="ESMALTE BRILLON BLANCO"/>
    <n v="3"/>
  </r>
  <r>
    <x v="121"/>
    <d v="2026-07-23T00:00:00"/>
    <d v="2026-07-28T00:00:00"/>
    <n v="5"/>
    <x v="27"/>
    <s v="BRILLON BLANCO"/>
    <n v="3"/>
  </r>
  <r>
    <x v="121"/>
    <d v="2026-07-23T00:00:00"/>
    <d v="2026-07-28T00:00:00"/>
    <n v="5"/>
    <x v="20"/>
    <s v="BRILLON NEGRO"/>
    <n v="3"/>
  </r>
  <r>
    <x v="121"/>
    <d v="2026-07-23T00:00:00"/>
    <d v="2026-07-28T00:00:00"/>
    <n v="5"/>
    <x v="36"/>
    <s v="BRILLON NEGRO"/>
    <n v="3"/>
  </r>
  <r>
    <x v="121"/>
    <d v="2026-07-23T00:00:00"/>
    <d v="2026-07-28T00:00:00"/>
    <n v="5"/>
    <x v="195"/>
    <s v="VINILICA GLOSI BLANCO BASIC"/>
    <n v="1"/>
  </r>
  <r>
    <x v="121"/>
    <d v="2026-07-23T00:00:00"/>
    <d v="2026-07-28T00:00:00"/>
    <n v="5"/>
    <x v="196"/>
    <s v="VINILICA GLOSI BLANCO BASIC"/>
    <n v="2"/>
  </r>
  <r>
    <x v="121"/>
    <d v="2026-07-23T00:00:00"/>
    <d v="2026-07-30T00:00:00"/>
    <n v="7"/>
    <x v="154"/>
    <s v="VINILICA GLOSI BLANCO ULTRA"/>
    <n v="4"/>
  </r>
  <r>
    <x v="121"/>
    <d v="2026-07-23T00:00:00"/>
    <d v="2026-07-30T00:00:00"/>
    <n v="7"/>
    <x v="191"/>
    <s v="VINILICA GLOSI BLANCO ULTRA"/>
    <n v="1"/>
  </r>
  <r>
    <x v="121"/>
    <d v="2026-07-23T00:00:00"/>
    <d v="2026-07-30T00:00:00"/>
    <n v="7"/>
    <x v="164"/>
    <s v="VINILICA GLOSI BLANCO ULTRA"/>
    <n v="12"/>
  </r>
  <r>
    <x v="121"/>
    <d v="2026-07-23T00:00:00"/>
    <d v="2026-07-31T00:00:00"/>
    <n v="8"/>
    <x v="164"/>
    <s v="VINILICA GLOSI BLANCO ULTRA"/>
    <n v="-4"/>
  </r>
  <r>
    <x v="121"/>
    <d v="2026-07-23T00:00:00"/>
    <d v="2026-08-06T00:00:00"/>
    <n v="14"/>
    <x v="3"/>
    <s v="AEROSOL BLANCO BRILLANTE"/>
    <n v="3"/>
  </r>
  <r>
    <x v="121"/>
    <d v="2026-07-23T00:00:00"/>
    <d v="2026-08-06T00:00:00"/>
    <n v="14"/>
    <x v="7"/>
    <s v="AEROSOL ROJO"/>
    <n v="1"/>
  </r>
  <r>
    <x v="121"/>
    <d v="2026-07-23T00:00:00"/>
    <d v="2026-08-06T00:00:00"/>
    <n v="14"/>
    <x v="11"/>
    <s v="AEROSOL AZUL METALICO"/>
    <n v="2"/>
  </r>
  <r>
    <x v="121"/>
    <d v="2026-07-23T00:00:00"/>
    <d v="2026-08-06T00:00:00"/>
    <n v="14"/>
    <x v="18"/>
    <s v="ESMALTE BRILLON BLANCO"/>
    <n v="2"/>
  </r>
  <r>
    <x v="121"/>
    <d v="2026-07-23T00:00:00"/>
    <d v="2026-08-06T00:00:00"/>
    <n v="14"/>
    <x v="27"/>
    <s v="BRILLON BLANCO"/>
    <n v="1"/>
  </r>
  <r>
    <x v="121"/>
    <d v="2026-07-23T00:00:00"/>
    <d v="2026-08-06T00:00:00"/>
    <n v="14"/>
    <x v="39"/>
    <s v="BRILLON BLANCO"/>
    <n v="1"/>
  </r>
  <r>
    <x v="121"/>
    <d v="2026-07-23T00:00:00"/>
    <d v="2026-08-06T00:00:00"/>
    <n v="14"/>
    <x v="42"/>
    <s v="BRILLON BLANCO MATE"/>
    <n v="1"/>
  </r>
  <r>
    <x v="121"/>
    <d v="2026-07-23T00:00:00"/>
    <d v="2026-08-06T00:00:00"/>
    <n v="14"/>
    <x v="149"/>
    <s v="BRILLON BLANCO MATE"/>
    <n v="1"/>
  </r>
  <r>
    <x v="121"/>
    <d v="2026-07-23T00:00:00"/>
    <d v="2026-08-06T00:00:00"/>
    <n v="14"/>
    <x v="225"/>
    <s v="BRILLON BLANCO MATE"/>
    <n v="1"/>
  </r>
  <r>
    <x v="121"/>
    <d v="2026-07-23T00:00:00"/>
    <d v="2026-08-06T00:00:00"/>
    <n v="14"/>
    <x v="34"/>
    <s v="BRILLON NEGRO MATE"/>
    <n v="4"/>
  </r>
  <r>
    <x v="121"/>
    <d v="2026-07-23T00:00:00"/>
    <d v="2026-08-06T00:00:00"/>
    <n v="14"/>
    <x v="236"/>
    <s v="BRILLON NEGRO MATE"/>
    <n v="1"/>
  </r>
  <r>
    <x v="121"/>
    <d v="2026-07-23T00:00:00"/>
    <d v="2026-08-06T00:00:00"/>
    <n v="14"/>
    <x v="20"/>
    <s v="BRILLON NEGRO"/>
    <n v="2"/>
  </r>
  <r>
    <x v="121"/>
    <d v="2026-07-23T00:00:00"/>
    <d v="2026-08-06T00:00:00"/>
    <n v="14"/>
    <x v="75"/>
    <s v="BRILLON NEGRO"/>
    <n v="1"/>
  </r>
  <r>
    <x v="121"/>
    <d v="2026-07-23T00:00:00"/>
    <d v="2026-08-06T00:00:00"/>
    <n v="14"/>
    <x v="210"/>
    <s v="ESTRUCTURAS ROJO OXIDO"/>
    <n v="1"/>
  </r>
  <r>
    <x v="121"/>
    <d v="2026-07-23T00:00:00"/>
    <d v="2026-08-06T00:00:00"/>
    <n v="14"/>
    <x v="144"/>
    <s v="PRIMARIO GLOSI ESTRUCTURAS GRIS"/>
    <n v="1"/>
  </r>
  <r>
    <x v="121"/>
    <d v="2026-07-23T00:00:00"/>
    <d v="2026-08-06T00:00:00"/>
    <n v="14"/>
    <x v="195"/>
    <s v="VINILICA GLOSI BLANCO BASIC"/>
    <n v="1"/>
  </r>
  <r>
    <x v="121"/>
    <d v="2026-07-23T00:00:00"/>
    <d v="2026-08-06T00:00:00"/>
    <n v="14"/>
    <x v="196"/>
    <s v="VINILICA GLOSI BLANCO BASIC"/>
    <n v="2"/>
  </r>
  <r>
    <x v="121"/>
    <d v="2026-07-23T00:00:00"/>
    <d v="2026-08-06T00:00:00"/>
    <n v="14"/>
    <x v="191"/>
    <s v="VINILICA GLOSI BLANCO ULTRA"/>
    <n v="1"/>
  </r>
  <r>
    <x v="121"/>
    <d v="2026-07-23T00:00:00"/>
    <d v="2026-08-06T00:00:00"/>
    <n v="14"/>
    <x v="242"/>
    <s v="VINILICA GLOSI CAFE CLARO 5A"/>
    <n v="2"/>
  </r>
  <r>
    <x v="121"/>
    <d v="2026-07-23T00:00:00"/>
    <d v="2026-08-06T00:00:00"/>
    <n v="14"/>
    <x v="114"/>
    <s v="VINILICA GLOSI AZUL 5A"/>
    <n v="2"/>
  </r>
  <r>
    <x v="121"/>
    <d v="2026-07-23T00:00:00"/>
    <d v="2026-08-06T00:00:00"/>
    <n v="14"/>
    <x v="243"/>
    <s v="VINILICA VERDE CLARO 5A"/>
    <n v="2"/>
  </r>
  <r>
    <x v="122"/>
    <d v="2026-07-22T00:00:00"/>
    <d v="2026-07-31T00:00:00"/>
    <n v="9"/>
    <x v="244"/>
    <s v="MILCO NEGRO MATE"/>
    <n v="2"/>
  </r>
  <r>
    <x v="122"/>
    <d v="2026-07-22T00:00:00"/>
    <d v="2026-07-31T00:00:00"/>
    <n v="9"/>
    <x v="245"/>
    <s v="KITOX AZUL DELFIN"/>
    <n v="2"/>
  </r>
  <r>
    <x v="122"/>
    <d v="2026-07-22T00:00:00"/>
    <d v="2026-07-31T00:00:00"/>
    <n v="9"/>
    <x v="137"/>
    <s v="KITOX NEGRO"/>
    <n v="6"/>
  </r>
  <r>
    <x v="122"/>
    <d v="2026-07-22T00:00:00"/>
    <d v="2026-07-31T00:00:00"/>
    <n v="9"/>
    <x v="246"/>
    <s v="BARNIZ ALQ. ROBLE AMERICANO"/>
    <n v="6"/>
  </r>
  <r>
    <x v="122"/>
    <d v="2026-07-22T00:00:00"/>
    <d v="2026-07-31T00:00:00"/>
    <n v="9"/>
    <x v="247"/>
    <s v="BARNIZ ALQUIDALICO CAOBA"/>
    <n v="6"/>
  </r>
  <r>
    <x v="122"/>
    <d v="2026-07-22T00:00:00"/>
    <d v="2026-07-31T00:00:00"/>
    <n v="9"/>
    <x v="33"/>
    <s v="BRILLON NEGRO MATE"/>
    <n v="2"/>
  </r>
  <r>
    <x v="122"/>
    <d v="2026-07-22T00:00:00"/>
    <d v="2026-07-31T00:00:00"/>
    <n v="9"/>
    <x v="248"/>
    <s v="PINTAVIN BLANCO ULTRA"/>
    <n v="2"/>
  </r>
  <r>
    <x v="122"/>
    <d v="2026-07-22T00:00:00"/>
    <d v="2026-07-31T00:00:00"/>
    <n v="9"/>
    <x v="249"/>
    <s v="PINTAVIN BLANCO ULTRA"/>
    <n v="6"/>
  </r>
  <r>
    <x v="122"/>
    <d v="2026-07-22T00:00:00"/>
    <d v="2026-08-18T00:00:00"/>
    <n v="27"/>
    <x v="250"/>
    <s v="MILCO  NEGRO MATE"/>
    <n v="12"/>
  </r>
  <r>
    <x v="122"/>
    <d v="2026-07-22T00:00:00"/>
    <d v="2026-08-18T00:00:00"/>
    <n v="27"/>
    <x v="251"/>
    <s v="KITOX BLANCO"/>
    <n v="6"/>
  </r>
  <r>
    <x v="122"/>
    <d v="2026-07-22T00:00:00"/>
    <d v="2026-08-18T00:00:00"/>
    <n v="27"/>
    <x v="175"/>
    <s v="KITOX BLANCO"/>
    <n v="12"/>
  </r>
  <r>
    <x v="122"/>
    <d v="2026-07-22T00:00:00"/>
    <d v="2026-08-18T00:00:00"/>
    <n v="27"/>
    <x v="129"/>
    <s v="KITOX NEGRO"/>
    <n v="6"/>
  </r>
  <r>
    <x v="122"/>
    <d v="2026-07-22T00:00:00"/>
    <d v="2026-08-18T00:00:00"/>
    <n v="27"/>
    <x v="249"/>
    <s v="PINTAVIN BLANCO ULTRA"/>
    <n v="6"/>
  </r>
  <r>
    <x v="123"/>
    <d v="2026-07-28T00:00:00"/>
    <d v="2026-07-31T00:00:00"/>
    <n v="3"/>
    <x v="3"/>
    <s v="AEROSOL BLANCO BRILLANTE"/>
    <n v="2"/>
  </r>
  <r>
    <x v="123"/>
    <d v="2026-07-28T00:00:00"/>
    <d v="2026-07-31T00:00:00"/>
    <n v="3"/>
    <x v="4"/>
    <s v="AEROSOL BLANCO MATE"/>
    <n v="2"/>
  </r>
  <r>
    <x v="123"/>
    <d v="2026-07-28T00:00:00"/>
    <d v="2026-07-31T00:00:00"/>
    <n v="3"/>
    <x v="9"/>
    <s v="AEROSOL  NEGRO SEMI BRILLANTE"/>
    <n v="2"/>
  </r>
  <r>
    <x v="123"/>
    <d v="2026-07-28T00:00:00"/>
    <d v="2026-07-31T00:00:00"/>
    <n v="3"/>
    <x v="0"/>
    <s v="AEROSOL NEGRO MATE"/>
    <n v="2"/>
  </r>
  <r>
    <x v="123"/>
    <d v="2026-07-28T00:00:00"/>
    <d v="2026-07-31T00:00:00"/>
    <n v="3"/>
    <x v="1"/>
    <s v="AEROSOL NEGRO BRILLANTE"/>
    <n v="2"/>
  </r>
  <r>
    <x v="123"/>
    <d v="2026-07-28T00:00:00"/>
    <d v="2026-07-31T00:00:00"/>
    <n v="3"/>
    <x v="18"/>
    <s v="ESMALTE BRILLON BLANCO"/>
    <n v="1"/>
  </r>
  <r>
    <x v="123"/>
    <d v="2026-07-28T00:00:00"/>
    <d v="2026-07-31T00:00:00"/>
    <n v="3"/>
    <x v="27"/>
    <s v="BRILLON BLANCO"/>
    <n v="1"/>
  </r>
  <r>
    <x v="123"/>
    <d v="2026-07-28T00:00:00"/>
    <d v="2026-07-31T00:00:00"/>
    <n v="3"/>
    <x v="39"/>
    <s v="BRILLON BLANCO"/>
    <n v="1"/>
  </r>
  <r>
    <x v="123"/>
    <d v="2026-07-28T00:00:00"/>
    <d v="2026-07-31T00:00:00"/>
    <n v="3"/>
    <x v="201"/>
    <s v="BRILLON DORADO"/>
    <n v="1"/>
  </r>
  <r>
    <x v="123"/>
    <d v="2026-07-28T00:00:00"/>
    <d v="2026-07-31T00:00:00"/>
    <n v="3"/>
    <x v="86"/>
    <s v="BRILLON DORADO"/>
    <n v="1"/>
  </r>
  <r>
    <x v="123"/>
    <d v="2026-07-28T00:00:00"/>
    <d v="2026-07-31T00:00:00"/>
    <n v="3"/>
    <x v="81"/>
    <s v="BRILLON DORADO"/>
    <n v="1"/>
  </r>
  <r>
    <x v="123"/>
    <d v="2026-07-28T00:00:00"/>
    <d v="2026-07-31T00:00:00"/>
    <n v="3"/>
    <x v="20"/>
    <s v="BRILLON NEGRO"/>
    <n v="1"/>
  </r>
  <r>
    <x v="123"/>
    <d v="2026-07-28T00:00:00"/>
    <d v="2026-07-31T00:00:00"/>
    <n v="3"/>
    <x v="36"/>
    <s v="BRILLON NEGRO"/>
    <n v="1"/>
  </r>
  <r>
    <x v="123"/>
    <d v="2026-07-28T00:00:00"/>
    <d v="2026-07-31T00:00:00"/>
    <n v="3"/>
    <x v="75"/>
    <s v="BRILLON NEGRO"/>
    <n v="1"/>
  </r>
  <r>
    <x v="124"/>
    <d v="2026-07-24T00:00:00"/>
    <d v="2026-07-25T00:00:00"/>
    <n v="1"/>
    <x v="252"/>
    <s v="PRIMARIO ESTRUCTURAS NEGRO"/>
    <n v="6"/>
  </r>
  <r>
    <x v="124"/>
    <d v="2026-07-24T00:00:00"/>
    <d v="2026-07-25T00:00:00"/>
    <n v="1"/>
    <x v="18"/>
    <s v="ESMALTE BRILLON BLANCO"/>
    <n v="6"/>
  </r>
  <r>
    <x v="124"/>
    <d v="2026-07-24T00:00:00"/>
    <d v="2026-07-25T00:00:00"/>
    <n v="1"/>
    <x v="20"/>
    <s v="BRILLON NEGRO"/>
    <n v="6"/>
  </r>
  <r>
    <x v="124"/>
    <d v="2026-07-24T00:00:00"/>
    <d v="2026-07-25T00:00:00"/>
    <n v="1"/>
    <x v="75"/>
    <s v="BRILLON NEGRO"/>
    <n v="12"/>
  </r>
  <r>
    <x v="124"/>
    <d v="2026-07-24T00:00:00"/>
    <d v="2026-07-25T00:00:00"/>
    <n v="1"/>
    <x v="55"/>
    <s v="RELLENADOR AUTOMOTRIZ C/CATAL. ROJO"/>
    <n v="6"/>
  </r>
  <r>
    <x v="124"/>
    <d v="2026-07-24T00:00:00"/>
    <d v="2026-08-04T00:00:00"/>
    <n v="11"/>
    <x v="253"/>
    <s v="THINNER STD MULTIUSOS PET"/>
    <n v="5"/>
  </r>
  <r>
    <x v="124"/>
    <d v="2026-07-24T00:00:00"/>
    <d v="2026-08-05T00:00:00"/>
    <n v="12"/>
    <x v="253"/>
    <s v="THINNER STD MULTIUSOS PET"/>
    <n v="-5"/>
  </r>
  <r>
    <x v="125"/>
    <d v="2026-07-28T00:00:00"/>
    <d v="2026-07-31T00:00:00"/>
    <n v="3"/>
    <x v="39"/>
    <s v="BRILLON BLANCO"/>
    <n v="6"/>
  </r>
  <r>
    <x v="125"/>
    <d v="2026-07-28T00:00:00"/>
    <d v="2026-07-31T00:00:00"/>
    <n v="3"/>
    <x v="30"/>
    <s v="BRILLON CACAO"/>
    <n v="6"/>
  </r>
  <r>
    <x v="125"/>
    <d v="2026-07-28T00:00:00"/>
    <d v="2026-07-31T00:00:00"/>
    <n v="3"/>
    <x v="81"/>
    <s v="BRILLON DORADO"/>
    <n v="6"/>
  </r>
  <r>
    <x v="125"/>
    <d v="2026-07-28T00:00:00"/>
    <d v="2026-07-31T00:00:00"/>
    <n v="3"/>
    <x v="75"/>
    <s v="BRILLON NEGRO"/>
    <n v="6"/>
  </r>
  <r>
    <x v="125"/>
    <d v="2026-07-28T00:00:00"/>
    <d v="2026-08-06T00:00:00"/>
    <n v="9"/>
    <x v="39"/>
    <s v="BRILLON BLANCO"/>
    <n v="-6"/>
  </r>
  <r>
    <x v="125"/>
    <d v="2026-07-28T00:00:00"/>
    <d v="2026-08-06T00:00:00"/>
    <n v="9"/>
    <x v="30"/>
    <s v="BRILLON CACAO"/>
    <n v="-6"/>
  </r>
  <r>
    <x v="125"/>
    <d v="2026-07-28T00:00:00"/>
    <d v="2026-08-06T00:00:00"/>
    <n v="9"/>
    <x v="81"/>
    <s v="BRILLON DORADO"/>
    <n v="-6"/>
  </r>
  <r>
    <x v="125"/>
    <d v="2026-07-28T00:00:00"/>
    <d v="2026-08-06T00:00:00"/>
    <n v="9"/>
    <x v="75"/>
    <s v="BRILLON NEGRO"/>
    <n v="-6"/>
  </r>
  <r>
    <x v="125"/>
    <d v="2026-07-28T00:00:00"/>
    <d v="2026-08-11T00:00:00"/>
    <n v="14"/>
    <x v="39"/>
    <s v="BRILLON BLANCO"/>
    <n v="6"/>
  </r>
  <r>
    <x v="125"/>
    <d v="2026-07-28T00:00:00"/>
    <d v="2026-08-11T00:00:00"/>
    <n v="14"/>
    <x v="30"/>
    <s v="BRILLON CACAO"/>
    <n v="6"/>
  </r>
  <r>
    <x v="125"/>
    <d v="2026-07-28T00:00:00"/>
    <d v="2026-08-11T00:00:00"/>
    <n v="14"/>
    <x v="81"/>
    <s v="BRILLON DORADO"/>
    <n v="6"/>
  </r>
  <r>
    <x v="125"/>
    <d v="2026-07-28T00:00:00"/>
    <d v="2026-08-11T00:00:00"/>
    <n v="14"/>
    <x v="75"/>
    <s v="BRILLON NEGRO"/>
    <n v="6"/>
  </r>
  <r>
    <x v="125"/>
    <d v="2026-07-28T00:00:00"/>
    <d v="2026-08-25T00:00:00"/>
    <n v="28"/>
    <x v="18"/>
    <s v="ESMALTE BRILLON BLANCO"/>
    <n v="3"/>
  </r>
  <r>
    <x v="125"/>
    <d v="2026-07-28T00:00:00"/>
    <d v="2026-08-25T00:00:00"/>
    <n v="28"/>
    <x v="27"/>
    <s v="BRILLON BLANCO"/>
    <n v="3"/>
  </r>
  <r>
    <x v="125"/>
    <d v="2026-07-28T00:00:00"/>
    <d v="2026-08-25T00:00:00"/>
    <n v="28"/>
    <x v="20"/>
    <s v="BRILLON NEGRO"/>
    <n v="3"/>
  </r>
  <r>
    <x v="125"/>
    <d v="2026-07-28T00:00:00"/>
    <d v="2026-08-25T00:00:00"/>
    <n v="28"/>
    <x v="36"/>
    <s v="BRILLON NEGRO"/>
    <n v="3"/>
  </r>
  <r>
    <x v="126"/>
    <d v="2026-07-29T00:00:00"/>
    <d v="2026-08-10T00:00:00"/>
    <n v="12"/>
    <x v="2"/>
    <s v="AEROSOL SUPER ORO"/>
    <n v="6"/>
  </r>
  <r>
    <x v="126"/>
    <d v="2026-07-29T00:00:00"/>
    <d v="2026-08-10T00:00:00"/>
    <n v="12"/>
    <x v="48"/>
    <s v="ESMALTE GLOSI SR BLANCO"/>
    <n v="3"/>
  </r>
  <r>
    <x v="126"/>
    <d v="2026-07-29T00:00:00"/>
    <d v="2026-08-10T00:00:00"/>
    <n v="12"/>
    <x v="150"/>
    <s v="ESMALTE GLOSI SR BLANCO"/>
    <n v="6"/>
  </r>
  <r>
    <x v="127"/>
    <d v="2026-07-29T00:00:00"/>
    <d v="2026-07-31T00:00:00"/>
    <n v="2"/>
    <x v="76"/>
    <s v="IMPERGLOSI AGUACERO BLANCO 3A"/>
    <n v="1"/>
  </r>
  <r>
    <x v="127"/>
    <d v="2026-07-29T00:00:00"/>
    <d v="2026-07-31T00:00:00"/>
    <n v="2"/>
    <x v="76"/>
    <s v="IMPERGLOSI AGUACERO BLANCO 3A"/>
    <n v="2"/>
  </r>
  <r>
    <x v="127"/>
    <d v="2026-07-29T00:00:00"/>
    <d v="2026-07-31T00:00:00"/>
    <n v="2"/>
    <x v="77"/>
    <s v="IMPERGLOSI AGUACERO TERRACOTA 3A"/>
    <n v="3"/>
  </r>
  <r>
    <x v="128"/>
    <d v="2026-08-04T00:00:00"/>
    <d v="2026-08-12T00:00:00"/>
    <n v="8"/>
    <x v="254"/>
    <s v="THINNER ESTANDAR MULTIUSOS"/>
    <n v="2"/>
  </r>
  <r>
    <x v="128"/>
    <d v="2026-08-04T00:00:00"/>
    <d v="2026-08-12T00:00:00"/>
    <n v="8"/>
    <x v="213"/>
    <s v="PARAGUAS 5 AÑOS ASFALTICO"/>
    <n v="4"/>
  </r>
  <r>
    <x v="129"/>
    <d v="2026-08-07T00:00:00"/>
    <d v="2026-08-17T00:00:00"/>
    <n v="10"/>
    <x v="42"/>
    <s v="BRILLON BLANCO MATE"/>
    <n v="3"/>
  </r>
  <r>
    <x v="129"/>
    <d v="2026-08-07T00:00:00"/>
    <d v="2026-08-17T00:00:00"/>
    <n v="10"/>
    <x v="255"/>
    <s v="BRILLON BLANCO COCO"/>
    <n v="3"/>
  </r>
  <r>
    <x v="129"/>
    <d v="2026-08-07T00:00:00"/>
    <d v="2026-08-17T00:00:00"/>
    <n v="10"/>
    <x v="34"/>
    <s v="BRILLON NEGRO MATE"/>
    <n v="3"/>
  </r>
  <r>
    <x v="129"/>
    <d v="2026-08-07T00:00:00"/>
    <d v="2026-08-17T00:00:00"/>
    <n v="10"/>
    <x v="20"/>
    <s v="BRILLON NEGRO"/>
    <n v="3"/>
  </r>
  <r>
    <x v="130"/>
    <d v="2026-08-14T00:00:00"/>
    <d v="2026-08-24T00:00:00"/>
    <n v="10"/>
    <x v="3"/>
    <s v="AEROSOL BLANCO BRILLANTE"/>
    <n v="6"/>
  </r>
  <r>
    <x v="130"/>
    <d v="2026-08-14T00:00:00"/>
    <d v="2026-08-24T00:00:00"/>
    <n v="10"/>
    <x v="4"/>
    <s v="AEROSOL BLANCO MATE"/>
    <n v="6"/>
  </r>
  <r>
    <x v="130"/>
    <d v="2026-08-14T00:00:00"/>
    <d v="2026-08-24T00:00:00"/>
    <n v="10"/>
    <x v="7"/>
    <s v="AEROSOL ROJO"/>
    <n v="6"/>
  </r>
  <r>
    <x v="130"/>
    <d v="2026-08-14T00:00:00"/>
    <d v="2026-08-24T00:00:00"/>
    <n v="10"/>
    <x v="182"/>
    <s v="AEROSOL AZUL CLARO"/>
    <n v="6"/>
  </r>
  <r>
    <x v="130"/>
    <d v="2026-08-14T00:00:00"/>
    <d v="2026-08-24T00:00:00"/>
    <n v="10"/>
    <x v="0"/>
    <s v="AEROSOL NEGRO MATE"/>
    <n v="6"/>
  </r>
  <r>
    <x v="130"/>
    <d v="2026-08-14T00:00:00"/>
    <d v="2026-08-24T00:00:00"/>
    <n v="10"/>
    <x v="1"/>
    <s v="AEROSOL NEGRO BRILLANTE"/>
    <n v="6"/>
  </r>
  <r>
    <x v="130"/>
    <d v="2026-08-14T00:00:00"/>
    <d v="2026-08-24T00:00:00"/>
    <n v="10"/>
    <x v="44"/>
    <s v="ESMALTE BRILLON BLANCO."/>
    <n v="2"/>
  </r>
  <r>
    <x v="130"/>
    <d v="2026-08-14T00:00:00"/>
    <d v="2026-08-24T00:00:00"/>
    <n v="10"/>
    <x v="18"/>
    <s v="ESMALTE BRILLON BLANCO"/>
    <n v="6"/>
  </r>
  <r>
    <x v="130"/>
    <d v="2026-08-14T00:00:00"/>
    <d v="2026-08-24T00:00:00"/>
    <n v="10"/>
    <x v="39"/>
    <s v="BRILLON BLANCO"/>
    <n v="12"/>
  </r>
  <r>
    <x v="130"/>
    <d v="2026-08-14T00:00:00"/>
    <d v="2026-08-24T00:00:00"/>
    <n v="10"/>
    <x v="34"/>
    <s v="BRILLON NEGRO MATE"/>
    <n v="6"/>
  </r>
  <r>
    <x v="130"/>
    <d v="2026-08-14T00:00:00"/>
    <d v="2026-08-24T00:00:00"/>
    <n v="10"/>
    <x v="35"/>
    <s v="BRILLON NEGRO"/>
    <n v="2"/>
  </r>
  <r>
    <x v="130"/>
    <d v="2026-08-14T00:00:00"/>
    <d v="2026-08-24T00:00:00"/>
    <n v="10"/>
    <x v="20"/>
    <s v="BRILLON NEGRO"/>
    <n v="6"/>
  </r>
  <r>
    <x v="130"/>
    <d v="2026-08-14T00:00:00"/>
    <d v="2026-08-24T00:00:00"/>
    <n v="10"/>
    <x v="75"/>
    <s v="BRILLON NEGRO"/>
    <n v="12"/>
  </r>
  <r>
    <x v="130"/>
    <d v="2026-08-14T00:00:00"/>
    <d v="2026-08-24T00:00:00"/>
    <n v="10"/>
    <x v="254"/>
    <s v="THINNER ESTANDAR MULTIUSOS"/>
    <n v="1"/>
  </r>
  <r>
    <x v="130"/>
    <d v="2026-08-14T00:00:00"/>
    <d v="2026-08-24T00:00:00"/>
    <n v="10"/>
    <x v="76"/>
    <s v="IMPERGLOSI AGUACERO BLANCO 3A"/>
    <n v="2"/>
  </r>
  <r>
    <x v="130"/>
    <d v="2026-08-14T00:00:00"/>
    <d v="2026-08-24T00:00:00"/>
    <n v="10"/>
    <x v="21"/>
    <s v="IMPERGLOSI AGUACERO BLANCO 3A"/>
    <n v="2"/>
  </r>
  <r>
    <x v="130"/>
    <d v="2026-08-14T00:00:00"/>
    <d v="2026-08-24T00:00:00"/>
    <n v="10"/>
    <x v="77"/>
    <s v="IMPERGLOSI AGUACERO TERRACOTA 3A"/>
    <n v="2"/>
  </r>
  <r>
    <x v="130"/>
    <d v="2026-08-14T00:00:00"/>
    <d v="2026-08-24T00:00:00"/>
    <n v="10"/>
    <x v="22"/>
    <s v="IMPERGLOSI AGUACERO TERRACOTA 3A"/>
    <n v="2"/>
  </r>
  <r>
    <x v="130"/>
    <d v="2026-08-14T00:00:00"/>
    <d v="2026-08-24T00:00:00"/>
    <n v="10"/>
    <x v="210"/>
    <s v="ESTRUCTURAS ROJO OXIDO"/>
    <n v="6"/>
  </r>
  <r>
    <x v="130"/>
    <d v="2026-08-14T00:00:00"/>
    <d v="2026-08-24T00:00:00"/>
    <n v="10"/>
    <x v="144"/>
    <s v="PRIMARIO GLOSI ESTRUCTURAS GRIS"/>
    <n v="6"/>
  </r>
  <r>
    <x v="130"/>
    <d v="2026-08-14T00:00:00"/>
    <d v="2026-08-24T00:00:00"/>
    <n v="10"/>
    <x v="191"/>
    <s v="VINILICA GLOSI BLANCO ULTRA"/>
    <n v="2"/>
  </r>
  <r>
    <x v="130"/>
    <d v="2026-08-14T00:00:00"/>
    <d v="2026-08-24T00:00:00"/>
    <n v="10"/>
    <x v="154"/>
    <s v="VINILICA GLOSI BLANCO ULTRA"/>
    <n v="2"/>
  </r>
  <r>
    <x v="130"/>
    <d v="2026-08-14T00:00:00"/>
    <d v="2026-08-24T00:00:00"/>
    <n v="10"/>
    <x v="164"/>
    <s v="VINILICA GLOSI BLANCO ULTRA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ADE0E2-1229-453E-BDDC-356882ADAF9E}" name="TablaDiná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:EC261" firstHeaderRow="1" firstDataRow="2" firstDataCol="1"/>
  <pivotFields count="7">
    <pivotField axis="axisCol" compact="0" outline="0" showAll="0">
      <items count="1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  <pivotField compact="0" numFmtId="164" outline="0" showAll="0"/>
    <pivotField compact="0" numFmtId="164" outline="0" showAll="0"/>
    <pivotField compact="0" outline="0" showAll="0"/>
    <pivotField axis="axisRow" compact="0" outline="0" showAll="0" sortType="descending">
      <items count="257">
        <item x="190"/>
        <item x="141"/>
        <item x="203"/>
        <item x="204"/>
        <item x="205"/>
        <item x="134"/>
        <item x="252"/>
        <item x="125"/>
        <item x="194"/>
        <item x="171"/>
        <item x="172"/>
        <item x="173"/>
        <item x="244"/>
        <item x="250"/>
        <item x="174"/>
        <item x="126"/>
        <item x="127"/>
        <item x="251"/>
        <item x="175"/>
        <item x="176"/>
        <item x="245"/>
        <item x="138"/>
        <item x="128"/>
        <item x="136"/>
        <item x="129"/>
        <item x="137"/>
        <item x="3"/>
        <item x="4"/>
        <item x="88"/>
        <item x="169"/>
        <item x="239"/>
        <item x="179"/>
        <item x="5"/>
        <item x="6"/>
        <item x="7"/>
        <item x="110"/>
        <item x="182"/>
        <item x="90"/>
        <item x="237"/>
        <item x="91"/>
        <item x="170"/>
        <item x="139"/>
        <item x="92"/>
        <item x="8"/>
        <item x="26"/>
        <item x="53"/>
        <item x="9"/>
        <item x="0"/>
        <item x="1"/>
        <item x="2"/>
        <item x="10"/>
        <item x="11"/>
        <item x="116"/>
        <item x="121"/>
        <item x="123"/>
        <item x="122"/>
        <item x="43"/>
        <item x="44"/>
        <item x="18"/>
        <item x="27"/>
        <item x="39"/>
        <item x="42"/>
        <item x="149"/>
        <item x="225"/>
        <item x="255"/>
        <item x="135"/>
        <item x="109"/>
        <item x="226"/>
        <item x="183"/>
        <item x="28"/>
        <item x="95"/>
        <item x="80"/>
        <item x="51"/>
        <item x="184"/>
        <item x="185"/>
        <item x="227"/>
        <item x="228"/>
        <item x="45"/>
        <item x="29"/>
        <item x="162"/>
        <item x="229"/>
        <item x="230"/>
        <item x="180"/>
        <item x="52"/>
        <item x="40"/>
        <item x="19"/>
        <item x="57"/>
        <item x="30"/>
        <item x="160"/>
        <item x="231"/>
        <item x="232"/>
        <item x="199"/>
        <item x="224"/>
        <item x="31"/>
        <item x="161"/>
        <item x="223"/>
        <item x="186"/>
        <item x="233"/>
        <item x="234"/>
        <item x="99"/>
        <item x="181"/>
        <item x="120"/>
        <item x="59"/>
        <item x="246"/>
        <item x="247"/>
        <item x="119"/>
        <item x="107"/>
        <item x="201"/>
        <item x="86"/>
        <item x="81"/>
        <item x="235"/>
        <item x="32"/>
        <item x="58"/>
        <item x="163"/>
        <item x="118"/>
        <item x="33"/>
        <item x="34"/>
        <item x="82"/>
        <item x="236"/>
        <item x="35"/>
        <item x="20"/>
        <item x="36"/>
        <item x="75"/>
        <item x="238"/>
        <item x="37"/>
        <item x="50"/>
        <item x="55"/>
        <item x="56"/>
        <item x="89"/>
        <item x="178"/>
        <item x="103"/>
        <item x="104"/>
        <item x="54"/>
        <item x="74"/>
        <item x="71"/>
        <item x="72"/>
        <item x="87"/>
        <item x="73"/>
        <item x="12"/>
        <item x="13"/>
        <item x="248"/>
        <item x="249"/>
        <item x="130"/>
        <item x="131"/>
        <item x="62"/>
        <item x="65"/>
        <item x="66"/>
        <item x="167"/>
        <item x="168"/>
        <item x="254"/>
        <item x="253"/>
        <item x="202"/>
        <item x="206"/>
        <item x="213"/>
        <item x="212"/>
        <item x="153"/>
        <item x="207"/>
        <item x="124"/>
        <item x="145"/>
        <item x="49"/>
        <item x="140"/>
        <item x="143"/>
        <item x="93"/>
        <item x="200"/>
        <item x="96"/>
        <item x="69"/>
        <item x="208"/>
        <item x="97"/>
        <item x="60"/>
        <item x="187"/>
        <item x="165"/>
        <item x="61"/>
        <item x="133"/>
        <item x="222"/>
        <item x="221"/>
        <item x="105"/>
        <item x="117"/>
        <item x="147"/>
        <item x="113"/>
        <item x="215"/>
        <item x="148"/>
        <item x="216"/>
        <item x="217"/>
        <item x="218"/>
        <item x="219"/>
        <item x="220"/>
        <item x="76"/>
        <item x="21"/>
        <item x="77"/>
        <item x="22"/>
        <item x="78"/>
        <item x="112"/>
        <item x="79"/>
        <item x="23"/>
        <item x="214"/>
        <item x="209"/>
        <item x="210"/>
        <item x="106"/>
        <item x="211"/>
        <item x="144"/>
        <item x="132"/>
        <item x="46"/>
        <item x="67"/>
        <item x="48"/>
        <item x="14"/>
        <item x="150"/>
        <item x="197"/>
        <item x="142"/>
        <item x="198"/>
        <item x="15"/>
        <item x="38"/>
        <item x="151"/>
        <item x="41"/>
        <item x="47"/>
        <item x="85"/>
        <item x="16"/>
        <item x="83"/>
        <item x="152"/>
        <item x="98"/>
        <item x="24"/>
        <item x="84"/>
        <item x="195"/>
        <item x="196"/>
        <item x="193"/>
        <item x="100"/>
        <item x="192"/>
        <item x="156"/>
        <item x="146"/>
        <item x="94"/>
        <item x="157"/>
        <item x="158"/>
        <item x="159"/>
        <item x="111"/>
        <item x="17"/>
        <item x="25"/>
        <item x="191"/>
        <item x="154"/>
        <item x="164"/>
        <item x="101"/>
        <item x="188"/>
        <item x="108"/>
        <item x="115"/>
        <item x="63"/>
        <item x="240"/>
        <item x="166"/>
        <item x="241"/>
        <item x="242"/>
        <item x="177"/>
        <item x="102"/>
        <item x="114"/>
        <item x="155"/>
        <item x="243"/>
        <item x="64"/>
        <item x="68"/>
        <item x="189"/>
        <item x="7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</pivotFields>
  <rowFields count="1">
    <field x="4"/>
  </rowFields>
  <rowItems count="257">
    <i>
      <x v="146"/>
    </i>
    <i>
      <x v="161"/>
    </i>
    <i>
      <x v="160"/>
    </i>
    <i>
      <x v="148"/>
    </i>
    <i>
      <x v="207"/>
    </i>
    <i>
      <x v="13"/>
    </i>
    <i>
      <x v="38"/>
    </i>
    <i>
      <x v="73"/>
    </i>
    <i>
      <x v="19"/>
    </i>
    <i>
      <x v="68"/>
    </i>
    <i>
      <x v="74"/>
    </i>
    <i>
      <x v="93"/>
    </i>
    <i>
      <x v="124"/>
    </i>
    <i>
      <x v="96"/>
    </i>
    <i>
      <x v="18"/>
    </i>
    <i>
      <x v="113"/>
    </i>
    <i>
      <x v="216"/>
    </i>
    <i>
      <x v="205"/>
    </i>
    <i>
      <x v="191"/>
    </i>
    <i>
      <x v="192"/>
    </i>
    <i>
      <x v="26"/>
    </i>
    <i>
      <x v="125"/>
    </i>
    <i>
      <x v="48"/>
    </i>
    <i>
      <x v="41"/>
    </i>
    <i>
      <x v="99"/>
    </i>
    <i>
      <x v="147"/>
    </i>
    <i>
      <x v="5"/>
    </i>
    <i>
      <x v="67"/>
    </i>
    <i>
      <x v="103"/>
    </i>
    <i>
      <x v="6"/>
    </i>
    <i>
      <x v="141"/>
    </i>
    <i>
      <x v="70"/>
    </i>
    <i>
      <x v="17"/>
    </i>
    <i>
      <x v="10"/>
    </i>
    <i>
      <x v="98"/>
    </i>
    <i>
      <x v="40"/>
    </i>
    <i>
      <x v="100"/>
    </i>
    <i>
      <x v="217"/>
    </i>
    <i>
      <x v="31"/>
    </i>
    <i>
      <x v="35"/>
    </i>
    <i>
      <x v="128"/>
    </i>
    <i>
      <x v="79"/>
    </i>
    <i>
      <x v="129"/>
    </i>
    <i>
      <x v="28"/>
    </i>
    <i>
      <x v="11"/>
    </i>
    <i>
      <x v="29"/>
    </i>
    <i>
      <x v="2"/>
    </i>
    <i>
      <x v="4"/>
    </i>
    <i>
      <x v="36"/>
    </i>
    <i>
      <x v="211"/>
    </i>
    <i>
      <x v="30"/>
    </i>
    <i>
      <x v="81"/>
    </i>
    <i>
      <x v="206"/>
    </i>
    <i>
      <x v="82"/>
    </i>
    <i>
      <x v="208"/>
    </i>
    <i>
      <x v="90"/>
    </i>
    <i>
      <x v="25"/>
    </i>
    <i>
      <x v="24"/>
    </i>
    <i>
      <x v="76"/>
    </i>
    <i>
      <x v="104"/>
    </i>
    <i>
      <x v="49"/>
    </i>
    <i>
      <x v="50"/>
    </i>
    <i>
      <x v="46"/>
    </i>
    <i>
      <x v="87"/>
    </i>
    <i>
      <x v="47"/>
    </i>
    <i>
      <x v="118"/>
    </i>
    <i>
      <x v="44"/>
    </i>
    <i>
      <x v="60"/>
    </i>
    <i>
      <x v="122"/>
    </i>
    <i>
      <x v="190"/>
    </i>
    <i>
      <x v="126"/>
    </i>
    <i>
      <x v="165"/>
    </i>
    <i>
      <x v="27"/>
    </i>
    <i>
      <x v="214"/>
    </i>
    <i>
      <x v="219"/>
    </i>
    <i>
      <x v="83"/>
    </i>
    <i>
      <x v="34"/>
    </i>
    <i>
      <x v="111"/>
    </i>
    <i>
      <x v="77"/>
    </i>
    <i>
      <x v="159"/>
    </i>
    <i>
      <x v="102"/>
    </i>
    <i>
      <x v="51"/>
    </i>
    <i>
      <x v="117"/>
    </i>
    <i>
      <x v="234"/>
    </i>
    <i>
      <x v="71"/>
    </i>
    <i>
      <x v="45"/>
    </i>
    <i>
      <x v="223"/>
    </i>
    <i>
      <x v="33"/>
    </i>
    <i>
      <x v="32"/>
    </i>
    <i>
      <x v="247"/>
    </i>
    <i>
      <x v="220"/>
    </i>
    <i>
      <x v="255"/>
    </i>
    <i>
      <x v="62"/>
    </i>
    <i>
      <x v="85"/>
    </i>
    <i>
      <x v="203"/>
    </i>
    <i>
      <x v="204"/>
    </i>
    <i>
      <x v="121"/>
    </i>
    <i>
      <x v="58"/>
    </i>
    <i>
      <x v="109"/>
    </i>
    <i>
      <x v="188"/>
    </i>
    <i>
      <x v="78"/>
    </i>
    <i>
      <x v="14"/>
    </i>
    <i>
      <x v="143"/>
    </i>
    <i>
      <x v="112"/>
    </i>
    <i>
      <x v="63"/>
    </i>
    <i>
      <x v="1"/>
    </i>
    <i>
      <x v="145"/>
    </i>
    <i>
      <x v="72"/>
    </i>
    <i>
      <x v="134"/>
    </i>
    <i>
      <x v="120"/>
    </i>
    <i>
      <x v="237"/>
    </i>
    <i>
      <x v="233"/>
    </i>
    <i>
      <x v="101"/>
    </i>
    <i>
      <x v="61"/>
    </i>
    <i>
      <x v="59"/>
    </i>
    <i>
      <x v="215"/>
    </i>
    <i>
      <x v="139"/>
    </i>
    <i>
      <x v="193"/>
    </i>
    <i>
      <x v="86"/>
    </i>
    <i>
      <x v="116"/>
    </i>
    <i>
      <x v="43"/>
    </i>
    <i>
      <x v="138"/>
    </i>
    <i>
      <x v="222"/>
    </i>
    <i>
      <x v="186"/>
    </i>
    <i>
      <x v="168"/>
    </i>
    <i>
      <x v="241"/>
    </i>
    <i>
      <x v="213"/>
    </i>
    <i>
      <x v="107"/>
    </i>
    <i>
      <x v="189"/>
    </i>
    <i>
      <x v="89"/>
    </i>
    <i>
      <x v="166"/>
    </i>
    <i>
      <x v="91"/>
    </i>
    <i>
      <x v="209"/>
    </i>
    <i>
      <x v="64"/>
    </i>
    <i>
      <x v="239"/>
    </i>
    <i>
      <x v="3"/>
    </i>
    <i>
      <x v="115"/>
    </i>
    <i>
      <x v="92"/>
    </i>
    <i>
      <x v="169"/>
    </i>
    <i>
      <x v="16"/>
    </i>
    <i>
      <x v="144"/>
    </i>
    <i>
      <x v="97"/>
    </i>
    <i>
      <x v="88"/>
    </i>
    <i>
      <x v="199"/>
    </i>
    <i>
      <x v="95"/>
    </i>
    <i>
      <x v="200"/>
    </i>
    <i>
      <x v="163"/>
    </i>
    <i>
      <x v="75"/>
    </i>
    <i>
      <x v="80"/>
    </i>
    <i>
      <x v="196"/>
    </i>
    <i>
      <x v="135"/>
    </i>
    <i>
      <x v="142"/>
    </i>
    <i>
      <x v="187"/>
    </i>
    <i>
      <x v="153"/>
    </i>
    <i>
      <x v="57"/>
    </i>
    <i>
      <x v="236"/>
    </i>
    <i>
      <x v="65"/>
    </i>
    <i>
      <x v="119"/>
    </i>
    <i>
      <x v="167"/>
    </i>
    <i>
      <x v="171"/>
    </i>
    <i>
      <x v="170"/>
    </i>
    <i>
      <x v="221"/>
    </i>
    <i>
      <x v="21"/>
    </i>
    <i>
      <x v="9"/>
    </i>
    <i>
      <x v="20"/>
    </i>
    <i>
      <x v="7"/>
    </i>
    <i>
      <x v="137"/>
    </i>
    <i>
      <x v="140"/>
    </i>
    <i>
      <x v="244"/>
    </i>
    <i>
      <x v="246"/>
    </i>
    <i>
      <x v="106"/>
    </i>
    <i>
      <x v="12"/>
    </i>
    <i>
      <x v="123"/>
    </i>
    <i>
      <x v="254"/>
    </i>
    <i>
      <x v="23"/>
    </i>
    <i>
      <x v="154"/>
    </i>
    <i>
      <x v="39"/>
    </i>
    <i>
      <x v="173"/>
    </i>
    <i>
      <x v="133"/>
    </i>
    <i>
      <x v="108"/>
    </i>
    <i>
      <x v="251"/>
    </i>
    <i>
      <x v="69"/>
    </i>
    <i>
      <x v="84"/>
    </i>
    <i>
      <x v="218"/>
    </i>
    <i>
      <x v="235"/>
    </i>
    <i>
      <x v="66"/>
    </i>
    <i>
      <x v="202"/>
    </i>
    <i>
      <x v="127"/>
    </i>
    <i>
      <x v="132"/>
    </i>
    <i>
      <x v="248"/>
    </i>
    <i>
      <x v="164"/>
    </i>
    <i>
      <x v="149"/>
    </i>
    <i>
      <x v="181"/>
    </i>
    <i>
      <x v="156"/>
    </i>
    <i>
      <x v="249"/>
    </i>
    <i>
      <x v="210"/>
    </i>
    <i>
      <x v="201"/>
    </i>
    <i>
      <x v="238"/>
    </i>
    <i>
      <x v="232"/>
    </i>
    <i>
      <x v="155"/>
    </i>
    <i>
      <x v="242"/>
    </i>
    <i>
      <x v="114"/>
    </i>
    <i>
      <x v="225"/>
    </i>
    <i>
      <x v="157"/>
    </i>
    <i>
      <x v="178"/>
    </i>
    <i>
      <x v="151"/>
    </i>
    <i>
      <x v="240"/>
    </i>
    <i>
      <x v="15"/>
    </i>
    <i>
      <x v="184"/>
    </i>
    <i>
      <x/>
    </i>
    <i>
      <x v="22"/>
    </i>
    <i>
      <x v="174"/>
    </i>
    <i>
      <x v="212"/>
    </i>
    <i>
      <x v="227"/>
    </i>
    <i>
      <x v="194"/>
    </i>
    <i>
      <x v="177"/>
    </i>
    <i>
      <x v="53"/>
    </i>
    <i>
      <x v="179"/>
    </i>
    <i>
      <x v="105"/>
    </i>
    <i>
      <x v="180"/>
    </i>
    <i>
      <x v="195"/>
    </i>
    <i>
      <x v="152"/>
    </i>
    <i>
      <x v="250"/>
    </i>
    <i>
      <x v="182"/>
    </i>
    <i>
      <x v="252"/>
    </i>
    <i>
      <x v="198"/>
    </i>
    <i>
      <x v="56"/>
    </i>
    <i>
      <x v="94"/>
    </i>
    <i>
      <x v="185"/>
    </i>
    <i>
      <x v="54"/>
    </i>
    <i>
      <x v="253"/>
    </i>
    <i>
      <x v="55"/>
    </i>
    <i>
      <x v="110"/>
    </i>
    <i>
      <x v="224"/>
    </i>
    <i>
      <x v="176"/>
    </i>
    <i>
      <x v="158"/>
    </i>
    <i>
      <x v="52"/>
    </i>
    <i>
      <x v="130"/>
    </i>
    <i>
      <x v="231"/>
    </i>
    <i>
      <x v="229"/>
    </i>
    <i>
      <x v="183"/>
    </i>
    <i>
      <x v="150"/>
    </i>
    <i>
      <x v="230"/>
    </i>
    <i>
      <x v="162"/>
    </i>
    <i>
      <x v="226"/>
    </i>
    <i>
      <x v="42"/>
    </i>
    <i>
      <x v="243"/>
    </i>
    <i>
      <x v="136"/>
    </i>
    <i>
      <x v="228"/>
    </i>
    <i>
      <x v="37"/>
    </i>
    <i>
      <x v="245"/>
    </i>
    <i>
      <x v="172"/>
    </i>
    <i>
      <x v="197"/>
    </i>
    <i>
      <x v="175"/>
    </i>
    <i>
      <x v="8"/>
    </i>
    <i>
      <x v="131"/>
    </i>
    <i t="grand">
      <x/>
    </i>
  </rowItems>
  <colFields count="1">
    <field x="0"/>
  </colFields>
  <colItems count="1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 t="grand">
      <x/>
    </i>
  </colItems>
  <dataFields count="1">
    <dataField name="Promedio de PIEZAS" fld="6" subtotal="average" baseField="4" baseItem="18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78"/>
  <sheetViews>
    <sheetView topLeftCell="A1256" workbookViewId="0">
      <selection activeCell="A2" sqref="A2:A1278"/>
    </sheetView>
  </sheetViews>
  <sheetFormatPr baseColWidth="10" defaultColWidth="8.7265625" defaultRowHeight="14.5" x14ac:dyDescent="0.35"/>
  <cols>
    <col min="1" max="1" width="11.1796875" customWidth="1"/>
    <col min="2" max="3" width="17.7265625" bestFit="1" customWidth="1"/>
    <col min="5" max="5" width="10" bestFit="1" customWidth="1"/>
    <col min="6" max="6" width="43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1001423</v>
      </c>
      <c r="B2" s="2">
        <v>46024</v>
      </c>
      <c r="C2" s="2">
        <v>46028</v>
      </c>
      <c r="D2">
        <v>4</v>
      </c>
      <c r="E2" t="s">
        <v>7</v>
      </c>
      <c r="F2" t="s">
        <v>8</v>
      </c>
      <c r="G2">
        <v>6</v>
      </c>
    </row>
    <row r="3" spans="1:7" x14ac:dyDescent="0.35">
      <c r="A3">
        <v>1001423</v>
      </c>
      <c r="B3" s="2">
        <v>46024</v>
      </c>
      <c r="C3" s="2">
        <v>46031</v>
      </c>
      <c r="D3">
        <v>7</v>
      </c>
      <c r="E3" t="s">
        <v>9</v>
      </c>
      <c r="F3" t="s">
        <v>10</v>
      </c>
      <c r="G3">
        <v>12</v>
      </c>
    </row>
    <row r="4" spans="1:7" x14ac:dyDescent="0.35">
      <c r="A4">
        <v>1001423</v>
      </c>
      <c r="B4" s="2">
        <v>46024</v>
      </c>
      <c r="C4" s="2">
        <v>46041</v>
      </c>
      <c r="D4">
        <v>17</v>
      </c>
      <c r="E4" t="s">
        <v>11</v>
      </c>
      <c r="F4" t="s">
        <v>12</v>
      </c>
      <c r="G4">
        <v>6</v>
      </c>
    </row>
    <row r="5" spans="1:7" x14ac:dyDescent="0.35">
      <c r="A5">
        <v>1001423</v>
      </c>
      <c r="B5" s="2">
        <v>46024</v>
      </c>
      <c r="C5" s="2">
        <v>46051</v>
      </c>
      <c r="D5">
        <v>27</v>
      </c>
      <c r="E5" t="s">
        <v>13</v>
      </c>
      <c r="F5" t="s">
        <v>14</v>
      </c>
      <c r="G5">
        <v>3</v>
      </c>
    </row>
    <row r="6" spans="1:7" x14ac:dyDescent="0.35">
      <c r="A6">
        <v>1001423</v>
      </c>
      <c r="B6" s="2">
        <v>46024</v>
      </c>
      <c r="C6" s="2">
        <v>46051</v>
      </c>
      <c r="D6">
        <v>27</v>
      </c>
      <c r="E6" t="s">
        <v>15</v>
      </c>
      <c r="F6" t="s">
        <v>16</v>
      </c>
      <c r="G6">
        <v>6</v>
      </c>
    </row>
    <row r="7" spans="1:7" x14ac:dyDescent="0.35">
      <c r="A7">
        <v>1001423</v>
      </c>
      <c r="B7" s="2">
        <v>46024</v>
      </c>
      <c r="C7" s="2">
        <v>46051</v>
      </c>
      <c r="D7">
        <v>27</v>
      </c>
      <c r="E7" t="s">
        <v>17</v>
      </c>
      <c r="F7" t="s">
        <v>18</v>
      </c>
      <c r="G7">
        <v>3</v>
      </c>
    </row>
    <row r="8" spans="1:7" x14ac:dyDescent="0.35">
      <c r="A8">
        <v>1001423</v>
      </c>
      <c r="B8" s="2">
        <v>46024</v>
      </c>
      <c r="C8" s="2">
        <v>46051</v>
      </c>
      <c r="D8">
        <v>27</v>
      </c>
      <c r="E8" t="s">
        <v>19</v>
      </c>
      <c r="F8" t="s">
        <v>20</v>
      </c>
      <c r="G8">
        <v>3</v>
      </c>
    </row>
    <row r="9" spans="1:7" x14ac:dyDescent="0.35">
      <c r="A9">
        <v>1001423</v>
      </c>
      <c r="B9" s="2">
        <v>46024</v>
      </c>
      <c r="C9" s="2">
        <v>46051</v>
      </c>
      <c r="D9">
        <v>27</v>
      </c>
      <c r="E9" t="s">
        <v>21</v>
      </c>
      <c r="F9" t="s">
        <v>22</v>
      </c>
      <c r="G9">
        <v>3</v>
      </c>
    </row>
    <row r="10" spans="1:7" x14ac:dyDescent="0.35">
      <c r="A10">
        <v>1001423</v>
      </c>
      <c r="B10" s="2">
        <v>46024</v>
      </c>
      <c r="C10" s="2">
        <v>46051</v>
      </c>
      <c r="D10">
        <v>27</v>
      </c>
      <c r="E10" t="s">
        <v>23</v>
      </c>
      <c r="F10" t="s">
        <v>24</v>
      </c>
      <c r="G10">
        <v>3</v>
      </c>
    </row>
    <row r="11" spans="1:7" x14ac:dyDescent="0.35">
      <c r="A11">
        <v>1001423</v>
      </c>
      <c r="B11" s="2">
        <v>46024</v>
      </c>
      <c r="C11" s="2">
        <v>46051</v>
      </c>
      <c r="D11">
        <v>27</v>
      </c>
      <c r="E11" t="s">
        <v>25</v>
      </c>
      <c r="F11" t="s">
        <v>26</v>
      </c>
      <c r="G11">
        <v>3</v>
      </c>
    </row>
    <row r="12" spans="1:7" x14ac:dyDescent="0.35">
      <c r="A12">
        <v>1001423</v>
      </c>
      <c r="B12" s="2">
        <v>46024</v>
      </c>
      <c r="C12" s="2">
        <v>46051</v>
      </c>
      <c r="D12">
        <v>27</v>
      </c>
      <c r="E12" t="s">
        <v>7</v>
      </c>
      <c r="F12" t="s">
        <v>8</v>
      </c>
      <c r="G12">
        <v>6</v>
      </c>
    </row>
    <row r="13" spans="1:7" x14ac:dyDescent="0.35">
      <c r="A13">
        <v>1001423</v>
      </c>
      <c r="B13" s="2">
        <v>46024</v>
      </c>
      <c r="C13" s="2">
        <v>46051</v>
      </c>
      <c r="D13">
        <v>27</v>
      </c>
      <c r="E13" t="s">
        <v>27</v>
      </c>
      <c r="F13" t="s">
        <v>28</v>
      </c>
      <c r="G13">
        <v>3</v>
      </c>
    </row>
    <row r="14" spans="1:7" x14ac:dyDescent="0.35">
      <c r="A14">
        <v>1001423</v>
      </c>
      <c r="B14" s="2">
        <v>46024</v>
      </c>
      <c r="C14" s="2">
        <v>46051</v>
      </c>
      <c r="D14">
        <v>27</v>
      </c>
      <c r="E14" t="s">
        <v>29</v>
      </c>
      <c r="F14" t="s">
        <v>30</v>
      </c>
      <c r="G14">
        <v>3</v>
      </c>
    </row>
    <row r="15" spans="1:7" x14ac:dyDescent="0.35">
      <c r="A15">
        <v>1001441</v>
      </c>
      <c r="B15" s="2">
        <v>46027</v>
      </c>
      <c r="C15" s="2">
        <v>46045</v>
      </c>
      <c r="D15">
        <v>18</v>
      </c>
      <c r="E15" t="s">
        <v>11</v>
      </c>
      <c r="F15" t="s">
        <v>12</v>
      </c>
      <c r="G15">
        <v>6</v>
      </c>
    </row>
    <row r="16" spans="1:7" x14ac:dyDescent="0.35">
      <c r="A16">
        <v>1001441</v>
      </c>
      <c r="B16" s="2">
        <v>46027</v>
      </c>
      <c r="C16" s="2">
        <v>46045</v>
      </c>
      <c r="D16">
        <v>18</v>
      </c>
      <c r="E16" t="s">
        <v>27</v>
      </c>
      <c r="F16" t="s">
        <v>28</v>
      </c>
      <c r="G16">
        <v>6</v>
      </c>
    </row>
    <row r="17" spans="1:7" x14ac:dyDescent="0.35">
      <c r="A17">
        <v>1001441</v>
      </c>
      <c r="B17" s="2">
        <v>46027</v>
      </c>
      <c r="C17" s="2">
        <v>46045</v>
      </c>
      <c r="D17">
        <v>18</v>
      </c>
      <c r="E17" t="s">
        <v>29</v>
      </c>
      <c r="F17" t="s">
        <v>30</v>
      </c>
      <c r="G17">
        <v>6</v>
      </c>
    </row>
    <row r="18" spans="1:7" x14ac:dyDescent="0.35">
      <c r="A18">
        <v>1001441</v>
      </c>
      <c r="B18" s="2">
        <v>46027</v>
      </c>
      <c r="C18" s="2">
        <v>46045</v>
      </c>
      <c r="D18">
        <v>18</v>
      </c>
      <c r="E18" t="s">
        <v>31</v>
      </c>
      <c r="F18" t="s">
        <v>32</v>
      </c>
      <c r="G18">
        <v>3</v>
      </c>
    </row>
    <row r="19" spans="1:7" x14ac:dyDescent="0.35">
      <c r="A19">
        <v>1001441</v>
      </c>
      <c r="B19" s="2">
        <v>46027</v>
      </c>
      <c r="C19" s="2">
        <v>46045</v>
      </c>
      <c r="D19">
        <v>18</v>
      </c>
      <c r="E19" t="s">
        <v>33</v>
      </c>
      <c r="F19" t="s">
        <v>32</v>
      </c>
      <c r="G19">
        <v>3</v>
      </c>
    </row>
    <row r="20" spans="1:7" x14ac:dyDescent="0.35">
      <c r="A20">
        <v>1001441</v>
      </c>
      <c r="B20" s="2">
        <v>46027</v>
      </c>
      <c r="C20" s="2">
        <v>46045</v>
      </c>
      <c r="D20">
        <v>18</v>
      </c>
      <c r="E20" t="s">
        <v>34</v>
      </c>
      <c r="F20" t="s">
        <v>35</v>
      </c>
      <c r="G20">
        <v>3</v>
      </c>
    </row>
    <row r="21" spans="1:7" x14ac:dyDescent="0.35">
      <c r="A21">
        <v>1001441</v>
      </c>
      <c r="B21" s="2">
        <v>46027</v>
      </c>
      <c r="C21" s="2">
        <v>46045</v>
      </c>
      <c r="D21">
        <v>18</v>
      </c>
      <c r="E21" t="s">
        <v>36</v>
      </c>
      <c r="F21" t="s">
        <v>37</v>
      </c>
      <c r="G21">
        <v>3</v>
      </c>
    </row>
    <row r="22" spans="1:7" x14ac:dyDescent="0.35">
      <c r="A22">
        <v>1001441</v>
      </c>
      <c r="B22" s="2">
        <v>46027</v>
      </c>
      <c r="C22" s="2">
        <v>46045</v>
      </c>
      <c r="D22">
        <v>18</v>
      </c>
      <c r="E22" t="s">
        <v>38</v>
      </c>
      <c r="F22" t="s">
        <v>39</v>
      </c>
      <c r="G22">
        <v>3</v>
      </c>
    </row>
    <row r="23" spans="1:7" x14ac:dyDescent="0.35">
      <c r="A23">
        <v>1001441</v>
      </c>
      <c r="B23" s="2">
        <v>46027</v>
      </c>
      <c r="C23" s="2">
        <v>46045</v>
      </c>
      <c r="D23">
        <v>18</v>
      </c>
      <c r="E23" t="s">
        <v>40</v>
      </c>
      <c r="F23" t="s">
        <v>41</v>
      </c>
      <c r="G23">
        <v>1</v>
      </c>
    </row>
    <row r="24" spans="1:7" x14ac:dyDescent="0.35">
      <c r="A24">
        <v>1001446</v>
      </c>
      <c r="B24" s="2">
        <v>46029</v>
      </c>
      <c r="C24" s="2">
        <v>46044</v>
      </c>
      <c r="D24">
        <v>15</v>
      </c>
      <c r="E24" t="s">
        <v>42</v>
      </c>
      <c r="F24" t="s">
        <v>43</v>
      </c>
      <c r="G24">
        <v>3</v>
      </c>
    </row>
    <row r="25" spans="1:7" x14ac:dyDescent="0.35">
      <c r="A25">
        <v>1001446</v>
      </c>
      <c r="B25" s="2">
        <v>46029</v>
      </c>
      <c r="C25" s="2">
        <v>46044</v>
      </c>
      <c r="D25">
        <v>15</v>
      </c>
      <c r="E25" t="s">
        <v>44</v>
      </c>
      <c r="F25" t="s">
        <v>45</v>
      </c>
      <c r="G25">
        <v>3</v>
      </c>
    </row>
    <row r="26" spans="1:7" x14ac:dyDescent="0.35">
      <c r="A26">
        <v>1001446</v>
      </c>
      <c r="B26" s="2">
        <v>46029</v>
      </c>
      <c r="C26" s="2">
        <v>46044</v>
      </c>
      <c r="D26">
        <v>15</v>
      </c>
      <c r="E26" t="s">
        <v>46</v>
      </c>
      <c r="F26" t="s">
        <v>47</v>
      </c>
      <c r="G26">
        <v>3</v>
      </c>
    </row>
    <row r="27" spans="1:7" x14ac:dyDescent="0.35">
      <c r="A27">
        <v>1001446</v>
      </c>
      <c r="B27" s="2">
        <v>46029</v>
      </c>
      <c r="C27" s="2">
        <v>46044</v>
      </c>
      <c r="D27">
        <v>15</v>
      </c>
      <c r="E27" t="s">
        <v>48</v>
      </c>
      <c r="F27" t="s">
        <v>49</v>
      </c>
      <c r="G27">
        <v>1</v>
      </c>
    </row>
    <row r="28" spans="1:7" x14ac:dyDescent="0.35">
      <c r="A28">
        <v>1001446</v>
      </c>
      <c r="B28" s="2">
        <v>46029</v>
      </c>
      <c r="C28" s="2">
        <v>46044</v>
      </c>
      <c r="D28">
        <v>15</v>
      </c>
      <c r="E28" t="s">
        <v>50</v>
      </c>
      <c r="F28" t="s">
        <v>51</v>
      </c>
      <c r="G28">
        <v>1</v>
      </c>
    </row>
    <row r="29" spans="1:7" x14ac:dyDescent="0.35">
      <c r="A29">
        <v>1001446</v>
      </c>
      <c r="B29" s="2">
        <v>46029</v>
      </c>
      <c r="C29" s="2">
        <v>46044</v>
      </c>
      <c r="D29">
        <v>15</v>
      </c>
      <c r="E29" t="s">
        <v>52</v>
      </c>
      <c r="F29" t="s">
        <v>53</v>
      </c>
      <c r="G29">
        <v>1</v>
      </c>
    </row>
    <row r="30" spans="1:7" x14ac:dyDescent="0.35">
      <c r="A30">
        <v>1001446</v>
      </c>
      <c r="B30" s="2">
        <v>46029</v>
      </c>
      <c r="C30" s="2">
        <v>46044</v>
      </c>
      <c r="D30">
        <v>15</v>
      </c>
      <c r="E30" t="s">
        <v>54</v>
      </c>
      <c r="F30" t="s">
        <v>55</v>
      </c>
      <c r="G30">
        <v>1</v>
      </c>
    </row>
    <row r="31" spans="1:7" x14ac:dyDescent="0.35">
      <c r="A31">
        <v>1001446</v>
      </c>
      <c r="B31" s="2">
        <v>46029</v>
      </c>
      <c r="C31" s="2">
        <v>46044</v>
      </c>
      <c r="D31">
        <v>15</v>
      </c>
      <c r="E31" t="s">
        <v>40</v>
      </c>
      <c r="F31" t="s">
        <v>41</v>
      </c>
      <c r="G31">
        <v>1</v>
      </c>
    </row>
    <row r="32" spans="1:7" x14ac:dyDescent="0.35">
      <c r="A32">
        <v>1001446</v>
      </c>
      <c r="B32" s="2">
        <v>46029</v>
      </c>
      <c r="C32" s="2">
        <v>46044</v>
      </c>
      <c r="D32">
        <v>15</v>
      </c>
      <c r="E32" t="s">
        <v>56</v>
      </c>
      <c r="F32" t="s">
        <v>41</v>
      </c>
      <c r="G32">
        <v>3</v>
      </c>
    </row>
    <row r="33" spans="1:7" x14ac:dyDescent="0.35">
      <c r="A33">
        <v>1001448</v>
      </c>
      <c r="B33" s="2">
        <v>46029</v>
      </c>
      <c r="C33" s="2">
        <v>46031</v>
      </c>
      <c r="D33">
        <v>2</v>
      </c>
      <c r="E33" t="s">
        <v>13</v>
      </c>
      <c r="F33" t="s">
        <v>14</v>
      </c>
      <c r="G33">
        <v>6</v>
      </c>
    </row>
    <row r="34" spans="1:7" x14ac:dyDescent="0.35">
      <c r="A34">
        <v>1001448</v>
      </c>
      <c r="B34" s="2">
        <v>46029</v>
      </c>
      <c r="C34" s="2">
        <v>46031</v>
      </c>
      <c r="D34">
        <v>2</v>
      </c>
      <c r="E34" t="s">
        <v>15</v>
      </c>
      <c r="F34" t="s">
        <v>16</v>
      </c>
      <c r="G34">
        <v>6</v>
      </c>
    </row>
    <row r="35" spans="1:7" x14ac:dyDescent="0.35">
      <c r="A35">
        <v>1001448</v>
      </c>
      <c r="B35" s="2">
        <v>46029</v>
      </c>
      <c r="C35" s="2">
        <v>46031</v>
      </c>
      <c r="D35">
        <v>2</v>
      </c>
      <c r="E35" t="s">
        <v>23</v>
      </c>
      <c r="F35" t="s">
        <v>24</v>
      </c>
      <c r="G35">
        <v>6</v>
      </c>
    </row>
    <row r="36" spans="1:7" x14ac:dyDescent="0.35">
      <c r="A36">
        <v>1001448</v>
      </c>
      <c r="B36" s="2">
        <v>46029</v>
      </c>
      <c r="C36" s="2">
        <v>46031</v>
      </c>
      <c r="D36">
        <v>2</v>
      </c>
      <c r="E36" t="s">
        <v>57</v>
      </c>
      <c r="F36" t="s">
        <v>58</v>
      </c>
      <c r="G36">
        <v>6</v>
      </c>
    </row>
    <row r="37" spans="1:7" x14ac:dyDescent="0.35">
      <c r="A37">
        <v>1001448</v>
      </c>
      <c r="B37" s="2">
        <v>46029</v>
      </c>
      <c r="C37" s="2">
        <v>46031</v>
      </c>
      <c r="D37">
        <v>2</v>
      </c>
      <c r="E37" t="s">
        <v>7</v>
      </c>
      <c r="F37" t="s">
        <v>8</v>
      </c>
      <c r="G37">
        <v>6</v>
      </c>
    </row>
    <row r="38" spans="1:7" x14ac:dyDescent="0.35">
      <c r="A38">
        <v>1001448</v>
      </c>
      <c r="B38" s="2">
        <v>46029</v>
      </c>
      <c r="C38" s="2">
        <v>46031</v>
      </c>
      <c r="D38">
        <v>2</v>
      </c>
      <c r="E38" t="s">
        <v>9</v>
      </c>
      <c r="F38" t="s">
        <v>10</v>
      </c>
      <c r="G38">
        <v>6</v>
      </c>
    </row>
    <row r="39" spans="1:7" x14ac:dyDescent="0.35">
      <c r="A39">
        <v>1001448</v>
      </c>
      <c r="B39" s="2">
        <v>46029</v>
      </c>
      <c r="C39" s="2">
        <v>46051</v>
      </c>
      <c r="D39">
        <v>22</v>
      </c>
      <c r="E39" t="s">
        <v>23</v>
      </c>
      <c r="F39" t="s">
        <v>24</v>
      </c>
      <c r="G39">
        <v>6</v>
      </c>
    </row>
    <row r="40" spans="1:7" x14ac:dyDescent="0.35">
      <c r="A40">
        <v>1001448</v>
      </c>
      <c r="B40" s="2">
        <v>46029</v>
      </c>
      <c r="C40" s="2">
        <v>46051</v>
      </c>
      <c r="D40">
        <v>22</v>
      </c>
      <c r="E40" t="s">
        <v>9</v>
      </c>
      <c r="F40" t="s">
        <v>10</v>
      </c>
      <c r="G40">
        <v>6</v>
      </c>
    </row>
    <row r="41" spans="1:7" x14ac:dyDescent="0.35">
      <c r="A41">
        <v>1001448</v>
      </c>
      <c r="B41" s="2">
        <v>46029</v>
      </c>
      <c r="C41" s="2">
        <v>46051</v>
      </c>
      <c r="D41">
        <v>22</v>
      </c>
      <c r="E41" t="s">
        <v>52</v>
      </c>
      <c r="F41" t="s">
        <v>53</v>
      </c>
      <c r="G41">
        <v>1</v>
      </c>
    </row>
    <row r="42" spans="1:7" x14ac:dyDescent="0.35">
      <c r="A42">
        <v>1001448</v>
      </c>
      <c r="B42" s="2">
        <v>46029</v>
      </c>
      <c r="C42" s="2">
        <v>46058</v>
      </c>
      <c r="D42">
        <v>29</v>
      </c>
      <c r="E42" t="s">
        <v>23</v>
      </c>
      <c r="F42" t="s">
        <v>24</v>
      </c>
      <c r="G42">
        <v>-6</v>
      </c>
    </row>
    <row r="43" spans="1:7" x14ac:dyDescent="0.35">
      <c r="A43">
        <v>1001448</v>
      </c>
      <c r="B43" s="2">
        <v>46029</v>
      </c>
      <c r="C43" s="2">
        <v>46058</v>
      </c>
      <c r="D43">
        <v>29</v>
      </c>
      <c r="E43" t="s">
        <v>9</v>
      </c>
      <c r="F43" t="s">
        <v>10</v>
      </c>
      <c r="G43">
        <v>-6</v>
      </c>
    </row>
    <row r="44" spans="1:7" x14ac:dyDescent="0.35">
      <c r="A44">
        <v>1001448</v>
      </c>
      <c r="B44" s="2">
        <v>46029</v>
      </c>
      <c r="C44" s="2">
        <v>46058</v>
      </c>
      <c r="D44">
        <v>29</v>
      </c>
      <c r="E44" t="s">
        <v>52</v>
      </c>
      <c r="F44" t="s">
        <v>53</v>
      </c>
      <c r="G44">
        <v>-1</v>
      </c>
    </row>
    <row r="45" spans="1:7" x14ac:dyDescent="0.35">
      <c r="A45">
        <v>1001456</v>
      </c>
      <c r="B45" s="2">
        <v>46030</v>
      </c>
      <c r="C45" s="2">
        <v>46039</v>
      </c>
      <c r="D45">
        <v>9</v>
      </c>
      <c r="E45" t="s">
        <v>42</v>
      </c>
      <c r="F45" t="s">
        <v>43</v>
      </c>
      <c r="G45">
        <v>12</v>
      </c>
    </row>
    <row r="46" spans="1:7" x14ac:dyDescent="0.35">
      <c r="A46">
        <v>1001456</v>
      </c>
      <c r="B46" s="2">
        <v>46030</v>
      </c>
      <c r="C46" s="2">
        <v>46039</v>
      </c>
      <c r="D46">
        <v>9</v>
      </c>
      <c r="E46" t="s">
        <v>59</v>
      </c>
      <c r="F46" t="s">
        <v>60</v>
      </c>
      <c r="G46">
        <v>6</v>
      </c>
    </row>
    <row r="47" spans="1:7" x14ac:dyDescent="0.35">
      <c r="A47">
        <v>1001456</v>
      </c>
      <c r="B47" s="2">
        <v>46030</v>
      </c>
      <c r="C47" s="2">
        <v>46039</v>
      </c>
      <c r="D47">
        <v>9</v>
      </c>
      <c r="E47" t="s">
        <v>61</v>
      </c>
      <c r="F47" t="s">
        <v>62</v>
      </c>
      <c r="G47">
        <v>2</v>
      </c>
    </row>
    <row r="48" spans="1:7" x14ac:dyDescent="0.35">
      <c r="A48">
        <v>1001456</v>
      </c>
      <c r="B48" s="2">
        <v>46030</v>
      </c>
      <c r="C48" s="2">
        <v>46039</v>
      </c>
      <c r="D48">
        <v>9</v>
      </c>
      <c r="E48" t="s">
        <v>63</v>
      </c>
      <c r="F48" t="s">
        <v>64</v>
      </c>
      <c r="G48">
        <v>6</v>
      </c>
    </row>
    <row r="49" spans="1:7" x14ac:dyDescent="0.35">
      <c r="A49">
        <v>1001456</v>
      </c>
      <c r="B49" s="2">
        <v>46030</v>
      </c>
      <c r="C49" s="2">
        <v>46039</v>
      </c>
      <c r="D49">
        <v>9</v>
      </c>
      <c r="E49" t="s">
        <v>65</v>
      </c>
      <c r="F49" t="s">
        <v>45</v>
      </c>
      <c r="G49">
        <v>6</v>
      </c>
    </row>
    <row r="50" spans="1:7" x14ac:dyDescent="0.35">
      <c r="A50">
        <v>1001456</v>
      </c>
      <c r="B50" s="2">
        <v>46030</v>
      </c>
      <c r="C50" s="2">
        <v>46039</v>
      </c>
      <c r="D50">
        <v>9</v>
      </c>
      <c r="E50" t="s">
        <v>66</v>
      </c>
      <c r="F50" t="s">
        <v>67</v>
      </c>
      <c r="G50">
        <v>6</v>
      </c>
    </row>
    <row r="51" spans="1:7" x14ac:dyDescent="0.35">
      <c r="A51">
        <v>1001456</v>
      </c>
      <c r="B51" s="2">
        <v>46030</v>
      </c>
      <c r="C51" s="2">
        <v>46039</v>
      </c>
      <c r="D51">
        <v>9</v>
      </c>
      <c r="E51" t="s">
        <v>68</v>
      </c>
      <c r="F51" t="s">
        <v>69</v>
      </c>
      <c r="G51">
        <v>6</v>
      </c>
    </row>
    <row r="52" spans="1:7" x14ac:dyDescent="0.35">
      <c r="A52">
        <v>1001456</v>
      </c>
      <c r="B52" s="2">
        <v>46030</v>
      </c>
      <c r="C52" s="2">
        <v>46039</v>
      </c>
      <c r="D52">
        <v>9</v>
      </c>
      <c r="E52" t="s">
        <v>70</v>
      </c>
      <c r="F52" t="s">
        <v>71</v>
      </c>
      <c r="G52">
        <v>4</v>
      </c>
    </row>
    <row r="53" spans="1:7" x14ac:dyDescent="0.35">
      <c r="A53">
        <v>1001456</v>
      </c>
      <c r="B53" s="2">
        <v>46030</v>
      </c>
      <c r="C53" s="2">
        <v>46039</v>
      </c>
      <c r="D53">
        <v>9</v>
      </c>
      <c r="E53" t="s">
        <v>72</v>
      </c>
      <c r="F53" t="s">
        <v>71</v>
      </c>
      <c r="G53">
        <v>6</v>
      </c>
    </row>
    <row r="54" spans="1:7" x14ac:dyDescent="0.35">
      <c r="A54">
        <v>1001456</v>
      </c>
      <c r="B54" s="2">
        <v>46030</v>
      </c>
      <c r="C54" s="2">
        <v>46039</v>
      </c>
      <c r="D54">
        <v>9</v>
      </c>
      <c r="E54" t="s">
        <v>73</v>
      </c>
      <c r="F54" t="s">
        <v>47</v>
      </c>
      <c r="G54">
        <v>4</v>
      </c>
    </row>
    <row r="55" spans="1:7" x14ac:dyDescent="0.35">
      <c r="A55">
        <v>1001456</v>
      </c>
      <c r="B55" s="2">
        <v>46030</v>
      </c>
      <c r="C55" s="2">
        <v>46039</v>
      </c>
      <c r="D55">
        <v>9</v>
      </c>
      <c r="E55" t="s">
        <v>46</v>
      </c>
      <c r="F55" t="s">
        <v>47</v>
      </c>
      <c r="G55">
        <v>6</v>
      </c>
    </row>
    <row r="56" spans="1:7" x14ac:dyDescent="0.35">
      <c r="A56">
        <v>1001456</v>
      </c>
      <c r="B56" s="2">
        <v>46030</v>
      </c>
      <c r="C56" s="2">
        <v>46039</v>
      </c>
      <c r="D56">
        <v>9</v>
      </c>
      <c r="E56" t="s">
        <v>74</v>
      </c>
      <c r="F56" t="s">
        <v>47</v>
      </c>
      <c r="G56">
        <v>6</v>
      </c>
    </row>
    <row r="57" spans="1:7" x14ac:dyDescent="0.35">
      <c r="A57">
        <v>1001456</v>
      </c>
      <c r="B57" s="2">
        <v>46030</v>
      </c>
      <c r="C57" s="2">
        <v>46039</v>
      </c>
      <c r="D57">
        <v>9</v>
      </c>
      <c r="E57" t="s">
        <v>75</v>
      </c>
      <c r="F57" t="s">
        <v>76</v>
      </c>
      <c r="G57">
        <v>6</v>
      </c>
    </row>
    <row r="58" spans="1:7" x14ac:dyDescent="0.35">
      <c r="A58">
        <v>1001456</v>
      </c>
      <c r="B58" s="2">
        <v>46030</v>
      </c>
      <c r="C58" s="2">
        <v>46039</v>
      </c>
      <c r="D58">
        <v>9</v>
      </c>
      <c r="E58" t="s">
        <v>77</v>
      </c>
      <c r="F58" t="s">
        <v>78</v>
      </c>
      <c r="G58">
        <v>4</v>
      </c>
    </row>
    <row r="59" spans="1:7" x14ac:dyDescent="0.35">
      <c r="A59">
        <v>1001456</v>
      </c>
      <c r="B59" s="2">
        <v>46030</v>
      </c>
      <c r="C59" s="2">
        <v>46046</v>
      </c>
      <c r="D59">
        <v>16</v>
      </c>
      <c r="E59" t="s">
        <v>79</v>
      </c>
      <c r="F59" t="s">
        <v>60</v>
      </c>
      <c r="G59">
        <v>12</v>
      </c>
    </row>
    <row r="60" spans="1:7" x14ac:dyDescent="0.35">
      <c r="A60">
        <v>1001456</v>
      </c>
      <c r="B60" s="2">
        <v>46030</v>
      </c>
      <c r="C60" s="2">
        <v>46046</v>
      </c>
      <c r="D60">
        <v>16</v>
      </c>
      <c r="E60" t="s">
        <v>80</v>
      </c>
      <c r="F60" t="s">
        <v>45</v>
      </c>
      <c r="G60">
        <v>2</v>
      </c>
    </row>
    <row r="61" spans="1:7" x14ac:dyDescent="0.35">
      <c r="A61">
        <v>1001456</v>
      </c>
      <c r="B61" s="2">
        <v>46030</v>
      </c>
      <c r="C61" s="2">
        <v>46046</v>
      </c>
      <c r="D61">
        <v>16</v>
      </c>
      <c r="E61" t="s">
        <v>81</v>
      </c>
      <c r="F61" t="s">
        <v>39</v>
      </c>
      <c r="G61">
        <v>1</v>
      </c>
    </row>
    <row r="62" spans="1:7" x14ac:dyDescent="0.35">
      <c r="A62">
        <v>1001456</v>
      </c>
      <c r="B62" s="2">
        <v>46030</v>
      </c>
      <c r="C62" s="2">
        <v>46046</v>
      </c>
      <c r="D62">
        <v>16</v>
      </c>
      <c r="E62" t="s">
        <v>82</v>
      </c>
      <c r="F62" t="s">
        <v>83</v>
      </c>
      <c r="G62">
        <v>6</v>
      </c>
    </row>
    <row r="63" spans="1:7" x14ac:dyDescent="0.35">
      <c r="A63">
        <v>1001456</v>
      </c>
      <c r="B63" s="2">
        <v>46030</v>
      </c>
      <c r="C63" s="2">
        <v>46052</v>
      </c>
      <c r="D63">
        <v>22</v>
      </c>
      <c r="E63" t="s">
        <v>44</v>
      </c>
      <c r="F63" t="s">
        <v>45</v>
      </c>
      <c r="G63">
        <v>6</v>
      </c>
    </row>
    <row r="64" spans="1:7" x14ac:dyDescent="0.35">
      <c r="A64">
        <v>1001456</v>
      </c>
      <c r="B64" s="2">
        <v>46030</v>
      </c>
      <c r="C64" s="2">
        <v>46052</v>
      </c>
      <c r="D64">
        <v>22</v>
      </c>
      <c r="E64" t="s">
        <v>77</v>
      </c>
      <c r="F64" t="s">
        <v>78</v>
      </c>
      <c r="G64">
        <v>4</v>
      </c>
    </row>
    <row r="65" spans="1:7" x14ac:dyDescent="0.35">
      <c r="A65">
        <v>1001456</v>
      </c>
      <c r="B65" s="2">
        <v>46030</v>
      </c>
      <c r="C65" s="2">
        <v>46052</v>
      </c>
      <c r="D65">
        <v>22</v>
      </c>
      <c r="E65" t="s">
        <v>84</v>
      </c>
      <c r="F65" t="s">
        <v>85</v>
      </c>
      <c r="G65">
        <v>1</v>
      </c>
    </row>
    <row r="66" spans="1:7" x14ac:dyDescent="0.35">
      <c r="A66">
        <v>1001456</v>
      </c>
      <c r="B66" s="2">
        <v>46030</v>
      </c>
      <c r="C66" s="2">
        <v>46052</v>
      </c>
      <c r="D66">
        <v>22</v>
      </c>
      <c r="E66" t="s">
        <v>86</v>
      </c>
      <c r="F66" t="s">
        <v>85</v>
      </c>
      <c r="G66">
        <v>2</v>
      </c>
    </row>
    <row r="67" spans="1:7" x14ac:dyDescent="0.35">
      <c r="A67">
        <v>1001456</v>
      </c>
      <c r="B67" s="2">
        <v>46030</v>
      </c>
      <c r="C67" s="2">
        <v>46052</v>
      </c>
      <c r="D67">
        <v>22</v>
      </c>
      <c r="E67" t="s">
        <v>87</v>
      </c>
      <c r="F67" t="s">
        <v>64</v>
      </c>
      <c r="G67">
        <v>6</v>
      </c>
    </row>
    <row r="68" spans="1:7" x14ac:dyDescent="0.35">
      <c r="A68">
        <v>1001456</v>
      </c>
      <c r="B68" s="2">
        <v>46030</v>
      </c>
      <c r="C68" s="2">
        <v>46052</v>
      </c>
      <c r="D68">
        <v>22</v>
      </c>
      <c r="E68" t="s">
        <v>80</v>
      </c>
      <c r="F68" t="s">
        <v>45</v>
      </c>
      <c r="G68">
        <v>2</v>
      </c>
    </row>
    <row r="69" spans="1:7" x14ac:dyDescent="0.35">
      <c r="A69">
        <v>1001456</v>
      </c>
      <c r="B69" s="2">
        <v>46030</v>
      </c>
      <c r="C69" s="2">
        <v>46052</v>
      </c>
      <c r="D69">
        <v>22</v>
      </c>
      <c r="E69" t="s">
        <v>46</v>
      </c>
      <c r="F69" t="s">
        <v>47</v>
      </c>
      <c r="G69">
        <v>6</v>
      </c>
    </row>
    <row r="70" spans="1:7" x14ac:dyDescent="0.35">
      <c r="A70">
        <v>1001456</v>
      </c>
      <c r="B70" s="2">
        <v>46030</v>
      </c>
      <c r="C70" s="2">
        <v>46052</v>
      </c>
      <c r="D70">
        <v>22</v>
      </c>
      <c r="E70" t="s">
        <v>88</v>
      </c>
      <c r="F70" t="s">
        <v>35</v>
      </c>
      <c r="G70">
        <v>1</v>
      </c>
    </row>
    <row r="71" spans="1:7" x14ac:dyDescent="0.35">
      <c r="A71">
        <v>1001456</v>
      </c>
      <c r="B71" s="2">
        <v>46030</v>
      </c>
      <c r="C71" s="2">
        <v>46052</v>
      </c>
      <c r="D71">
        <v>22</v>
      </c>
      <c r="E71" t="s">
        <v>77</v>
      </c>
      <c r="F71" t="s">
        <v>78</v>
      </c>
      <c r="G71">
        <v>6</v>
      </c>
    </row>
    <row r="72" spans="1:7" x14ac:dyDescent="0.35">
      <c r="A72">
        <v>1001456</v>
      </c>
      <c r="B72" s="2">
        <v>46030</v>
      </c>
      <c r="C72" s="2">
        <v>46052</v>
      </c>
      <c r="D72">
        <v>22</v>
      </c>
      <c r="E72" t="s">
        <v>89</v>
      </c>
      <c r="F72" t="s">
        <v>39</v>
      </c>
      <c r="G72">
        <v>6</v>
      </c>
    </row>
    <row r="73" spans="1:7" x14ac:dyDescent="0.35">
      <c r="A73">
        <v>1001456</v>
      </c>
      <c r="B73" s="2">
        <v>46030</v>
      </c>
      <c r="C73" s="2">
        <v>46052</v>
      </c>
      <c r="D73">
        <v>22</v>
      </c>
      <c r="E73" t="s">
        <v>90</v>
      </c>
      <c r="F73" t="s">
        <v>35</v>
      </c>
      <c r="G73">
        <v>6</v>
      </c>
    </row>
    <row r="74" spans="1:7" x14ac:dyDescent="0.35">
      <c r="A74">
        <v>1001467</v>
      </c>
      <c r="B74" s="2">
        <v>46036</v>
      </c>
      <c r="C74" s="2">
        <v>46049</v>
      </c>
      <c r="D74">
        <v>13</v>
      </c>
      <c r="E74" t="s">
        <v>9</v>
      </c>
      <c r="F74" t="s">
        <v>10</v>
      </c>
      <c r="G74">
        <v>6</v>
      </c>
    </row>
    <row r="75" spans="1:7" x14ac:dyDescent="0.35">
      <c r="A75">
        <v>1001467</v>
      </c>
      <c r="B75" s="2">
        <v>46036</v>
      </c>
      <c r="C75" s="2">
        <v>46049</v>
      </c>
      <c r="D75">
        <v>13</v>
      </c>
      <c r="E75" t="s">
        <v>59</v>
      </c>
      <c r="F75" t="s">
        <v>60</v>
      </c>
      <c r="G75">
        <v>3</v>
      </c>
    </row>
    <row r="76" spans="1:7" x14ac:dyDescent="0.35">
      <c r="A76">
        <v>1001467</v>
      </c>
      <c r="B76" s="2">
        <v>46036</v>
      </c>
      <c r="C76" s="2">
        <v>46049</v>
      </c>
      <c r="D76">
        <v>13</v>
      </c>
      <c r="E76" t="s">
        <v>46</v>
      </c>
      <c r="F76" t="s">
        <v>47</v>
      </c>
      <c r="G76">
        <v>3</v>
      </c>
    </row>
    <row r="77" spans="1:7" x14ac:dyDescent="0.35">
      <c r="A77">
        <v>1001492</v>
      </c>
      <c r="B77" s="2">
        <v>46036</v>
      </c>
      <c r="C77" s="2">
        <v>46045</v>
      </c>
      <c r="D77">
        <v>9</v>
      </c>
      <c r="E77" t="s">
        <v>91</v>
      </c>
      <c r="F77" t="s">
        <v>92</v>
      </c>
      <c r="G77">
        <v>12</v>
      </c>
    </row>
    <row r="78" spans="1:7" x14ac:dyDescent="0.35">
      <c r="A78">
        <v>1001512</v>
      </c>
      <c r="B78" s="2">
        <v>46036</v>
      </c>
      <c r="C78" s="2">
        <v>46045</v>
      </c>
      <c r="D78">
        <v>9</v>
      </c>
      <c r="E78" t="s">
        <v>93</v>
      </c>
      <c r="F78" t="s">
        <v>94</v>
      </c>
      <c r="G78">
        <v>2</v>
      </c>
    </row>
    <row r="79" spans="1:7" x14ac:dyDescent="0.35">
      <c r="A79">
        <v>1001514</v>
      </c>
      <c r="B79" s="2">
        <v>46037</v>
      </c>
      <c r="C79" s="2">
        <v>46065</v>
      </c>
      <c r="D79">
        <v>28</v>
      </c>
      <c r="E79" t="s">
        <v>95</v>
      </c>
      <c r="F79" t="s">
        <v>96</v>
      </c>
      <c r="G79">
        <v>4</v>
      </c>
    </row>
    <row r="80" spans="1:7" x14ac:dyDescent="0.35">
      <c r="A80">
        <v>1001514</v>
      </c>
      <c r="B80" s="2">
        <v>46037</v>
      </c>
      <c r="C80" s="2">
        <v>46065</v>
      </c>
      <c r="D80">
        <v>28</v>
      </c>
      <c r="E80" t="s">
        <v>97</v>
      </c>
      <c r="F80" t="s">
        <v>98</v>
      </c>
      <c r="G80">
        <v>4</v>
      </c>
    </row>
    <row r="81" spans="1:7" x14ac:dyDescent="0.35">
      <c r="A81">
        <v>1001514</v>
      </c>
      <c r="B81" s="2">
        <v>46037</v>
      </c>
      <c r="C81" s="2">
        <v>46067</v>
      </c>
      <c r="D81">
        <v>30</v>
      </c>
      <c r="E81" t="s">
        <v>38</v>
      </c>
      <c r="F81" t="s">
        <v>39</v>
      </c>
      <c r="G81">
        <v>4</v>
      </c>
    </row>
    <row r="82" spans="1:7" x14ac:dyDescent="0.35">
      <c r="A82">
        <v>1001515</v>
      </c>
      <c r="B82" s="2">
        <v>46037</v>
      </c>
      <c r="C82" s="2">
        <v>46041</v>
      </c>
      <c r="D82">
        <v>4</v>
      </c>
      <c r="E82" t="s">
        <v>13</v>
      </c>
      <c r="F82" t="s">
        <v>14</v>
      </c>
      <c r="G82">
        <v>6</v>
      </c>
    </row>
    <row r="83" spans="1:7" x14ac:dyDescent="0.35">
      <c r="A83">
        <v>1001515</v>
      </c>
      <c r="B83" s="2">
        <v>46037</v>
      </c>
      <c r="C83" s="2">
        <v>46041</v>
      </c>
      <c r="D83">
        <v>4</v>
      </c>
      <c r="E83" t="s">
        <v>99</v>
      </c>
      <c r="F83" t="s">
        <v>100</v>
      </c>
      <c r="G83">
        <v>6</v>
      </c>
    </row>
    <row r="84" spans="1:7" x14ac:dyDescent="0.35">
      <c r="A84">
        <v>1001515</v>
      </c>
      <c r="B84" s="2">
        <v>46037</v>
      </c>
      <c r="C84" s="2">
        <v>46041</v>
      </c>
      <c r="D84">
        <v>4</v>
      </c>
      <c r="E84" t="s">
        <v>9</v>
      </c>
      <c r="F84" t="s">
        <v>10</v>
      </c>
      <c r="G84">
        <v>6</v>
      </c>
    </row>
    <row r="85" spans="1:7" x14ac:dyDescent="0.35">
      <c r="A85">
        <v>1001521</v>
      </c>
      <c r="B85" s="2">
        <v>46038</v>
      </c>
      <c r="C85" s="2">
        <v>46059</v>
      </c>
      <c r="D85">
        <v>21</v>
      </c>
      <c r="E85" t="s">
        <v>21</v>
      </c>
      <c r="F85" t="s">
        <v>22</v>
      </c>
      <c r="G85">
        <v>6</v>
      </c>
    </row>
    <row r="86" spans="1:7" x14ac:dyDescent="0.35">
      <c r="A86">
        <v>1001521</v>
      </c>
      <c r="B86" s="2">
        <v>46038</v>
      </c>
      <c r="C86" s="2">
        <v>46059</v>
      </c>
      <c r="D86">
        <v>21</v>
      </c>
      <c r="E86" t="s">
        <v>29</v>
      </c>
      <c r="F86" t="s">
        <v>30</v>
      </c>
      <c r="G86">
        <v>6</v>
      </c>
    </row>
    <row r="87" spans="1:7" x14ac:dyDescent="0.35">
      <c r="A87">
        <v>1001521</v>
      </c>
      <c r="B87" s="2">
        <v>46038</v>
      </c>
      <c r="C87" s="2">
        <v>46059</v>
      </c>
      <c r="D87">
        <v>21</v>
      </c>
      <c r="E87" t="s">
        <v>91</v>
      </c>
      <c r="F87" t="s">
        <v>92</v>
      </c>
      <c r="G87">
        <v>1</v>
      </c>
    </row>
    <row r="88" spans="1:7" x14ac:dyDescent="0.35">
      <c r="A88">
        <v>1001521</v>
      </c>
      <c r="B88" s="2">
        <v>46038</v>
      </c>
      <c r="C88" s="2">
        <v>46059</v>
      </c>
      <c r="D88">
        <v>21</v>
      </c>
      <c r="E88" t="s">
        <v>13</v>
      </c>
      <c r="F88" t="s">
        <v>14</v>
      </c>
      <c r="G88">
        <v>7</v>
      </c>
    </row>
    <row r="89" spans="1:7" x14ac:dyDescent="0.35">
      <c r="A89">
        <v>1001521</v>
      </c>
      <c r="B89" s="2">
        <v>46038</v>
      </c>
      <c r="C89" s="2">
        <v>46059</v>
      </c>
      <c r="D89">
        <v>21</v>
      </c>
      <c r="E89" t="s">
        <v>15</v>
      </c>
      <c r="F89" t="s">
        <v>16</v>
      </c>
      <c r="G89">
        <v>7</v>
      </c>
    </row>
    <row r="90" spans="1:7" x14ac:dyDescent="0.35">
      <c r="A90">
        <v>1001521</v>
      </c>
      <c r="B90" s="2">
        <v>46038</v>
      </c>
      <c r="C90" s="2">
        <v>46059</v>
      </c>
      <c r="D90">
        <v>21</v>
      </c>
      <c r="E90" t="s">
        <v>25</v>
      </c>
      <c r="F90" t="s">
        <v>26</v>
      </c>
      <c r="G90">
        <v>7</v>
      </c>
    </row>
    <row r="91" spans="1:7" x14ac:dyDescent="0.35">
      <c r="A91">
        <v>1001521</v>
      </c>
      <c r="B91" s="2">
        <v>46038</v>
      </c>
      <c r="C91" s="2">
        <v>46059</v>
      </c>
      <c r="D91">
        <v>21</v>
      </c>
      <c r="E91" t="s">
        <v>7</v>
      </c>
      <c r="F91" t="s">
        <v>8</v>
      </c>
      <c r="G91">
        <v>7</v>
      </c>
    </row>
    <row r="92" spans="1:7" x14ac:dyDescent="0.35">
      <c r="A92">
        <v>1001521</v>
      </c>
      <c r="B92" s="2">
        <v>46038</v>
      </c>
      <c r="C92" s="2">
        <v>46067</v>
      </c>
      <c r="D92">
        <v>29</v>
      </c>
      <c r="E92" t="s">
        <v>23</v>
      </c>
      <c r="F92" t="s">
        <v>24</v>
      </c>
      <c r="G92">
        <v>6</v>
      </c>
    </row>
    <row r="93" spans="1:7" x14ac:dyDescent="0.35">
      <c r="A93">
        <v>1001564</v>
      </c>
      <c r="B93" s="2">
        <v>46049</v>
      </c>
      <c r="C93" s="2">
        <v>46050</v>
      </c>
      <c r="D93">
        <v>1</v>
      </c>
      <c r="E93" t="s">
        <v>101</v>
      </c>
      <c r="F93" t="s">
        <v>102</v>
      </c>
      <c r="G93">
        <v>2</v>
      </c>
    </row>
    <row r="94" spans="1:7" x14ac:dyDescent="0.35">
      <c r="A94">
        <v>1001564</v>
      </c>
      <c r="B94" s="2">
        <v>46049</v>
      </c>
      <c r="C94" s="2">
        <v>46053</v>
      </c>
      <c r="D94">
        <v>4</v>
      </c>
      <c r="E94" t="s">
        <v>75</v>
      </c>
      <c r="F94" t="s">
        <v>76</v>
      </c>
      <c r="G94">
        <v>12</v>
      </c>
    </row>
    <row r="95" spans="1:7" x14ac:dyDescent="0.35">
      <c r="A95">
        <v>1001564</v>
      </c>
      <c r="B95" s="2">
        <v>46049</v>
      </c>
      <c r="C95" s="2">
        <v>46073</v>
      </c>
      <c r="D95">
        <v>24</v>
      </c>
      <c r="E95" t="s">
        <v>103</v>
      </c>
      <c r="F95" t="s">
        <v>94</v>
      </c>
      <c r="G95">
        <v>6</v>
      </c>
    </row>
    <row r="96" spans="1:7" x14ac:dyDescent="0.35">
      <c r="A96">
        <v>1001564</v>
      </c>
      <c r="B96" s="2">
        <v>46049</v>
      </c>
      <c r="C96" s="2">
        <v>46073</v>
      </c>
      <c r="D96">
        <v>24</v>
      </c>
      <c r="E96" t="s">
        <v>104</v>
      </c>
      <c r="F96" t="s">
        <v>105</v>
      </c>
      <c r="G96">
        <v>6</v>
      </c>
    </row>
    <row r="97" spans="1:7" x14ac:dyDescent="0.35">
      <c r="A97">
        <v>1001569</v>
      </c>
      <c r="B97" s="2">
        <v>46050</v>
      </c>
      <c r="C97" s="2">
        <v>46052</v>
      </c>
      <c r="D97">
        <v>2</v>
      </c>
      <c r="E97" t="s">
        <v>42</v>
      </c>
      <c r="F97" t="s">
        <v>43</v>
      </c>
      <c r="G97">
        <v>3</v>
      </c>
    </row>
    <row r="98" spans="1:7" x14ac:dyDescent="0.35">
      <c r="A98">
        <v>1001569</v>
      </c>
      <c r="B98" s="2">
        <v>46050</v>
      </c>
      <c r="C98" s="2">
        <v>46052</v>
      </c>
      <c r="D98">
        <v>2</v>
      </c>
      <c r="E98" t="s">
        <v>59</v>
      </c>
      <c r="F98" t="s">
        <v>60</v>
      </c>
      <c r="G98">
        <v>6</v>
      </c>
    </row>
    <row r="99" spans="1:7" x14ac:dyDescent="0.35">
      <c r="A99">
        <v>1001569</v>
      </c>
      <c r="B99" s="2">
        <v>46050</v>
      </c>
      <c r="C99" s="2">
        <v>46052</v>
      </c>
      <c r="D99">
        <v>2</v>
      </c>
      <c r="E99" t="s">
        <v>79</v>
      </c>
      <c r="F99" t="s">
        <v>60</v>
      </c>
      <c r="G99">
        <v>6</v>
      </c>
    </row>
    <row r="100" spans="1:7" x14ac:dyDescent="0.35">
      <c r="A100">
        <v>1001569</v>
      </c>
      <c r="B100" s="2">
        <v>46050</v>
      </c>
      <c r="C100" s="2">
        <v>46052</v>
      </c>
      <c r="D100">
        <v>2</v>
      </c>
      <c r="E100" t="s">
        <v>106</v>
      </c>
      <c r="F100" t="s">
        <v>45</v>
      </c>
      <c r="G100">
        <v>3</v>
      </c>
    </row>
    <row r="101" spans="1:7" x14ac:dyDescent="0.35">
      <c r="A101">
        <v>1001569</v>
      </c>
      <c r="B101" s="2">
        <v>46050</v>
      </c>
      <c r="C101" s="2">
        <v>46052</v>
      </c>
      <c r="D101">
        <v>2</v>
      </c>
      <c r="E101" t="s">
        <v>107</v>
      </c>
      <c r="F101" t="s">
        <v>69</v>
      </c>
      <c r="G101">
        <v>3</v>
      </c>
    </row>
    <row r="102" spans="1:7" x14ac:dyDescent="0.35">
      <c r="A102">
        <v>1001569</v>
      </c>
      <c r="B102" s="2">
        <v>46050</v>
      </c>
      <c r="C102" s="2">
        <v>46052</v>
      </c>
      <c r="D102">
        <v>2</v>
      </c>
      <c r="E102" t="s">
        <v>46</v>
      </c>
      <c r="F102" t="s">
        <v>47</v>
      </c>
      <c r="G102">
        <v>3</v>
      </c>
    </row>
    <row r="103" spans="1:7" x14ac:dyDescent="0.35">
      <c r="A103">
        <v>1001569</v>
      </c>
      <c r="B103" s="2">
        <v>46050</v>
      </c>
      <c r="C103" s="2">
        <v>46070</v>
      </c>
      <c r="D103">
        <v>20</v>
      </c>
      <c r="E103" t="s">
        <v>11</v>
      </c>
      <c r="F103" t="s">
        <v>12</v>
      </c>
      <c r="G103">
        <v>6</v>
      </c>
    </row>
    <row r="104" spans="1:7" x14ac:dyDescent="0.35">
      <c r="A104">
        <v>1001569</v>
      </c>
      <c r="B104" s="2">
        <v>46050</v>
      </c>
      <c r="C104" s="2">
        <v>46070</v>
      </c>
      <c r="D104">
        <v>20</v>
      </c>
      <c r="E104" t="s">
        <v>108</v>
      </c>
      <c r="F104" t="s">
        <v>109</v>
      </c>
      <c r="G104">
        <v>6</v>
      </c>
    </row>
    <row r="105" spans="1:7" x14ac:dyDescent="0.35">
      <c r="A105">
        <v>1001569</v>
      </c>
      <c r="B105" s="2">
        <v>46050</v>
      </c>
      <c r="C105" s="2">
        <v>46070</v>
      </c>
      <c r="D105">
        <v>20</v>
      </c>
      <c r="E105" t="s">
        <v>110</v>
      </c>
      <c r="F105" t="s">
        <v>111</v>
      </c>
      <c r="G105">
        <v>3</v>
      </c>
    </row>
    <row r="106" spans="1:7" x14ac:dyDescent="0.35">
      <c r="A106">
        <v>1001569</v>
      </c>
      <c r="B106" s="2">
        <v>46050</v>
      </c>
      <c r="C106" s="2">
        <v>46070</v>
      </c>
      <c r="D106">
        <v>20</v>
      </c>
      <c r="E106" t="s">
        <v>112</v>
      </c>
      <c r="F106" t="s">
        <v>113</v>
      </c>
      <c r="G106">
        <v>3</v>
      </c>
    </row>
    <row r="107" spans="1:7" x14ac:dyDescent="0.35">
      <c r="A107">
        <v>1001574</v>
      </c>
      <c r="B107" s="2">
        <v>46049</v>
      </c>
      <c r="C107" s="2">
        <v>46051</v>
      </c>
      <c r="D107">
        <v>2</v>
      </c>
      <c r="E107" t="s">
        <v>59</v>
      </c>
      <c r="F107" t="s">
        <v>60</v>
      </c>
      <c r="G107">
        <v>3</v>
      </c>
    </row>
    <row r="108" spans="1:7" x14ac:dyDescent="0.35">
      <c r="A108">
        <v>1001574</v>
      </c>
      <c r="B108" s="2">
        <v>46049</v>
      </c>
      <c r="C108" s="2">
        <v>46051</v>
      </c>
      <c r="D108">
        <v>2</v>
      </c>
      <c r="E108" t="s">
        <v>46</v>
      </c>
      <c r="F108" t="s">
        <v>47</v>
      </c>
      <c r="G108">
        <v>3</v>
      </c>
    </row>
    <row r="109" spans="1:7" x14ac:dyDescent="0.35">
      <c r="A109">
        <v>1001574</v>
      </c>
      <c r="B109" s="2">
        <v>46049</v>
      </c>
      <c r="C109" s="2">
        <v>46051</v>
      </c>
      <c r="D109">
        <v>2</v>
      </c>
      <c r="E109" t="s">
        <v>91</v>
      </c>
      <c r="F109" t="s">
        <v>92</v>
      </c>
      <c r="G109">
        <v>3</v>
      </c>
    </row>
    <row r="110" spans="1:7" x14ac:dyDescent="0.35">
      <c r="A110">
        <v>1001574</v>
      </c>
      <c r="B110" s="2">
        <v>46049</v>
      </c>
      <c r="C110" s="2">
        <v>46056</v>
      </c>
      <c r="D110">
        <v>7</v>
      </c>
      <c r="E110" t="s">
        <v>59</v>
      </c>
      <c r="F110" t="s">
        <v>60</v>
      </c>
      <c r="G110">
        <v>-3</v>
      </c>
    </row>
    <row r="111" spans="1:7" x14ac:dyDescent="0.35">
      <c r="A111">
        <v>1001574</v>
      </c>
      <c r="B111" s="2">
        <v>46049</v>
      </c>
      <c r="C111" s="2">
        <v>46056</v>
      </c>
      <c r="D111">
        <v>7</v>
      </c>
      <c r="E111" t="s">
        <v>46</v>
      </c>
      <c r="F111" t="s">
        <v>47</v>
      </c>
      <c r="G111">
        <v>-3</v>
      </c>
    </row>
    <row r="112" spans="1:7" x14ac:dyDescent="0.35">
      <c r="A112">
        <v>1001574</v>
      </c>
      <c r="B112" s="2">
        <v>46049</v>
      </c>
      <c r="C112" s="2">
        <v>46056</v>
      </c>
      <c r="D112">
        <v>7</v>
      </c>
      <c r="E112" t="s">
        <v>91</v>
      </c>
      <c r="F112" t="s">
        <v>92</v>
      </c>
      <c r="G112">
        <v>-3</v>
      </c>
    </row>
    <row r="113" spans="1:7" x14ac:dyDescent="0.35">
      <c r="A113">
        <v>1001574</v>
      </c>
      <c r="B113" s="2">
        <v>46049</v>
      </c>
      <c r="C113" s="2">
        <v>46063</v>
      </c>
      <c r="D113">
        <v>14</v>
      </c>
      <c r="E113" t="s">
        <v>59</v>
      </c>
      <c r="F113" t="s">
        <v>60</v>
      </c>
      <c r="G113">
        <v>3</v>
      </c>
    </row>
    <row r="114" spans="1:7" x14ac:dyDescent="0.35">
      <c r="A114">
        <v>1001574</v>
      </c>
      <c r="B114" s="2">
        <v>46049</v>
      </c>
      <c r="C114" s="2">
        <v>46063</v>
      </c>
      <c r="D114">
        <v>14</v>
      </c>
      <c r="E114" t="s">
        <v>74</v>
      </c>
      <c r="F114" t="s">
        <v>47</v>
      </c>
      <c r="G114">
        <v>3</v>
      </c>
    </row>
    <row r="115" spans="1:7" x14ac:dyDescent="0.35">
      <c r="A115">
        <v>1001574</v>
      </c>
      <c r="B115" s="2">
        <v>46049</v>
      </c>
      <c r="C115" s="2">
        <v>46063</v>
      </c>
      <c r="D115">
        <v>14</v>
      </c>
      <c r="E115" t="s">
        <v>91</v>
      </c>
      <c r="F115" t="s">
        <v>92</v>
      </c>
      <c r="G115">
        <v>3</v>
      </c>
    </row>
    <row r="116" spans="1:7" x14ac:dyDescent="0.35">
      <c r="A116">
        <v>1001574</v>
      </c>
      <c r="B116" s="2">
        <v>46049</v>
      </c>
      <c r="C116" s="2">
        <v>46073</v>
      </c>
      <c r="D116">
        <v>24</v>
      </c>
      <c r="E116" t="s">
        <v>46</v>
      </c>
      <c r="F116" t="s">
        <v>47</v>
      </c>
      <c r="G116">
        <v>3</v>
      </c>
    </row>
    <row r="117" spans="1:7" x14ac:dyDescent="0.35">
      <c r="A117">
        <v>1001574</v>
      </c>
      <c r="B117" s="2">
        <v>46049</v>
      </c>
      <c r="C117" s="2">
        <v>46079</v>
      </c>
      <c r="D117">
        <v>30</v>
      </c>
      <c r="E117" t="s">
        <v>46</v>
      </c>
      <c r="F117" t="s">
        <v>47</v>
      </c>
      <c r="G117">
        <v>-3</v>
      </c>
    </row>
    <row r="118" spans="1:7" x14ac:dyDescent="0.35">
      <c r="A118">
        <v>1001578</v>
      </c>
      <c r="B118" s="2">
        <v>46049</v>
      </c>
      <c r="C118" s="2">
        <v>46051</v>
      </c>
      <c r="D118">
        <v>2</v>
      </c>
      <c r="E118" t="s">
        <v>42</v>
      </c>
      <c r="F118" t="s">
        <v>43</v>
      </c>
      <c r="G118">
        <v>6</v>
      </c>
    </row>
    <row r="119" spans="1:7" x14ac:dyDescent="0.35">
      <c r="A119">
        <v>1001578</v>
      </c>
      <c r="B119" s="2">
        <v>46049</v>
      </c>
      <c r="C119" s="2">
        <v>46051</v>
      </c>
      <c r="D119">
        <v>2</v>
      </c>
      <c r="E119" t="s">
        <v>82</v>
      </c>
      <c r="F119" t="s">
        <v>83</v>
      </c>
      <c r="G119">
        <v>6</v>
      </c>
    </row>
    <row r="120" spans="1:7" x14ac:dyDescent="0.35">
      <c r="A120">
        <v>1001578</v>
      </c>
      <c r="B120" s="2">
        <v>46049</v>
      </c>
      <c r="C120" s="2">
        <v>46051</v>
      </c>
      <c r="D120">
        <v>2</v>
      </c>
      <c r="E120" t="s">
        <v>46</v>
      </c>
      <c r="F120" t="s">
        <v>47</v>
      </c>
      <c r="G120">
        <v>6</v>
      </c>
    </row>
    <row r="121" spans="1:7" x14ac:dyDescent="0.35">
      <c r="A121">
        <v>1001578</v>
      </c>
      <c r="B121" s="2">
        <v>46049</v>
      </c>
      <c r="C121" s="2">
        <v>46051</v>
      </c>
      <c r="D121">
        <v>2</v>
      </c>
      <c r="E121" t="s">
        <v>114</v>
      </c>
      <c r="F121" t="s">
        <v>115</v>
      </c>
      <c r="G121">
        <v>2</v>
      </c>
    </row>
    <row r="122" spans="1:7" x14ac:dyDescent="0.35">
      <c r="A122">
        <v>1001578</v>
      </c>
      <c r="B122" s="2">
        <v>46049</v>
      </c>
      <c r="C122" s="2">
        <v>46070</v>
      </c>
      <c r="D122">
        <v>21</v>
      </c>
      <c r="E122" t="s">
        <v>40</v>
      </c>
      <c r="F122" t="s">
        <v>41</v>
      </c>
      <c r="G122">
        <v>9</v>
      </c>
    </row>
    <row r="123" spans="1:7" x14ac:dyDescent="0.35">
      <c r="A123">
        <v>1001578</v>
      </c>
      <c r="B123" s="2">
        <v>46049</v>
      </c>
      <c r="C123" s="2">
        <v>46070</v>
      </c>
      <c r="D123">
        <v>21</v>
      </c>
      <c r="E123" t="s">
        <v>116</v>
      </c>
      <c r="F123" t="s">
        <v>117</v>
      </c>
      <c r="G123">
        <v>1</v>
      </c>
    </row>
    <row r="124" spans="1:7" x14ac:dyDescent="0.35">
      <c r="A124">
        <v>1001578</v>
      </c>
      <c r="B124" s="2">
        <v>46049</v>
      </c>
      <c r="C124" s="2">
        <v>46070</v>
      </c>
      <c r="D124">
        <v>21</v>
      </c>
      <c r="E124" t="s">
        <v>118</v>
      </c>
      <c r="F124" t="s">
        <v>119</v>
      </c>
      <c r="G124">
        <v>1</v>
      </c>
    </row>
    <row r="125" spans="1:7" x14ac:dyDescent="0.35">
      <c r="A125">
        <v>1001578</v>
      </c>
      <c r="B125" s="2">
        <v>46049</v>
      </c>
      <c r="C125" s="2">
        <v>46072</v>
      </c>
      <c r="D125">
        <v>23</v>
      </c>
      <c r="E125" t="s">
        <v>103</v>
      </c>
      <c r="F125" t="s">
        <v>94</v>
      </c>
      <c r="G125">
        <v>12</v>
      </c>
    </row>
    <row r="126" spans="1:7" x14ac:dyDescent="0.35">
      <c r="A126">
        <v>1001578</v>
      </c>
      <c r="B126" s="2">
        <v>46049</v>
      </c>
      <c r="C126" s="2">
        <v>46072</v>
      </c>
      <c r="D126">
        <v>23</v>
      </c>
      <c r="E126" t="s">
        <v>120</v>
      </c>
      <c r="F126" t="s">
        <v>115</v>
      </c>
      <c r="G126">
        <v>6</v>
      </c>
    </row>
    <row r="127" spans="1:7" x14ac:dyDescent="0.35">
      <c r="A127">
        <v>1001578</v>
      </c>
      <c r="B127" s="2">
        <v>46049</v>
      </c>
      <c r="C127" s="2">
        <v>46072</v>
      </c>
      <c r="D127">
        <v>23</v>
      </c>
      <c r="E127" t="s">
        <v>121</v>
      </c>
      <c r="F127" t="s">
        <v>122</v>
      </c>
      <c r="G127">
        <v>100</v>
      </c>
    </row>
    <row r="128" spans="1:7" x14ac:dyDescent="0.35">
      <c r="A128">
        <v>1001578</v>
      </c>
      <c r="B128" s="2">
        <v>46049</v>
      </c>
      <c r="C128" s="2">
        <v>46072</v>
      </c>
      <c r="D128">
        <v>23</v>
      </c>
      <c r="E128" t="s">
        <v>123</v>
      </c>
      <c r="F128" t="s">
        <v>35</v>
      </c>
      <c r="G128">
        <v>2</v>
      </c>
    </row>
    <row r="129" spans="1:7" x14ac:dyDescent="0.35">
      <c r="A129">
        <v>1001578</v>
      </c>
      <c r="B129" s="2">
        <v>46049</v>
      </c>
      <c r="C129" s="2">
        <v>46072</v>
      </c>
      <c r="D129">
        <v>23</v>
      </c>
      <c r="E129" t="s">
        <v>40</v>
      </c>
      <c r="F129" t="s">
        <v>41</v>
      </c>
      <c r="G129">
        <v>3</v>
      </c>
    </row>
    <row r="130" spans="1:7" x14ac:dyDescent="0.35">
      <c r="A130">
        <v>1001578</v>
      </c>
      <c r="B130" s="2">
        <v>46049</v>
      </c>
      <c r="C130" s="2">
        <v>46072</v>
      </c>
      <c r="D130">
        <v>23</v>
      </c>
      <c r="E130" t="s">
        <v>124</v>
      </c>
      <c r="F130" t="s">
        <v>125</v>
      </c>
      <c r="G130">
        <v>1</v>
      </c>
    </row>
    <row r="131" spans="1:7" x14ac:dyDescent="0.35">
      <c r="A131">
        <v>1001578</v>
      </c>
      <c r="B131" s="2">
        <v>46049</v>
      </c>
      <c r="C131" s="2">
        <v>46079</v>
      </c>
      <c r="D131">
        <v>30</v>
      </c>
      <c r="E131" t="s">
        <v>42</v>
      </c>
      <c r="F131" t="s">
        <v>43</v>
      </c>
      <c r="G131">
        <v>12</v>
      </c>
    </row>
    <row r="132" spans="1:7" x14ac:dyDescent="0.35">
      <c r="A132">
        <v>1001582</v>
      </c>
      <c r="B132" s="2">
        <v>46050</v>
      </c>
      <c r="C132" s="2">
        <v>46067</v>
      </c>
      <c r="D132">
        <v>17</v>
      </c>
      <c r="E132" t="s">
        <v>13</v>
      </c>
      <c r="F132" t="s">
        <v>14</v>
      </c>
      <c r="G132">
        <v>12</v>
      </c>
    </row>
    <row r="133" spans="1:7" x14ac:dyDescent="0.35">
      <c r="A133">
        <v>1001582</v>
      </c>
      <c r="B133" s="2">
        <v>46050</v>
      </c>
      <c r="C133" s="2">
        <v>46067</v>
      </c>
      <c r="D133">
        <v>17</v>
      </c>
      <c r="E133" t="s">
        <v>21</v>
      </c>
      <c r="F133" t="s">
        <v>22</v>
      </c>
      <c r="G133">
        <v>6</v>
      </c>
    </row>
    <row r="134" spans="1:7" x14ac:dyDescent="0.35">
      <c r="A134">
        <v>1001582</v>
      </c>
      <c r="B134" s="2">
        <v>46050</v>
      </c>
      <c r="C134" s="2">
        <v>46067</v>
      </c>
      <c r="D134">
        <v>17</v>
      </c>
      <c r="E134" t="s">
        <v>57</v>
      </c>
      <c r="F134" t="s">
        <v>58</v>
      </c>
      <c r="G134">
        <v>6</v>
      </c>
    </row>
    <row r="135" spans="1:7" x14ac:dyDescent="0.35">
      <c r="A135">
        <v>1001582</v>
      </c>
      <c r="B135" s="2">
        <v>46050</v>
      </c>
      <c r="C135" s="2">
        <v>46067</v>
      </c>
      <c r="D135">
        <v>17</v>
      </c>
      <c r="E135" t="s">
        <v>126</v>
      </c>
      <c r="F135" t="s">
        <v>127</v>
      </c>
      <c r="G135">
        <v>6</v>
      </c>
    </row>
    <row r="136" spans="1:7" x14ac:dyDescent="0.35">
      <c r="A136">
        <v>1001582</v>
      </c>
      <c r="B136" s="2">
        <v>46050</v>
      </c>
      <c r="C136" s="2">
        <v>46067</v>
      </c>
      <c r="D136">
        <v>17</v>
      </c>
      <c r="E136" t="s">
        <v>110</v>
      </c>
      <c r="F136" t="s">
        <v>111</v>
      </c>
      <c r="G136">
        <v>3</v>
      </c>
    </row>
    <row r="137" spans="1:7" x14ac:dyDescent="0.35">
      <c r="A137">
        <v>1001582</v>
      </c>
      <c r="B137" s="2">
        <v>46050</v>
      </c>
      <c r="C137" s="2">
        <v>46067</v>
      </c>
      <c r="D137">
        <v>17</v>
      </c>
      <c r="E137" t="s">
        <v>112</v>
      </c>
      <c r="F137" t="s">
        <v>113</v>
      </c>
      <c r="G137">
        <v>3</v>
      </c>
    </row>
    <row r="138" spans="1:7" x14ac:dyDescent="0.35">
      <c r="A138">
        <v>1001582</v>
      </c>
      <c r="B138" s="2">
        <v>46050</v>
      </c>
      <c r="C138" s="2">
        <v>46067</v>
      </c>
      <c r="D138">
        <v>17</v>
      </c>
      <c r="E138" t="s">
        <v>56</v>
      </c>
      <c r="F138" t="s">
        <v>41</v>
      </c>
      <c r="G138">
        <v>6</v>
      </c>
    </row>
    <row r="139" spans="1:7" x14ac:dyDescent="0.35">
      <c r="A139">
        <v>1001582</v>
      </c>
      <c r="B139" s="2">
        <v>46050</v>
      </c>
      <c r="C139" s="2">
        <v>46067</v>
      </c>
      <c r="D139">
        <v>17</v>
      </c>
      <c r="E139" t="s">
        <v>128</v>
      </c>
      <c r="F139" t="s">
        <v>125</v>
      </c>
      <c r="G139">
        <v>6</v>
      </c>
    </row>
    <row r="140" spans="1:7" x14ac:dyDescent="0.35">
      <c r="A140">
        <v>1001588</v>
      </c>
      <c r="B140" s="2">
        <v>46051</v>
      </c>
      <c r="C140" s="2">
        <v>46057</v>
      </c>
      <c r="D140">
        <v>6</v>
      </c>
      <c r="E140" t="s">
        <v>129</v>
      </c>
      <c r="F140" t="s">
        <v>102</v>
      </c>
      <c r="G140">
        <v>4</v>
      </c>
    </row>
    <row r="141" spans="1:7" x14ac:dyDescent="0.35">
      <c r="A141">
        <v>1001588</v>
      </c>
      <c r="B141" s="2">
        <v>46051</v>
      </c>
      <c r="C141" s="2">
        <v>46057</v>
      </c>
      <c r="D141">
        <v>6</v>
      </c>
      <c r="E141" t="s">
        <v>130</v>
      </c>
      <c r="F141" t="s">
        <v>102</v>
      </c>
      <c r="G141">
        <v>3</v>
      </c>
    </row>
    <row r="142" spans="1:7" x14ac:dyDescent="0.35">
      <c r="A142">
        <v>1001588</v>
      </c>
      <c r="B142" s="2">
        <v>46051</v>
      </c>
      <c r="C142" s="2">
        <v>46057</v>
      </c>
      <c r="D142">
        <v>6</v>
      </c>
      <c r="E142" t="s">
        <v>131</v>
      </c>
      <c r="F142" t="s">
        <v>32</v>
      </c>
      <c r="G142">
        <v>2</v>
      </c>
    </row>
    <row r="143" spans="1:7" x14ac:dyDescent="0.35">
      <c r="A143">
        <v>1001588</v>
      </c>
      <c r="B143" s="2">
        <v>46051</v>
      </c>
      <c r="C143" s="2">
        <v>46057</v>
      </c>
      <c r="D143">
        <v>6</v>
      </c>
      <c r="E143" t="s">
        <v>31</v>
      </c>
      <c r="F143" t="s">
        <v>32</v>
      </c>
      <c r="G143">
        <v>4</v>
      </c>
    </row>
    <row r="144" spans="1:7" x14ac:dyDescent="0.35">
      <c r="A144">
        <v>1001588</v>
      </c>
      <c r="B144" s="2">
        <v>46051</v>
      </c>
      <c r="C144" s="2">
        <v>46057</v>
      </c>
      <c r="D144">
        <v>6</v>
      </c>
      <c r="E144" t="s">
        <v>33</v>
      </c>
      <c r="F144" t="s">
        <v>32</v>
      </c>
      <c r="G144">
        <v>5</v>
      </c>
    </row>
    <row r="145" spans="1:7" x14ac:dyDescent="0.35">
      <c r="A145">
        <v>1001588</v>
      </c>
      <c r="B145" s="2">
        <v>46051</v>
      </c>
      <c r="C145" s="2">
        <v>46062</v>
      </c>
      <c r="D145">
        <v>11</v>
      </c>
      <c r="E145" t="s">
        <v>132</v>
      </c>
      <c r="F145" t="s">
        <v>102</v>
      </c>
      <c r="G145">
        <v>2</v>
      </c>
    </row>
    <row r="146" spans="1:7" x14ac:dyDescent="0.35">
      <c r="A146">
        <v>1001594</v>
      </c>
      <c r="B146" s="2">
        <v>46051</v>
      </c>
      <c r="C146" s="2">
        <v>46053</v>
      </c>
      <c r="D146">
        <v>2</v>
      </c>
      <c r="E146" t="s">
        <v>42</v>
      </c>
      <c r="F146" t="s">
        <v>43</v>
      </c>
      <c r="G146">
        <v>3</v>
      </c>
    </row>
    <row r="147" spans="1:7" x14ac:dyDescent="0.35">
      <c r="A147">
        <v>1001594</v>
      </c>
      <c r="B147" s="2">
        <v>46051</v>
      </c>
      <c r="C147" s="2">
        <v>46053</v>
      </c>
      <c r="D147">
        <v>2</v>
      </c>
      <c r="E147" t="s">
        <v>59</v>
      </c>
      <c r="F147" t="s">
        <v>60</v>
      </c>
      <c r="G147">
        <v>3</v>
      </c>
    </row>
    <row r="148" spans="1:7" x14ac:dyDescent="0.35">
      <c r="A148">
        <v>1001594</v>
      </c>
      <c r="B148" s="2">
        <v>46051</v>
      </c>
      <c r="C148" s="2">
        <v>46053</v>
      </c>
      <c r="D148">
        <v>2</v>
      </c>
      <c r="E148" t="s">
        <v>79</v>
      </c>
      <c r="F148" t="s">
        <v>60</v>
      </c>
      <c r="G148">
        <v>6</v>
      </c>
    </row>
    <row r="149" spans="1:7" x14ac:dyDescent="0.35">
      <c r="A149">
        <v>1001594</v>
      </c>
      <c r="B149" s="2">
        <v>46051</v>
      </c>
      <c r="C149" s="2">
        <v>46053</v>
      </c>
      <c r="D149">
        <v>2</v>
      </c>
      <c r="E149" t="s">
        <v>44</v>
      </c>
      <c r="F149" t="s">
        <v>45</v>
      </c>
      <c r="G149">
        <v>3</v>
      </c>
    </row>
    <row r="150" spans="1:7" x14ac:dyDescent="0.35">
      <c r="A150">
        <v>1001594</v>
      </c>
      <c r="B150" s="2">
        <v>46051</v>
      </c>
      <c r="C150" s="2">
        <v>46053</v>
      </c>
      <c r="D150">
        <v>2</v>
      </c>
      <c r="E150" t="s">
        <v>106</v>
      </c>
      <c r="F150" t="s">
        <v>45</v>
      </c>
      <c r="G150">
        <v>3</v>
      </c>
    </row>
    <row r="151" spans="1:7" x14ac:dyDescent="0.35">
      <c r="A151">
        <v>1001594</v>
      </c>
      <c r="B151" s="2">
        <v>46051</v>
      </c>
      <c r="C151" s="2">
        <v>46053</v>
      </c>
      <c r="D151">
        <v>2</v>
      </c>
      <c r="E151" t="s">
        <v>65</v>
      </c>
      <c r="F151" t="s">
        <v>45</v>
      </c>
      <c r="G151">
        <v>6</v>
      </c>
    </row>
    <row r="152" spans="1:7" x14ac:dyDescent="0.35">
      <c r="A152">
        <v>1001594</v>
      </c>
      <c r="B152" s="2">
        <v>46051</v>
      </c>
      <c r="C152" s="2">
        <v>46053</v>
      </c>
      <c r="D152">
        <v>2</v>
      </c>
      <c r="E152" t="s">
        <v>46</v>
      </c>
      <c r="F152" t="s">
        <v>47</v>
      </c>
      <c r="G152">
        <v>3</v>
      </c>
    </row>
    <row r="153" spans="1:7" x14ac:dyDescent="0.35">
      <c r="A153">
        <v>1001594</v>
      </c>
      <c r="B153" s="2">
        <v>46051</v>
      </c>
      <c r="C153" s="2">
        <v>46053</v>
      </c>
      <c r="D153">
        <v>2</v>
      </c>
      <c r="E153" t="s">
        <v>103</v>
      </c>
      <c r="F153" t="s">
        <v>94</v>
      </c>
      <c r="G153">
        <v>4</v>
      </c>
    </row>
    <row r="154" spans="1:7" x14ac:dyDescent="0.35">
      <c r="A154">
        <v>1001594</v>
      </c>
      <c r="B154" s="2">
        <v>46051</v>
      </c>
      <c r="C154" s="2">
        <v>46059</v>
      </c>
      <c r="D154">
        <v>8</v>
      </c>
      <c r="E154" t="s">
        <v>74</v>
      </c>
      <c r="F154" t="s">
        <v>47</v>
      </c>
      <c r="G154">
        <v>3</v>
      </c>
    </row>
    <row r="155" spans="1:7" x14ac:dyDescent="0.35">
      <c r="A155">
        <v>1001594</v>
      </c>
      <c r="B155" s="2">
        <v>46051</v>
      </c>
      <c r="C155" s="2">
        <v>46059</v>
      </c>
      <c r="D155">
        <v>8</v>
      </c>
      <c r="E155" t="s">
        <v>133</v>
      </c>
      <c r="F155" t="s">
        <v>47</v>
      </c>
      <c r="G155">
        <v>6</v>
      </c>
    </row>
    <row r="156" spans="1:7" x14ac:dyDescent="0.35">
      <c r="A156">
        <v>1001594</v>
      </c>
      <c r="B156" s="2">
        <v>46051</v>
      </c>
      <c r="C156" s="2">
        <v>46064</v>
      </c>
      <c r="D156">
        <v>13</v>
      </c>
      <c r="E156" t="s">
        <v>134</v>
      </c>
      <c r="F156" t="s">
        <v>49</v>
      </c>
      <c r="G156">
        <v>2</v>
      </c>
    </row>
    <row r="157" spans="1:7" x14ac:dyDescent="0.35">
      <c r="A157">
        <v>1001594</v>
      </c>
      <c r="B157" s="2">
        <v>46051</v>
      </c>
      <c r="C157" s="2">
        <v>46064</v>
      </c>
      <c r="D157">
        <v>13</v>
      </c>
      <c r="E157" t="s">
        <v>135</v>
      </c>
      <c r="F157" t="s">
        <v>51</v>
      </c>
      <c r="G157">
        <v>2</v>
      </c>
    </row>
    <row r="158" spans="1:7" x14ac:dyDescent="0.35">
      <c r="A158">
        <v>1001594</v>
      </c>
      <c r="B158" s="2">
        <v>46051</v>
      </c>
      <c r="C158" s="2">
        <v>46064</v>
      </c>
      <c r="D158">
        <v>13</v>
      </c>
      <c r="E158" t="s">
        <v>136</v>
      </c>
      <c r="F158" t="s">
        <v>137</v>
      </c>
      <c r="G158">
        <v>1</v>
      </c>
    </row>
    <row r="159" spans="1:7" x14ac:dyDescent="0.35">
      <c r="A159">
        <v>1001594</v>
      </c>
      <c r="B159" s="2">
        <v>46051</v>
      </c>
      <c r="C159" s="2">
        <v>46064</v>
      </c>
      <c r="D159">
        <v>13</v>
      </c>
      <c r="E159" t="s">
        <v>138</v>
      </c>
      <c r="F159" t="s">
        <v>139</v>
      </c>
      <c r="G159">
        <v>1</v>
      </c>
    </row>
    <row r="160" spans="1:7" x14ac:dyDescent="0.35">
      <c r="A160">
        <v>1001595</v>
      </c>
      <c r="B160" s="2">
        <v>46052</v>
      </c>
      <c r="C160" s="2">
        <v>46057</v>
      </c>
      <c r="D160">
        <v>5</v>
      </c>
      <c r="E160" t="s">
        <v>91</v>
      </c>
      <c r="F160" t="s">
        <v>92</v>
      </c>
      <c r="G160">
        <v>2</v>
      </c>
    </row>
    <row r="161" spans="1:7" x14ac:dyDescent="0.35">
      <c r="A161">
        <v>1001595</v>
      </c>
      <c r="B161" s="2">
        <v>46052</v>
      </c>
      <c r="C161" s="2">
        <v>46057</v>
      </c>
      <c r="D161">
        <v>5</v>
      </c>
      <c r="E161" t="s">
        <v>140</v>
      </c>
      <c r="F161" t="s">
        <v>141</v>
      </c>
      <c r="G161">
        <v>6</v>
      </c>
    </row>
    <row r="162" spans="1:7" x14ac:dyDescent="0.35">
      <c r="A162">
        <v>1001595</v>
      </c>
      <c r="B162" s="2">
        <v>46052</v>
      </c>
      <c r="C162" s="2">
        <v>46057</v>
      </c>
      <c r="D162">
        <v>5</v>
      </c>
      <c r="E162" t="s">
        <v>142</v>
      </c>
      <c r="F162" t="s">
        <v>143</v>
      </c>
      <c r="G162">
        <v>6</v>
      </c>
    </row>
    <row r="163" spans="1:7" x14ac:dyDescent="0.35">
      <c r="A163">
        <v>1001595</v>
      </c>
      <c r="B163" s="2">
        <v>46052</v>
      </c>
      <c r="C163" s="2">
        <v>46057</v>
      </c>
      <c r="D163">
        <v>5</v>
      </c>
      <c r="E163" t="s">
        <v>72</v>
      </c>
      <c r="F163" t="s">
        <v>71</v>
      </c>
      <c r="G163">
        <v>1</v>
      </c>
    </row>
    <row r="164" spans="1:7" x14ac:dyDescent="0.35">
      <c r="A164">
        <v>1001595</v>
      </c>
      <c r="B164" s="2">
        <v>46052</v>
      </c>
      <c r="C164" s="2">
        <v>46057</v>
      </c>
      <c r="D164">
        <v>5</v>
      </c>
      <c r="E164" t="s">
        <v>144</v>
      </c>
      <c r="F164" t="s">
        <v>71</v>
      </c>
      <c r="G164">
        <v>3</v>
      </c>
    </row>
    <row r="165" spans="1:7" x14ac:dyDescent="0.35">
      <c r="A165">
        <v>1001595</v>
      </c>
      <c r="B165" s="2">
        <v>46052</v>
      </c>
      <c r="C165" s="2">
        <v>46057</v>
      </c>
      <c r="D165">
        <v>5</v>
      </c>
      <c r="E165" t="s">
        <v>46</v>
      </c>
      <c r="F165" t="s">
        <v>47</v>
      </c>
      <c r="G165">
        <v>3</v>
      </c>
    </row>
    <row r="166" spans="1:7" x14ac:dyDescent="0.35">
      <c r="A166">
        <v>1001595</v>
      </c>
      <c r="B166" s="2">
        <v>46052</v>
      </c>
      <c r="C166" s="2">
        <v>46066</v>
      </c>
      <c r="D166">
        <v>14</v>
      </c>
      <c r="E166" t="s">
        <v>59</v>
      </c>
      <c r="F166" t="s">
        <v>60</v>
      </c>
      <c r="G166">
        <v>12</v>
      </c>
    </row>
    <row r="167" spans="1:7" x14ac:dyDescent="0.35">
      <c r="A167">
        <v>1001595</v>
      </c>
      <c r="B167" s="2">
        <v>46052</v>
      </c>
      <c r="C167" s="2">
        <v>46067</v>
      </c>
      <c r="D167">
        <v>15</v>
      </c>
      <c r="E167" t="s">
        <v>135</v>
      </c>
      <c r="F167" t="s">
        <v>51</v>
      </c>
      <c r="G167">
        <v>6</v>
      </c>
    </row>
    <row r="168" spans="1:7" x14ac:dyDescent="0.35">
      <c r="A168">
        <v>1001595</v>
      </c>
      <c r="B168" s="2">
        <v>46052</v>
      </c>
      <c r="C168" s="2">
        <v>46073</v>
      </c>
      <c r="D168">
        <v>21</v>
      </c>
      <c r="E168" t="s">
        <v>59</v>
      </c>
      <c r="F168" t="s">
        <v>60</v>
      </c>
      <c r="G168">
        <v>6</v>
      </c>
    </row>
    <row r="169" spans="1:7" x14ac:dyDescent="0.35">
      <c r="A169">
        <v>1001595</v>
      </c>
      <c r="B169" s="2">
        <v>46052</v>
      </c>
      <c r="C169" s="2">
        <v>46073</v>
      </c>
      <c r="D169">
        <v>21</v>
      </c>
      <c r="E169" t="s">
        <v>74</v>
      </c>
      <c r="F169" t="s">
        <v>47</v>
      </c>
      <c r="G169">
        <v>6</v>
      </c>
    </row>
    <row r="170" spans="1:7" x14ac:dyDescent="0.35">
      <c r="A170">
        <v>1001595</v>
      </c>
      <c r="B170" s="2">
        <v>46052</v>
      </c>
      <c r="C170" s="2">
        <v>46073</v>
      </c>
      <c r="D170">
        <v>21</v>
      </c>
      <c r="E170" t="s">
        <v>46</v>
      </c>
      <c r="F170" t="s">
        <v>47</v>
      </c>
      <c r="G170">
        <v>6</v>
      </c>
    </row>
    <row r="171" spans="1:7" x14ac:dyDescent="0.35">
      <c r="A171">
        <v>1001595</v>
      </c>
      <c r="B171" s="2">
        <v>46052</v>
      </c>
      <c r="C171" s="2">
        <v>46077</v>
      </c>
      <c r="D171">
        <v>25</v>
      </c>
      <c r="E171" t="s">
        <v>72</v>
      </c>
      <c r="F171" t="s">
        <v>71</v>
      </c>
      <c r="G171">
        <v>2</v>
      </c>
    </row>
    <row r="172" spans="1:7" x14ac:dyDescent="0.35">
      <c r="A172">
        <v>1001595</v>
      </c>
      <c r="B172" s="2">
        <v>46052</v>
      </c>
      <c r="C172" s="2">
        <v>46078</v>
      </c>
      <c r="D172">
        <v>26</v>
      </c>
      <c r="E172" t="s">
        <v>42</v>
      </c>
      <c r="F172" t="s">
        <v>43</v>
      </c>
      <c r="G172">
        <v>6</v>
      </c>
    </row>
    <row r="173" spans="1:7" x14ac:dyDescent="0.35">
      <c r="A173">
        <v>1001599</v>
      </c>
      <c r="B173" s="2">
        <v>46052</v>
      </c>
      <c r="C173" s="2">
        <v>46071</v>
      </c>
      <c r="D173">
        <v>19</v>
      </c>
      <c r="E173" t="s">
        <v>142</v>
      </c>
      <c r="F173" t="s">
        <v>143</v>
      </c>
      <c r="G173">
        <v>6</v>
      </c>
    </row>
    <row r="174" spans="1:7" x14ac:dyDescent="0.35">
      <c r="A174">
        <v>1001599</v>
      </c>
      <c r="B174" s="2">
        <v>46052</v>
      </c>
      <c r="C174" s="2">
        <v>46071</v>
      </c>
      <c r="D174">
        <v>19</v>
      </c>
      <c r="E174" t="s">
        <v>74</v>
      </c>
      <c r="F174" t="s">
        <v>47</v>
      </c>
      <c r="G174">
        <v>6</v>
      </c>
    </row>
    <row r="175" spans="1:7" x14ac:dyDescent="0.35">
      <c r="A175">
        <v>1001599</v>
      </c>
      <c r="B175" s="2">
        <v>46052</v>
      </c>
      <c r="C175" s="2">
        <v>46071</v>
      </c>
      <c r="D175">
        <v>19</v>
      </c>
      <c r="E175" t="s">
        <v>133</v>
      </c>
      <c r="F175" t="s">
        <v>47</v>
      </c>
      <c r="G175">
        <v>12</v>
      </c>
    </row>
    <row r="176" spans="1:7" x14ac:dyDescent="0.35">
      <c r="A176">
        <v>1001599</v>
      </c>
      <c r="B176" s="2">
        <v>46052</v>
      </c>
      <c r="C176" s="2">
        <v>46071</v>
      </c>
      <c r="D176">
        <v>19</v>
      </c>
      <c r="E176" t="s">
        <v>90</v>
      </c>
      <c r="F176" t="s">
        <v>35</v>
      </c>
      <c r="G176">
        <v>6</v>
      </c>
    </row>
    <row r="177" spans="1:7" x14ac:dyDescent="0.35">
      <c r="A177">
        <v>1001599</v>
      </c>
      <c r="B177" s="2">
        <v>46052</v>
      </c>
      <c r="C177" s="2">
        <v>46071</v>
      </c>
      <c r="D177">
        <v>19</v>
      </c>
      <c r="E177" t="s">
        <v>34</v>
      </c>
      <c r="F177" t="s">
        <v>35</v>
      </c>
      <c r="G177">
        <v>6</v>
      </c>
    </row>
    <row r="178" spans="1:7" x14ac:dyDescent="0.35">
      <c r="A178">
        <v>1001599</v>
      </c>
      <c r="B178" s="2">
        <v>46052</v>
      </c>
      <c r="C178" s="2">
        <v>46071</v>
      </c>
      <c r="D178">
        <v>19</v>
      </c>
      <c r="E178" t="s">
        <v>145</v>
      </c>
      <c r="F178" t="s">
        <v>39</v>
      </c>
      <c r="G178">
        <v>6</v>
      </c>
    </row>
    <row r="179" spans="1:7" x14ac:dyDescent="0.35">
      <c r="A179">
        <v>1001599</v>
      </c>
      <c r="B179" s="2">
        <v>46052</v>
      </c>
      <c r="C179" s="2">
        <v>46071</v>
      </c>
      <c r="D179">
        <v>19</v>
      </c>
      <c r="E179" t="s">
        <v>146</v>
      </c>
      <c r="F179" t="s">
        <v>55</v>
      </c>
      <c r="G179">
        <v>12</v>
      </c>
    </row>
    <row r="180" spans="1:7" x14ac:dyDescent="0.35">
      <c r="A180">
        <v>1001599</v>
      </c>
      <c r="B180" s="2">
        <v>46052</v>
      </c>
      <c r="C180" s="2">
        <v>46071</v>
      </c>
      <c r="D180">
        <v>19</v>
      </c>
      <c r="E180" t="s">
        <v>59</v>
      </c>
      <c r="F180" t="s">
        <v>60</v>
      </c>
      <c r="G180">
        <v>6</v>
      </c>
    </row>
    <row r="181" spans="1:7" x14ac:dyDescent="0.35">
      <c r="A181">
        <v>1001599</v>
      </c>
      <c r="B181" s="2">
        <v>46052</v>
      </c>
      <c r="C181" s="2">
        <v>46071</v>
      </c>
      <c r="D181">
        <v>19</v>
      </c>
      <c r="E181" t="s">
        <v>79</v>
      </c>
      <c r="F181" t="s">
        <v>60</v>
      </c>
      <c r="G181">
        <v>6</v>
      </c>
    </row>
    <row r="182" spans="1:7" x14ac:dyDescent="0.35">
      <c r="A182">
        <v>1001599</v>
      </c>
      <c r="B182" s="2">
        <v>46052</v>
      </c>
      <c r="C182" s="2">
        <v>46071</v>
      </c>
      <c r="D182">
        <v>19</v>
      </c>
      <c r="E182" t="s">
        <v>147</v>
      </c>
      <c r="F182" t="s">
        <v>39</v>
      </c>
      <c r="G182">
        <v>6</v>
      </c>
    </row>
    <row r="183" spans="1:7" x14ac:dyDescent="0.35">
      <c r="A183">
        <v>1001599</v>
      </c>
      <c r="B183" s="2">
        <v>46052</v>
      </c>
      <c r="C183" s="2">
        <v>46078</v>
      </c>
      <c r="D183">
        <v>26</v>
      </c>
      <c r="E183" t="s">
        <v>46</v>
      </c>
      <c r="F183" t="s">
        <v>47</v>
      </c>
      <c r="G183">
        <v>6</v>
      </c>
    </row>
    <row r="184" spans="1:7" x14ac:dyDescent="0.35">
      <c r="A184">
        <v>1001599</v>
      </c>
      <c r="B184" s="2">
        <v>46052</v>
      </c>
      <c r="C184" s="2">
        <v>46078</v>
      </c>
      <c r="D184">
        <v>26</v>
      </c>
      <c r="E184" t="s">
        <v>42</v>
      </c>
      <c r="F184" t="s">
        <v>43</v>
      </c>
      <c r="G184">
        <v>6</v>
      </c>
    </row>
    <row r="185" spans="1:7" x14ac:dyDescent="0.35">
      <c r="A185">
        <v>1001600</v>
      </c>
      <c r="B185" s="2">
        <v>46052</v>
      </c>
      <c r="C185" s="2">
        <v>46053</v>
      </c>
      <c r="D185">
        <v>1</v>
      </c>
      <c r="E185" t="s">
        <v>59</v>
      </c>
      <c r="F185" t="s">
        <v>60</v>
      </c>
      <c r="G185">
        <v>3</v>
      </c>
    </row>
    <row r="186" spans="1:7" x14ac:dyDescent="0.35">
      <c r="A186">
        <v>1001600</v>
      </c>
      <c r="B186" s="2">
        <v>46052</v>
      </c>
      <c r="C186" s="2">
        <v>46053</v>
      </c>
      <c r="D186">
        <v>1</v>
      </c>
      <c r="E186" t="s">
        <v>79</v>
      </c>
      <c r="F186" t="s">
        <v>60</v>
      </c>
      <c r="G186">
        <v>6</v>
      </c>
    </row>
    <row r="187" spans="1:7" x14ac:dyDescent="0.35">
      <c r="A187">
        <v>1001600</v>
      </c>
      <c r="B187" s="2">
        <v>46052</v>
      </c>
      <c r="C187" s="2">
        <v>46053</v>
      </c>
      <c r="D187">
        <v>1</v>
      </c>
      <c r="E187" t="s">
        <v>108</v>
      </c>
      <c r="F187" t="s">
        <v>109</v>
      </c>
      <c r="G187">
        <v>6</v>
      </c>
    </row>
    <row r="188" spans="1:7" x14ac:dyDescent="0.35">
      <c r="A188">
        <v>1001600</v>
      </c>
      <c r="B188" s="2">
        <v>46052</v>
      </c>
      <c r="C188" s="2">
        <v>46053</v>
      </c>
      <c r="D188">
        <v>1</v>
      </c>
      <c r="E188" t="s">
        <v>59</v>
      </c>
      <c r="F188" t="s">
        <v>60</v>
      </c>
      <c r="G188">
        <v>-3</v>
      </c>
    </row>
    <row r="189" spans="1:7" x14ac:dyDescent="0.35">
      <c r="A189">
        <v>1001600</v>
      </c>
      <c r="B189" s="2">
        <v>46052</v>
      </c>
      <c r="C189" s="2">
        <v>46053</v>
      </c>
      <c r="D189">
        <v>1</v>
      </c>
      <c r="E189" t="s">
        <v>79</v>
      </c>
      <c r="F189" t="s">
        <v>60</v>
      </c>
      <c r="G189">
        <v>-6</v>
      </c>
    </row>
    <row r="190" spans="1:7" x14ac:dyDescent="0.35">
      <c r="A190">
        <v>1001600</v>
      </c>
      <c r="B190" s="2">
        <v>46052</v>
      </c>
      <c r="C190" s="2">
        <v>46053</v>
      </c>
      <c r="D190">
        <v>1</v>
      </c>
      <c r="E190" t="s">
        <v>108</v>
      </c>
      <c r="F190" t="s">
        <v>109</v>
      </c>
      <c r="G190">
        <v>-6</v>
      </c>
    </row>
    <row r="191" spans="1:7" x14ac:dyDescent="0.35">
      <c r="A191">
        <v>1001600</v>
      </c>
      <c r="B191" s="2">
        <v>46052</v>
      </c>
      <c r="C191" s="2">
        <v>46057</v>
      </c>
      <c r="D191">
        <v>5</v>
      </c>
      <c r="E191" t="s">
        <v>59</v>
      </c>
      <c r="F191" t="s">
        <v>60</v>
      </c>
      <c r="G191">
        <v>3</v>
      </c>
    </row>
    <row r="192" spans="1:7" x14ac:dyDescent="0.35">
      <c r="A192">
        <v>1001600</v>
      </c>
      <c r="B192" s="2">
        <v>46052</v>
      </c>
      <c r="C192" s="2">
        <v>46057</v>
      </c>
      <c r="D192">
        <v>5</v>
      </c>
      <c r="E192" t="s">
        <v>79</v>
      </c>
      <c r="F192" t="s">
        <v>60</v>
      </c>
      <c r="G192">
        <v>6</v>
      </c>
    </row>
    <row r="193" spans="1:7" x14ac:dyDescent="0.35">
      <c r="A193">
        <v>1001600</v>
      </c>
      <c r="B193" s="2">
        <v>46052</v>
      </c>
      <c r="C193" s="2">
        <v>46057</v>
      </c>
      <c r="D193">
        <v>5</v>
      </c>
      <c r="E193" t="s">
        <v>108</v>
      </c>
      <c r="F193" t="s">
        <v>109</v>
      </c>
      <c r="G193">
        <v>6</v>
      </c>
    </row>
    <row r="194" spans="1:7" x14ac:dyDescent="0.35">
      <c r="A194">
        <v>1001600</v>
      </c>
      <c r="B194" s="2">
        <v>46052</v>
      </c>
      <c r="C194" s="2">
        <v>46060</v>
      </c>
      <c r="D194">
        <v>8</v>
      </c>
      <c r="E194" t="s">
        <v>74</v>
      </c>
      <c r="F194" t="s">
        <v>47</v>
      </c>
      <c r="G194">
        <v>3</v>
      </c>
    </row>
    <row r="195" spans="1:7" x14ac:dyDescent="0.35">
      <c r="A195">
        <v>1001600</v>
      </c>
      <c r="B195" s="2">
        <v>46052</v>
      </c>
      <c r="C195" s="2">
        <v>46060</v>
      </c>
      <c r="D195">
        <v>8</v>
      </c>
      <c r="E195" t="s">
        <v>133</v>
      </c>
      <c r="F195" t="s">
        <v>47</v>
      </c>
      <c r="G195">
        <v>6</v>
      </c>
    </row>
    <row r="196" spans="1:7" x14ac:dyDescent="0.35">
      <c r="A196">
        <v>1001600</v>
      </c>
      <c r="B196" s="2">
        <v>46052</v>
      </c>
      <c r="C196" s="2">
        <v>46070</v>
      </c>
      <c r="D196">
        <v>18</v>
      </c>
      <c r="E196" t="s">
        <v>59</v>
      </c>
      <c r="F196" t="s">
        <v>60</v>
      </c>
      <c r="G196">
        <v>3</v>
      </c>
    </row>
    <row r="197" spans="1:7" x14ac:dyDescent="0.35">
      <c r="A197">
        <v>1001600</v>
      </c>
      <c r="B197" s="2">
        <v>46052</v>
      </c>
      <c r="C197" s="2">
        <v>46070</v>
      </c>
      <c r="D197">
        <v>18</v>
      </c>
      <c r="E197" t="s">
        <v>148</v>
      </c>
      <c r="F197" t="s">
        <v>143</v>
      </c>
      <c r="G197">
        <v>3</v>
      </c>
    </row>
    <row r="198" spans="1:7" x14ac:dyDescent="0.35">
      <c r="A198">
        <v>1001600</v>
      </c>
      <c r="B198" s="2">
        <v>46052</v>
      </c>
      <c r="C198" s="2">
        <v>46074</v>
      </c>
      <c r="D198">
        <v>22</v>
      </c>
      <c r="E198" t="s">
        <v>46</v>
      </c>
      <c r="F198" t="s">
        <v>47</v>
      </c>
      <c r="G198">
        <v>3</v>
      </c>
    </row>
    <row r="199" spans="1:7" x14ac:dyDescent="0.35">
      <c r="A199">
        <v>1001600</v>
      </c>
      <c r="B199" s="2">
        <v>46052</v>
      </c>
      <c r="C199" s="2">
        <v>46079</v>
      </c>
      <c r="D199">
        <v>27</v>
      </c>
      <c r="E199" t="s">
        <v>42</v>
      </c>
      <c r="F199" t="s">
        <v>43</v>
      </c>
      <c r="G199">
        <v>3</v>
      </c>
    </row>
    <row r="200" spans="1:7" x14ac:dyDescent="0.35">
      <c r="A200">
        <v>1001608</v>
      </c>
      <c r="B200" s="2">
        <v>46058</v>
      </c>
      <c r="C200" s="2">
        <v>46077</v>
      </c>
      <c r="D200">
        <v>19</v>
      </c>
      <c r="E200" t="s">
        <v>149</v>
      </c>
      <c r="F200" t="s">
        <v>32</v>
      </c>
      <c r="G200">
        <v>1</v>
      </c>
    </row>
    <row r="201" spans="1:7" x14ac:dyDescent="0.35">
      <c r="A201">
        <v>1001608</v>
      </c>
      <c r="B201" s="2">
        <v>46058</v>
      </c>
      <c r="C201" s="2">
        <v>46080</v>
      </c>
      <c r="D201">
        <v>22</v>
      </c>
      <c r="E201" t="s">
        <v>101</v>
      </c>
      <c r="F201" t="s">
        <v>102</v>
      </c>
      <c r="G201">
        <v>1</v>
      </c>
    </row>
    <row r="202" spans="1:7" x14ac:dyDescent="0.35">
      <c r="A202">
        <v>1001608</v>
      </c>
      <c r="B202" s="2">
        <v>46058</v>
      </c>
      <c r="C202" s="2">
        <v>46085</v>
      </c>
      <c r="D202">
        <v>27</v>
      </c>
      <c r="E202" t="s">
        <v>149</v>
      </c>
      <c r="F202" t="s">
        <v>32</v>
      </c>
      <c r="G202">
        <v>-1</v>
      </c>
    </row>
    <row r="203" spans="1:7" x14ac:dyDescent="0.35">
      <c r="A203">
        <v>1001609</v>
      </c>
      <c r="B203" s="2">
        <v>46058</v>
      </c>
      <c r="C203" s="2">
        <v>46063</v>
      </c>
      <c r="D203">
        <v>5</v>
      </c>
      <c r="E203" t="s">
        <v>13</v>
      </c>
      <c r="F203" t="s">
        <v>14</v>
      </c>
      <c r="G203">
        <v>12</v>
      </c>
    </row>
    <row r="204" spans="1:7" x14ac:dyDescent="0.35">
      <c r="A204">
        <v>1001609</v>
      </c>
      <c r="B204" s="2">
        <v>46058</v>
      </c>
      <c r="C204" s="2">
        <v>46063</v>
      </c>
      <c r="D204">
        <v>5</v>
      </c>
      <c r="E204" t="s">
        <v>150</v>
      </c>
      <c r="F204" t="s">
        <v>151</v>
      </c>
      <c r="G204">
        <v>6</v>
      </c>
    </row>
    <row r="205" spans="1:7" x14ac:dyDescent="0.35">
      <c r="A205">
        <v>1001609</v>
      </c>
      <c r="B205" s="2">
        <v>46058</v>
      </c>
      <c r="C205" s="2">
        <v>46063</v>
      </c>
      <c r="D205">
        <v>5</v>
      </c>
      <c r="E205" t="s">
        <v>21</v>
      </c>
      <c r="F205" t="s">
        <v>22</v>
      </c>
      <c r="G205">
        <v>6</v>
      </c>
    </row>
    <row r="206" spans="1:7" x14ac:dyDescent="0.35">
      <c r="A206">
        <v>1001609</v>
      </c>
      <c r="B206" s="2">
        <v>46058</v>
      </c>
      <c r="C206" s="2">
        <v>46063</v>
      </c>
      <c r="D206">
        <v>5</v>
      </c>
      <c r="E206" t="s">
        <v>57</v>
      </c>
      <c r="F206" t="s">
        <v>58</v>
      </c>
      <c r="G206">
        <v>6</v>
      </c>
    </row>
    <row r="207" spans="1:7" x14ac:dyDescent="0.35">
      <c r="A207">
        <v>1001609</v>
      </c>
      <c r="B207" s="2">
        <v>46058</v>
      </c>
      <c r="C207" s="2">
        <v>46063</v>
      </c>
      <c r="D207">
        <v>5</v>
      </c>
      <c r="E207" t="s">
        <v>152</v>
      </c>
      <c r="F207" t="s">
        <v>153</v>
      </c>
      <c r="G207">
        <v>6</v>
      </c>
    </row>
    <row r="208" spans="1:7" x14ac:dyDescent="0.35">
      <c r="A208">
        <v>1001609</v>
      </c>
      <c r="B208" s="2">
        <v>46058</v>
      </c>
      <c r="C208" s="2">
        <v>46070</v>
      </c>
      <c r="D208">
        <v>12</v>
      </c>
      <c r="E208" t="s">
        <v>90</v>
      </c>
      <c r="F208" t="s">
        <v>35</v>
      </c>
      <c r="G208">
        <v>6</v>
      </c>
    </row>
    <row r="209" spans="1:7" x14ac:dyDescent="0.35">
      <c r="A209">
        <v>1001609</v>
      </c>
      <c r="B209" s="2">
        <v>46058</v>
      </c>
      <c r="C209" s="2">
        <v>46078</v>
      </c>
      <c r="D209">
        <v>20</v>
      </c>
      <c r="E209" t="s">
        <v>9</v>
      </c>
      <c r="F209" t="s">
        <v>10</v>
      </c>
      <c r="G209">
        <v>12</v>
      </c>
    </row>
    <row r="210" spans="1:7" x14ac:dyDescent="0.35">
      <c r="A210">
        <v>1001611</v>
      </c>
      <c r="B210" s="2">
        <v>46053</v>
      </c>
      <c r="C210" s="2">
        <v>46057</v>
      </c>
      <c r="D210">
        <v>4</v>
      </c>
      <c r="E210" t="s">
        <v>9</v>
      </c>
      <c r="F210" t="s">
        <v>10</v>
      </c>
      <c r="G210">
        <v>6</v>
      </c>
    </row>
    <row r="211" spans="1:7" x14ac:dyDescent="0.35">
      <c r="A211">
        <v>1001611</v>
      </c>
      <c r="B211" s="2">
        <v>46053</v>
      </c>
      <c r="C211" s="2">
        <v>46057</v>
      </c>
      <c r="D211">
        <v>4</v>
      </c>
      <c r="E211" t="s">
        <v>13</v>
      </c>
      <c r="F211" t="s">
        <v>14</v>
      </c>
      <c r="G211">
        <v>6</v>
      </c>
    </row>
    <row r="212" spans="1:7" x14ac:dyDescent="0.35">
      <c r="A212">
        <v>1001611</v>
      </c>
      <c r="B212" s="2">
        <v>46053</v>
      </c>
      <c r="C212" s="2">
        <v>46057</v>
      </c>
      <c r="D212">
        <v>4</v>
      </c>
      <c r="E212" t="s">
        <v>21</v>
      </c>
      <c r="F212" t="s">
        <v>22</v>
      </c>
      <c r="G212">
        <v>6</v>
      </c>
    </row>
    <row r="213" spans="1:7" x14ac:dyDescent="0.35">
      <c r="A213">
        <v>1001611</v>
      </c>
      <c r="B213" s="2">
        <v>46053</v>
      </c>
      <c r="C213" s="2">
        <v>46057</v>
      </c>
      <c r="D213">
        <v>4</v>
      </c>
      <c r="E213" t="s">
        <v>25</v>
      </c>
      <c r="F213" t="s">
        <v>26</v>
      </c>
      <c r="G213">
        <v>6</v>
      </c>
    </row>
    <row r="214" spans="1:7" x14ac:dyDescent="0.35">
      <c r="A214">
        <v>1001611</v>
      </c>
      <c r="B214" s="2">
        <v>46053</v>
      </c>
      <c r="C214" s="2">
        <v>46057</v>
      </c>
      <c r="D214">
        <v>4</v>
      </c>
      <c r="E214" t="s">
        <v>7</v>
      </c>
      <c r="F214" t="s">
        <v>8</v>
      </c>
      <c r="G214">
        <v>6</v>
      </c>
    </row>
    <row r="215" spans="1:7" x14ac:dyDescent="0.35">
      <c r="A215">
        <v>1001611</v>
      </c>
      <c r="B215" s="2">
        <v>46053</v>
      </c>
      <c r="C215" s="2">
        <v>46057</v>
      </c>
      <c r="D215">
        <v>4</v>
      </c>
      <c r="E215" t="s">
        <v>11</v>
      </c>
      <c r="F215" t="s">
        <v>12</v>
      </c>
      <c r="G215">
        <v>6</v>
      </c>
    </row>
    <row r="216" spans="1:7" x14ac:dyDescent="0.35">
      <c r="A216">
        <v>1001611</v>
      </c>
      <c r="B216" s="2">
        <v>46053</v>
      </c>
      <c r="C216" s="2">
        <v>46057</v>
      </c>
      <c r="D216">
        <v>4</v>
      </c>
      <c r="E216" t="s">
        <v>27</v>
      </c>
      <c r="F216" t="s">
        <v>28</v>
      </c>
      <c r="G216">
        <v>6</v>
      </c>
    </row>
    <row r="217" spans="1:7" x14ac:dyDescent="0.35">
      <c r="A217">
        <v>1001611</v>
      </c>
      <c r="B217" s="2">
        <v>46053</v>
      </c>
      <c r="C217" s="2">
        <v>46062</v>
      </c>
      <c r="D217">
        <v>9</v>
      </c>
      <c r="E217" t="s">
        <v>23</v>
      </c>
      <c r="F217" t="s">
        <v>24</v>
      </c>
      <c r="G217">
        <v>6</v>
      </c>
    </row>
    <row r="218" spans="1:7" x14ac:dyDescent="0.35">
      <c r="A218">
        <v>1001611</v>
      </c>
      <c r="B218" s="2">
        <v>46053</v>
      </c>
      <c r="C218" s="2">
        <v>46067</v>
      </c>
      <c r="D218">
        <v>14</v>
      </c>
      <c r="E218" t="s">
        <v>134</v>
      </c>
      <c r="F218" t="s">
        <v>49</v>
      </c>
      <c r="G218">
        <v>6</v>
      </c>
    </row>
    <row r="219" spans="1:7" x14ac:dyDescent="0.35">
      <c r="A219">
        <v>1001615</v>
      </c>
      <c r="B219" s="2">
        <v>46058</v>
      </c>
      <c r="C219" s="2">
        <v>46063</v>
      </c>
      <c r="D219">
        <v>5</v>
      </c>
      <c r="E219" t="s">
        <v>50</v>
      </c>
      <c r="F219" t="s">
        <v>51</v>
      </c>
      <c r="G219">
        <v>5</v>
      </c>
    </row>
    <row r="220" spans="1:7" x14ac:dyDescent="0.35">
      <c r="A220">
        <v>1001615</v>
      </c>
      <c r="B220" s="2">
        <v>46058</v>
      </c>
      <c r="C220" s="2">
        <v>46063</v>
      </c>
      <c r="D220">
        <v>5</v>
      </c>
      <c r="E220" t="s">
        <v>134</v>
      </c>
      <c r="F220" t="s">
        <v>49</v>
      </c>
      <c r="G220">
        <v>2</v>
      </c>
    </row>
    <row r="221" spans="1:7" x14ac:dyDescent="0.35">
      <c r="A221">
        <v>1001615</v>
      </c>
      <c r="B221" s="2">
        <v>46058</v>
      </c>
      <c r="C221" s="2">
        <v>46063</v>
      </c>
      <c r="D221">
        <v>5</v>
      </c>
      <c r="E221" t="s">
        <v>135</v>
      </c>
      <c r="F221" t="s">
        <v>51</v>
      </c>
      <c r="G221">
        <v>4</v>
      </c>
    </row>
    <row r="222" spans="1:7" x14ac:dyDescent="0.35">
      <c r="A222">
        <v>1001615</v>
      </c>
      <c r="B222" s="2">
        <v>46058</v>
      </c>
      <c r="C222" s="2">
        <v>46063</v>
      </c>
      <c r="D222">
        <v>5</v>
      </c>
      <c r="E222" t="s">
        <v>154</v>
      </c>
      <c r="F222" t="s">
        <v>155</v>
      </c>
      <c r="G222">
        <v>6</v>
      </c>
    </row>
    <row r="223" spans="1:7" x14ac:dyDescent="0.35">
      <c r="A223">
        <v>1001615</v>
      </c>
      <c r="B223" s="2">
        <v>46058</v>
      </c>
      <c r="C223" s="2">
        <v>46063</v>
      </c>
      <c r="D223">
        <v>5</v>
      </c>
      <c r="E223" t="s">
        <v>156</v>
      </c>
      <c r="F223" t="s">
        <v>157</v>
      </c>
      <c r="G223">
        <v>6</v>
      </c>
    </row>
    <row r="224" spans="1:7" x14ac:dyDescent="0.35">
      <c r="A224">
        <v>1001615</v>
      </c>
      <c r="B224" s="2">
        <v>46058</v>
      </c>
      <c r="C224" s="2">
        <v>46063</v>
      </c>
      <c r="D224">
        <v>5</v>
      </c>
      <c r="E224" t="s">
        <v>158</v>
      </c>
      <c r="F224" t="s">
        <v>159</v>
      </c>
      <c r="G224">
        <v>6</v>
      </c>
    </row>
    <row r="225" spans="1:7" x14ac:dyDescent="0.35">
      <c r="A225">
        <v>1001615</v>
      </c>
      <c r="B225" s="2">
        <v>46058</v>
      </c>
      <c r="C225" s="2">
        <v>46063</v>
      </c>
      <c r="D225">
        <v>5</v>
      </c>
      <c r="E225" t="s">
        <v>57</v>
      </c>
      <c r="F225" t="s">
        <v>58</v>
      </c>
      <c r="G225">
        <v>6</v>
      </c>
    </row>
    <row r="226" spans="1:7" x14ac:dyDescent="0.35">
      <c r="A226">
        <v>1001615</v>
      </c>
      <c r="B226" s="2">
        <v>46058</v>
      </c>
      <c r="C226" s="2">
        <v>46063</v>
      </c>
      <c r="D226">
        <v>5</v>
      </c>
      <c r="E226" t="s">
        <v>160</v>
      </c>
      <c r="F226" t="s">
        <v>161</v>
      </c>
      <c r="G226">
        <v>12</v>
      </c>
    </row>
    <row r="227" spans="1:7" x14ac:dyDescent="0.35">
      <c r="A227">
        <v>1001615</v>
      </c>
      <c r="B227" s="2">
        <v>46058</v>
      </c>
      <c r="C227" s="2">
        <v>46063</v>
      </c>
      <c r="D227">
        <v>5</v>
      </c>
      <c r="E227" t="s">
        <v>103</v>
      </c>
      <c r="F227" t="s">
        <v>94</v>
      </c>
      <c r="G227">
        <v>8</v>
      </c>
    </row>
    <row r="228" spans="1:7" x14ac:dyDescent="0.35">
      <c r="A228">
        <v>1001615</v>
      </c>
      <c r="B228" s="2">
        <v>46058</v>
      </c>
      <c r="C228" s="2">
        <v>46063</v>
      </c>
      <c r="D228">
        <v>5</v>
      </c>
      <c r="E228" t="s">
        <v>91</v>
      </c>
      <c r="F228" t="s">
        <v>92</v>
      </c>
      <c r="G228">
        <v>15</v>
      </c>
    </row>
    <row r="229" spans="1:7" x14ac:dyDescent="0.35">
      <c r="A229">
        <v>1001615</v>
      </c>
      <c r="B229" s="2">
        <v>46058</v>
      </c>
      <c r="C229" s="2">
        <v>46063</v>
      </c>
      <c r="D229">
        <v>5</v>
      </c>
      <c r="E229" t="s">
        <v>162</v>
      </c>
      <c r="F229" t="s">
        <v>163</v>
      </c>
      <c r="G229">
        <v>3</v>
      </c>
    </row>
    <row r="230" spans="1:7" x14ac:dyDescent="0.35">
      <c r="A230">
        <v>1001615</v>
      </c>
      <c r="B230" s="2">
        <v>46058</v>
      </c>
      <c r="C230" s="2">
        <v>46063</v>
      </c>
      <c r="D230">
        <v>5</v>
      </c>
      <c r="E230" t="s">
        <v>40</v>
      </c>
      <c r="F230" t="s">
        <v>41</v>
      </c>
      <c r="G230">
        <v>2</v>
      </c>
    </row>
    <row r="231" spans="1:7" x14ac:dyDescent="0.35">
      <c r="A231">
        <v>1001615</v>
      </c>
      <c r="B231" s="2">
        <v>46058</v>
      </c>
      <c r="C231" s="2">
        <v>46072</v>
      </c>
      <c r="D231">
        <v>14</v>
      </c>
      <c r="E231" t="s">
        <v>154</v>
      </c>
      <c r="F231" t="s">
        <v>155</v>
      </c>
      <c r="G231">
        <v>-6</v>
      </c>
    </row>
    <row r="232" spans="1:7" x14ac:dyDescent="0.35">
      <c r="A232">
        <v>1001615</v>
      </c>
      <c r="B232" s="2">
        <v>46058</v>
      </c>
      <c r="C232" s="2">
        <v>46072</v>
      </c>
      <c r="D232">
        <v>14</v>
      </c>
      <c r="E232" t="s">
        <v>156</v>
      </c>
      <c r="F232" t="s">
        <v>157</v>
      </c>
      <c r="G232">
        <v>-6</v>
      </c>
    </row>
    <row r="233" spans="1:7" x14ac:dyDescent="0.35">
      <c r="A233">
        <v>1001615</v>
      </c>
      <c r="B233" s="2">
        <v>46058</v>
      </c>
      <c r="C233" s="2">
        <v>46072</v>
      </c>
      <c r="D233">
        <v>14</v>
      </c>
      <c r="E233" t="s">
        <v>158</v>
      </c>
      <c r="F233" t="s">
        <v>159</v>
      </c>
      <c r="G233">
        <v>-6</v>
      </c>
    </row>
    <row r="234" spans="1:7" x14ac:dyDescent="0.35">
      <c r="A234">
        <v>1001615</v>
      </c>
      <c r="B234" s="2">
        <v>46058</v>
      </c>
      <c r="C234" s="2">
        <v>46072</v>
      </c>
      <c r="D234">
        <v>14</v>
      </c>
      <c r="E234" t="s">
        <v>57</v>
      </c>
      <c r="F234" t="s">
        <v>58</v>
      </c>
      <c r="G234">
        <v>-6</v>
      </c>
    </row>
    <row r="235" spans="1:7" x14ac:dyDescent="0.35">
      <c r="A235">
        <v>1001615</v>
      </c>
      <c r="B235" s="2">
        <v>46058</v>
      </c>
      <c r="C235" s="2">
        <v>46072</v>
      </c>
      <c r="D235">
        <v>14</v>
      </c>
      <c r="E235" t="s">
        <v>160</v>
      </c>
      <c r="F235" t="s">
        <v>161</v>
      </c>
      <c r="G235">
        <v>-12</v>
      </c>
    </row>
    <row r="236" spans="1:7" x14ac:dyDescent="0.35">
      <c r="A236">
        <v>1001615</v>
      </c>
      <c r="B236" s="2">
        <v>46058</v>
      </c>
      <c r="C236" s="2">
        <v>46072</v>
      </c>
      <c r="D236">
        <v>14</v>
      </c>
      <c r="E236" t="s">
        <v>103</v>
      </c>
      <c r="F236" t="s">
        <v>94</v>
      </c>
      <c r="G236">
        <v>-8</v>
      </c>
    </row>
    <row r="237" spans="1:7" x14ac:dyDescent="0.35">
      <c r="A237">
        <v>1001615</v>
      </c>
      <c r="B237" s="2">
        <v>46058</v>
      </c>
      <c r="C237" s="2">
        <v>46072</v>
      </c>
      <c r="D237">
        <v>14</v>
      </c>
      <c r="E237" t="s">
        <v>91</v>
      </c>
      <c r="F237" t="s">
        <v>92</v>
      </c>
      <c r="G237">
        <v>-15</v>
      </c>
    </row>
    <row r="238" spans="1:7" x14ac:dyDescent="0.35">
      <c r="A238">
        <v>1001615</v>
      </c>
      <c r="B238" s="2">
        <v>46058</v>
      </c>
      <c r="C238" s="2">
        <v>46072</v>
      </c>
      <c r="D238">
        <v>14</v>
      </c>
      <c r="E238" t="s">
        <v>162</v>
      </c>
      <c r="F238" t="s">
        <v>163</v>
      </c>
      <c r="G238">
        <v>-3</v>
      </c>
    </row>
    <row r="239" spans="1:7" x14ac:dyDescent="0.35">
      <c r="A239">
        <v>1001615</v>
      </c>
      <c r="B239" s="2">
        <v>46058</v>
      </c>
      <c r="C239" s="2">
        <v>46073</v>
      </c>
      <c r="D239">
        <v>15</v>
      </c>
      <c r="E239" t="s">
        <v>164</v>
      </c>
      <c r="F239" t="s">
        <v>62</v>
      </c>
      <c r="G239">
        <v>6</v>
      </c>
    </row>
    <row r="240" spans="1:7" x14ac:dyDescent="0.35">
      <c r="A240">
        <v>1001626</v>
      </c>
      <c r="B240" s="2">
        <v>46063</v>
      </c>
      <c r="C240" s="2">
        <v>46070</v>
      </c>
      <c r="D240">
        <v>7</v>
      </c>
      <c r="E240" t="s">
        <v>74</v>
      </c>
      <c r="F240" t="s">
        <v>47</v>
      </c>
      <c r="G240">
        <v>12</v>
      </c>
    </row>
    <row r="241" spans="1:7" x14ac:dyDescent="0.35">
      <c r="A241">
        <v>1001626</v>
      </c>
      <c r="B241" s="2">
        <v>46063</v>
      </c>
      <c r="C241" s="2">
        <v>46070</v>
      </c>
      <c r="D241">
        <v>7</v>
      </c>
      <c r="E241" t="s">
        <v>165</v>
      </c>
      <c r="F241" t="s">
        <v>127</v>
      </c>
      <c r="G241">
        <v>6</v>
      </c>
    </row>
    <row r="242" spans="1:7" x14ac:dyDescent="0.35">
      <c r="A242">
        <v>1001626</v>
      </c>
      <c r="B242" s="2">
        <v>46063</v>
      </c>
      <c r="C242" s="2">
        <v>46070</v>
      </c>
      <c r="D242">
        <v>7</v>
      </c>
      <c r="E242" t="s">
        <v>126</v>
      </c>
      <c r="F242" t="s">
        <v>127</v>
      </c>
      <c r="G242">
        <v>12</v>
      </c>
    </row>
    <row r="243" spans="1:7" x14ac:dyDescent="0.35">
      <c r="A243">
        <v>1001626</v>
      </c>
      <c r="B243" s="2">
        <v>46063</v>
      </c>
      <c r="C243" s="2">
        <v>46070</v>
      </c>
      <c r="D243">
        <v>7</v>
      </c>
      <c r="E243" t="s">
        <v>166</v>
      </c>
      <c r="F243" t="s">
        <v>111</v>
      </c>
      <c r="G243">
        <v>6</v>
      </c>
    </row>
    <row r="244" spans="1:7" x14ac:dyDescent="0.35">
      <c r="A244">
        <v>1001626</v>
      </c>
      <c r="B244" s="2">
        <v>46063</v>
      </c>
      <c r="C244" s="2">
        <v>46070</v>
      </c>
      <c r="D244">
        <v>7</v>
      </c>
      <c r="E244" t="s">
        <v>110</v>
      </c>
      <c r="F244" t="s">
        <v>111</v>
      </c>
      <c r="G244">
        <v>12</v>
      </c>
    </row>
    <row r="245" spans="1:7" x14ac:dyDescent="0.35">
      <c r="A245">
        <v>1001626</v>
      </c>
      <c r="B245" s="2">
        <v>46063</v>
      </c>
      <c r="C245" s="2">
        <v>46070</v>
      </c>
      <c r="D245">
        <v>7</v>
      </c>
      <c r="E245" t="s">
        <v>146</v>
      </c>
      <c r="F245" t="s">
        <v>55</v>
      </c>
      <c r="G245">
        <v>6</v>
      </c>
    </row>
    <row r="246" spans="1:7" x14ac:dyDescent="0.35">
      <c r="A246">
        <v>1001626</v>
      </c>
      <c r="B246" s="2">
        <v>46063</v>
      </c>
      <c r="C246" s="2">
        <v>46070</v>
      </c>
      <c r="D246">
        <v>7</v>
      </c>
      <c r="E246" t="s">
        <v>128</v>
      </c>
      <c r="F246" t="s">
        <v>125</v>
      </c>
      <c r="G246">
        <v>6</v>
      </c>
    </row>
    <row r="247" spans="1:7" x14ac:dyDescent="0.35">
      <c r="A247">
        <v>1001630</v>
      </c>
      <c r="B247" s="2">
        <v>46060</v>
      </c>
      <c r="C247" s="2">
        <v>46073</v>
      </c>
      <c r="D247">
        <v>13</v>
      </c>
      <c r="E247" t="s">
        <v>46</v>
      </c>
      <c r="F247" t="s">
        <v>47</v>
      </c>
      <c r="G247">
        <v>6</v>
      </c>
    </row>
    <row r="248" spans="1:7" x14ac:dyDescent="0.35">
      <c r="A248">
        <v>1001630</v>
      </c>
      <c r="B248" s="2">
        <v>46060</v>
      </c>
      <c r="C248" s="2">
        <v>46073</v>
      </c>
      <c r="D248">
        <v>13</v>
      </c>
      <c r="E248" t="s">
        <v>59</v>
      </c>
      <c r="F248" t="s">
        <v>60</v>
      </c>
      <c r="G248">
        <v>6</v>
      </c>
    </row>
    <row r="249" spans="1:7" x14ac:dyDescent="0.35">
      <c r="A249">
        <v>1001630</v>
      </c>
      <c r="B249" s="2">
        <v>46060</v>
      </c>
      <c r="C249" s="2">
        <v>46073</v>
      </c>
      <c r="D249">
        <v>13</v>
      </c>
      <c r="E249" t="s">
        <v>74</v>
      </c>
      <c r="F249" t="s">
        <v>47</v>
      </c>
      <c r="G249">
        <v>6</v>
      </c>
    </row>
    <row r="250" spans="1:7" x14ac:dyDescent="0.35">
      <c r="A250">
        <v>1001630</v>
      </c>
      <c r="B250" s="2">
        <v>46060</v>
      </c>
      <c r="C250" s="2">
        <v>46073</v>
      </c>
      <c r="D250">
        <v>13</v>
      </c>
      <c r="E250" t="s">
        <v>54</v>
      </c>
      <c r="F250" t="s">
        <v>55</v>
      </c>
      <c r="G250">
        <v>3</v>
      </c>
    </row>
    <row r="251" spans="1:7" x14ac:dyDescent="0.35">
      <c r="A251">
        <v>1001630</v>
      </c>
      <c r="B251" s="2">
        <v>46060</v>
      </c>
      <c r="C251" s="2">
        <v>46079</v>
      </c>
      <c r="D251">
        <v>19</v>
      </c>
      <c r="E251" t="s">
        <v>42</v>
      </c>
      <c r="F251" t="s">
        <v>43</v>
      </c>
      <c r="G251">
        <v>6</v>
      </c>
    </row>
    <row r="252" spans="1:7" x14ac:dyDescent="0.35">
      <c r="A252">
        <v>1001630</v>
      </c>
      <c r="B252" s="2">
        <v>46060</v>
      </c>
      <c r="C252" s="2">
        <v>46080</v>
      </c>
      <c r="D252">
        <v>20</v>
      </c>
      <c r="E252" t="s">
        <v>42</v>
      </c>
      <c r="F252" t="s">
        <v>43</v>
      </c>
      <c r="G252">
        <v>6</v>
      </c>
    </row>
    <row r="253" spans="1:7" x14ac:dyDescent="0.35">
      <c r="A253">
        <v>1001630</v>
      </c>
      <c r="B253" s="2">
        <v>46060</v>
      </c>
      <c r="C253" s="2">
        <v>46080</v>
      </c>
      <c r="D253">
        <v>20</v>
      </c>
      <c r="E253" t="s">
        <v>167</v>
      </c>
      <c r="F253" t="s">
        <v>55</v>
      </c>
      <c r="G253">
        <v>3</v>
      </c>
    </row>
    <row r="254" spans="1:7" x14ac:dyDescent="0.35">
      <c r="A254">
        <v>1001630</v>
      </c>
      <c r="B254" s="2">
        <v>46060</v>
      </c>
      <c r="C254" s="2">
        <v>46080</v>
      </c>
      <c r="D254">
        <v>20</v>
      </c>
      <c r="E254" t="s">
        <v>146</v>
      </c>
      <c r="F254" t="s">
        <v>55</v>
      </c>
      <c r="G254">
        <v>6</v>
      </c>
    </row>
    <row r="255" spans="1:7" x14ac:dyDescent="0.35">
      <c r="A255">
        <v>1001630</v>
      </c>
      <c r="B255" s="2">
        <v>46060</v>
      </c>
      <c r="C255" s="2">
        <v>46080</v>
      </c>
      <c r="D255">
        <v>20</v>
      </c>
      <c r="E255" t="s">
        <v>128</v>
      </c>
      <c r="F255" t="s">
        <v>125</v>
      </c>
      <c r="G255">
        <v>6</v>
      </c>
    </row>
    <row r="256" spans="1:7" x14ac:dyDescent="0.35">
      <c r="A256">
        <v>1001631</v>
      </c>
      <c r="B256" s="2">
        <v>46062</v>
      </c>
      <c r="C256" s="2">
        <v>46070</v>
      </c>
      <c r="D256">
        <v>8</v>
      </c>
      <c r="E256" t="s">
        <v>168</v>
      </c>
      <c r="F256" t="s">
        <v>169</v>
      </c>
      <c r="G256">
        <v>6</v>
      </c>
    </row>
    <row r="257" spans="1:7" x14ac:dyDescent="0.35">
      <c r="A257">
        <v>1001631</v>
      </c>
      <c r="B257" s="2">
        <v>46062</v>
      </c>
      <c r="C257" s="2">
        <v>46070</v>
      </c>
      <c r="D257">
        <v>8</v>
      </c>
      <c r="E257" t="s">
        <v>170</v>
      </c>
      <c r="F257" t="s">
        <v>171</v>
      </c>
      <c r="G257">
        <v>2</v>
      </c>
    </row>
    <row r="258" spans="1:7" x14ac:dyDescent="0.35">
      <c r="A258">
        <v>1001631</v>
      </c>
      <c r="B258" s="2">
        <v>46062</v>
      </c>
      <c r="C258" s="2">
        <v>46070</v>
      </c>
      <c r="D258">
        <v>8</v>
      </c>
      <c r="E258" t="s">
        <v>40</v>
      </c>
      <c r="F258" t="s">
        <v>41</v>
      </c>
      <c r="G258">
        <v>10</v>
      </c>
    </row>
    <row r="259" spans="1:7" x14ac:dyDescent="0.35">
      <c r="A259">
        <v>1001631</v>
      </c>
      <c r="B259" s="2">
        <v>46062</v>
      </c>
      <c r="C259" s="2">
        <v>46078</v>
      </c>
      <c r="D259">
        <v>16</v>
      </c>
      <c r="E259" t="s">
        <v>46</v>
      </c>
      <c r="F259" t="s">
        <v>47</v>
      </c>
      <c r="G259">
        <v>6</v>
      </c>
    </row>
    <row r="260" spans="1:7" x14ac:dyDescent="0.35">
      <c r="A260">
        <v>1001637</v>
      </c>
      <c r="B260" s="2">
        <v>46063</v>
      </c>
      <c r="C260" s="2">
        <v>46072</v>
      </c>
      <c r="D260">
        <v>9</v>
      </c>
      <c r="E260" t="s">
        <v>13</v>
      </c>
      <c r="F260" t="s">
        <v>14</v>
      </c>
      <c r="G260">
        <v>6</v>
      </c>
    </row>
    <row r="261" spans="1:7" x14ac:dyDescent="0.35">
      <c r="A261">
        <v>1001637</v>
      </c>
      <c r="B261" s="2">
        <v>46063</v>
      </c>
      <c r="C261" s="2">
        <v>46072</v>
      </c>
      <c r="D261">
        <v>9</v>
      </c>
      <c r="E261" t="s">
        <v>50</v>
      </c>
      <c r="F261" t="s">
        <v>51</v>
      </c>
      <c r="G261">
        <v>1</v>
      </c>
    </row>
    <row r="262" spans="1:7" x14ac:dyDescent="0.35">
      <c r="A262">
        <v>1001637</v>
      </c>
      <c r="B262" s="2">
        <v>46063</v>
      </c>
      <c r="C262" s="2">
        <v>46077</v>
      </c>
      <c r="D262">
        <v>14</v>
      </c>
      <c r="E262" t="s">
        <v>9</v>
      </c>
      <c r="F262" t="s">
        <v>10</v>
      </c>
      <c r="G262">
        <v>6</v>
      </c>
    </row>
    <row r="263" spans="1:7" x14ac:dyDescent="0.35">
      <c r="A263">
        <v>1001637</v>
      </c>
      <c r="B263" s="2">
        <v>46063</v>
      </c>
      <c r="C263" s="2">
        <v>46078</v>
      </c>
      <c r="D263">
        <v>15</v>
      </c>
      <c r="E263" t="s">
        <v>15</v>
      </c>
      <c r="F263" t="s">
        <v>16</v>
      </c>
      <c r="G263">
        <v>6</v>
      </c>
    </row>
    <row r="264" spans="1:7" x14ac:dyDescent="0.35">
      <c r="A264">
        <v>1001637</v>
      </c>
      <c r="B264" s="2">
        <v>46063</v>
      </c>
      <c r="C264" s="2">
        <v>46078</v>
      </c>
      <c r="D264">
        <v>15</v>
      </c>
      <c r="E264" t="s">
        <v>25</v>
      </c>
      <c r="F264" t="s">
        <v>26</v>
      </c>
      <c r="G264">
        <v>6</v>
      </c>
    </row>
    <row r="265" spans="1:7" x14ac:dyDescent="0.35">
      <c r="A265">
        <v>1001637</v>
      </c>
      <c r="B265" s="2">
        <v>46063</v>
      </c>
      <c r="C265" s="2">
        <v>46079</v>
      </c>
      <c r="D265">
        <v>16</v>
      </c>
      <c r="E265" t="s">
        <v>9</v>
      </c>
      <c r="F265" t="s">
        <v>10</v>
      </c>
      <c r="G265">
        <v>6</v>
      </c>
    </row>
    <row r="266" spans="1:7" x14ac:dyDescent="0.35">
      <c r="A266">
        <v>1001637</v>
      </c>
      <c r="B266" s="2">
        <v>46063</v>
      </c>
      <c r="C266" s="2">
        <v>46084</v>
      </c>
      <c r="D266">
        <v>21</v>
      </c>
      <c r="E266" t="s">
        <v>9</v>
      </c>
      <c r="F266" t="s">
        <v>10</v>
      </c>
      <c r="G266">
        <v>-6</v>
      </c>
    </row>
    <row r="267" spans="1:7" x14ac:dyDescent="0.35">
      <c r="A267">
        <v>1001637</v>
      </c>
      <c r="B267" s="2">
        <v>46063</v>
      </c>
      <c r="C267" s="2">
        <v>46091</v>
      </c>
      <c r="D267">
        <v>28</v>
      </c>
      <c r="E267" t="s">
        <v>86</v>
      </c>
      <c r="F267" t="s">
        <v>85</v>
      </c>
      <c r="G267">
        <v>2</v>
      </c>
    </row>
    <row r="268" spans="1:7" x14ac:dyDescent="0.35">
      <c r="A268">
        <v>1001640</v>
      </c>
      <c r="B268" s="2">
        <v>46063</v>
      </c>
      <c r="C268" s="2">
        <v>46064</v>
      </c>
      <c r="D268">
        <v>1</v>
      </c>
      <c r="E268" t="s">
        <v>59</v>
      </c>
      <c r="F268" t="s">
        <v>60</v>
      </c>
      <c r="G268">
        <v>3</v>
      </c>
    </row>
    <row r="269" spans="1:7" x14ac:dyDescent="0.35">
      <c r="A269">
        <v>1001640</v>
      </c>
      <c r="B269" s="2">
        <v>46063</v>
      </c>
      <c r="C269" s="2">
        <v>46064</v>
      </c>
      <c r="D269">
        <v>1</v>
      </c>
      <c r="E269" t="s">
        <v>74</v>
      </c>
      <c r="F269" t="s">
        <v>47</v>
      </c>
      <c r="G269">
        <v>3</v>
      </c>
    </row>
    <row r="270" spans="1:7" x14ac:dyDescent="0.35">
      <c r="A270">
        <v>1001640</v>
      </c>
      <c r="B270" s="2">
        <v>46063</v>
      </c>
      <c r="C270" s="2">
        <v>46064</v>
      </c>
      <c r="D270">
        <v>1</v>
      </c>
      <c r="E270" t="s">
        <v>172</v>
      </c>
      <c r="F270" t="s">
        <v>173</v>
      </c>
      <c r="G270">
        <v>1</v>
      </c>
    </row>
    <row r="271" spans="1:7" x14ac:dyDescent="0.35">
      <c r="A271">
        <v>1001640</v>
      </c>
      <c r="B271" s="2">
        <v>46063</v>
      </c>
      <c r="C271" s="2">
        <v>46064</v>
      </c>
      <c r="D271">
        <v>1</v>
      </c>
      <c r="E271" t="s">
        <v>174</v>
      </c>
      <c r="F271" t="s">
        <v>175</v>
      </c>
      <c r="G271">
        <v>1</v>
      </c>
    </row>
    <row r="272" spans="1:7" x14ac:dyDescent="0.35">
      <c r="A272">
        <v>1001641</v>
      </c>
      <c r="B272" s="2">
        <v>46063</v>
      </c>
      <c r="C272" s="2">
        <v>46067</v>
      </c>
      <c r="D272">
        <v>4</v>
      </c>
      <c r="E272" t="s">
        <v>176</v>
      </c>
      <c r="F272" t="s">
        <v>177</v>
      </c>
      <c r="G272">
        <v>2</v>
      </c>
    </row>
    <row r="273" spans="1:7" x14ac:dyDescent="0.35">
      <c r="A273">
        <v>1001641</v>
      </c>
      <c r="B273" s="2">
        <v>46063</v>
      </c>
      <c r="C273" s="2">
        <v>46067</v>
      </c>
      <c r="D273">
        <v>4</v>
      </c>
      <c r="E273" t="s">
        <v>178</v>
      </c>
      <c r="F273" t="s">
        <v>179</v>
      </c>
      <c r="G273">
        <v>3</v>
      </c>
    </row>
    <row r="274" spans="1:7" x14ac:dyDescent="0.35">
      <c r="A274">
        <v>1001641</v>
      </c>
      <c r="B274" s="2">
        <v>46063</v>
      </c>
      <c r="C274" s="2">
        <v>46067</v>
      </c>
      <c r="D274">
        <v>4</v>
      </c>
      <c r="E274" t="s">
        <v>180</v>
      </c>
      <c r="F274" t="s">
        <v>181</v>
      </c>
      <c r="G274">
        <v>1</v>
      </c>
    </row>
    <row r="275" spans="1:7" x14ac:dyDescent="0.35">
      <c r="A275">
        <v>1001641</v>
      </c>
      <c r="B275" s="2">
        <v>46063</v>
      </c>
      <c r="C275" s="2">
        <v>46067</v>
      </c>
      <c r="D275">
        <v>4</v>
      </c>
      <c r="E275" t="s">
        <v>182</v>
      </c>
      <c r="F275" t="s">
        <v>183</v>
      </c>
      <c r="G275">
        <v>1</v>
      </c>
    </row>
    <row r="276" spans="1:7" x14ac:dyDescent="0.35">
      <c r="A276">
        <v>1001641</v>
      </c>
      <c r="B276" s="2">
        <v>46063</v>
      </c>
      <c r="C276" s="2">
        <v>46067</v>
      </c>
      <c r="D276">
        <v>4</v>
      </c>
      <c r="E276" t="s">
        <v>77</v>
      </c>
      <c r="F276" t="s">
        <v>78</v>
      </c>
      <c r="G276">
        <v>4</v>
      </c>
    </row>
    <row r="277" spans="1:7" x14ac:dyDescent="0.35">
      <c r="A277">
        <v>1001641</v>
      </c>
      <c r="B277" s="2">
        <v>46063</v>
      </c>
      <c r="C277" s="2">
        <v>46067</v>
      </c>
      <c r="D277">
        <v>4</v>
      </c>
      <c r="E277" t="s">
        <v>176</v>
      </c>
      <c r="F277" t="s">
        <v>177</v>
      </c>
      <c r="G277">
        <v>-2</v>
      </c>
    </row>
    <row r="278" spans="1:7" x14ac:dyDescent="0.35">
      <c r="A278">
        <v>1001641</v>
      </c>
      <c r="B278" s="2">
        <v>46063</v>
      </c>
      <c r="C278" s="2">
        <v>46067</v>
      </c>
      <c r="D278">
        <v>4</v>
      </c>
      <c r="E278" t="s">
        <v>178</v>
      </c>
      <c r="F278" t="s">
        <v>179</v>
      </c>
      <c r="G278">
        <v>-3</v>
      </c>
    </row>
    <row r="279" spans="1:7" x14ac:dyDescent="0.35">
      <c r="A279">
        <v>1001641</v>
      </c>
      <c r="B279" s="2">
        <v>46063</v>
      </c>
      <c r="C279" s="2">
        <v>46067</v>
      </c>
      <c r="D279">
        <v>4</v>
      </c>
      <c r="E279" t="s">
        <v>180</v>
      </c>
      <c r="F279" t="s">
        <v>181</v>
      </c>
      <c r="G279">
        <v>-1</v>
      </c>
    </row>
    <row r="280" spans="1:7" x14ac:dyDescent="0.35">
      <c r="A280">
        <v>1001641</v>
      </c>
      <c r="B280" s="2">
        <v>46063</v>
      </c>
      <c r="C280" s="2">
        <v>46067</v>
      </c>
      <c r="D280">
        <v>4</v>
      </c>
      <c r="E280" t="s">
        <v>182</v>
      </c>
      <c r="F280" t="s">
        <v>183</v>
      </c>
      <c r="G280">
        <v>-1</v>
      </c>
    </row>
    <row r="281" spans="1:7" x14ac:dyDescent="0.35">
      <c r="A281">
        <v>1001641</v>
      </c>
      <c r="B281" s="2">
        <v>46063</v>
      </c>
      <c r="C281" s="2">
        <v>46067</v>
      </c>
      <c r="D281">
        <v>4</v>
      </c>
      <c r="E281" t="s">
        <v>77</v>
      </c>
      <c r="F281" t="s">
        <v>78</v>
      </c>
      <c r="G281">
        <v>-4</v>
      </c>
    </row>
    <row r="282" spans="1:7" x14ac:dyDescent="0.35">
      <c r="A282">
        <v>1001641</v>
      </c>
      <c r="B282" s="2">
        <v>46063</v>
      </c>
      <c r="C282" s="2">
        <v>46073</v>
      </c>
      <c r="D282">
        <v>10</v>
      </c>
      <c r="E282" t="s">
        <v>184</v>
      </c>
      <c r="F282" t="s">
        <v>143</v>
      </c>
      <c r="G282">
        <v>2</v>
      </c>
    </row>
    <row r="283" spans="1:7" x14ac:dyDescent="0.35">
      <c r="A283">
        <v>1001641</v>
      </c>
      <c r="B283" s="2">
        <v>46063</v>
      </c>
      <c r="C283" s="2">
        <v>46077</v>
      </c>
      <c r="D283">
        <v>14</v>
      </c>
      <c r="E283" t="s">
        <v>176</v>
      </c>
      <c r="F283" t="s">
        <v>177</v>
      </c>
      <c r="G283">
        <v>2</v>
      </c>
    </row>
    <row r="284" spans="1:7" x14ac:dyDescent="0.35">
      <c r="A284">
        <v>1001641</v>
      </c>
      <c r="B284" s="2">
        <v>46063</v>
      </c>
      <c r="C284" s="2">
        <v>46077</v>
      </c>
      <c r="D284">
        <v>14</v>
      </c>
      <c r="E284" t="s">
        <v>180</v>
      </c>
      <c r="F284" t="s">
        <v>181</v>
      </c>
      <c r="G284">
        <v>1</v>
      </c>
    </row>
    <row r="285" spans="1:7" x14ac:dyDescent="0.35">
      <c r="A285">
        <v>1001641</v>
      </c>
      <c r="B285" s="2">
        <v>46063</v>
      </c>
      <c r="C285" s="2">
        <v>46077</v>
      </c>
      <c r="D285">
        <v>14</v>
      </c>
      <c r="E285" t="s">
        <v>182</v>
      </c>
      <c r="F285" t="s">
        <v>183</v>
      </c>
      <c r="G285">
        <v>1</v>
      </c>
    </row>
    <row r="286" spans="1:7" x14ac:dyDescent="0.35">
      <c r="A286">
        <v>1001641</v>
      </c>
      <c r="B286" s="2">
        <v>46063</v>
      </c>
      <c r="C286" s="2">
        <v>46077</v>
      </c>
      <c r="D286">
        <v>14</v>
      </c>
      <c r="E286" t="s">
        <v>77</v>
      </c>
      <c r="F286" t="s">
        <v>78</v>
      </c>
      <c r="G286">
        <v>4</v>
      </c>
    </row>
    <row r="287" spans="1:7" x14ac:dyDescent="0.35">
      <c r="A287">
        <v>1001641</v>
      </c>
      <c r="B287" s="2">
        <v>46063</v>
      </c>
      <c r="C287" s="2">
        <v>46078</v>
      </c>
      <c r="D287">
        <v>15</v>
      </c>
      <c r="E287" t="s">
        <v>176</v>
      </c>
      <c r="F287" t="s">
        <v>177</v>
      </c>
      <c r="G287">
        <v>-2</v>
      </c>
    </row>
    <row r="288" spans="1:7" x14ac:dyDescent="0.35">
      <c r="A288">
        <v>1001641</v>
      </c>
      <c r="B288" s="2">
        <v>46063</v>
      </c>
      <c r="C288" s="2">
        <v>46078</v>
      </c>
      <c r="D288">
        <v>15</v>
      </c>
      <c r="E288" t="s">
        <v>178</v>
      </c>
      <c r="F288" t="s">
        <v>179</v>
      </c>
      <c r="G288">
        <v>-3</v>
      </c>
    </row>
    <row r="289" spans="1:7" x14ac:dyDescent="0.35">
      <c r="A289">
        <v>1001641</v>
      </c>
      <c r="B289" s="2">
        <v>46063</v>
      </c>
      <c r="C289" s="2">
        <v>46078</v>
      </c>
      <c r="D289">
        <v>15</v>
      </c>
      <c r="E289" t="s">
        <v>180</v>
      </c>
      <c r="F289" t="s">
        <v>181</v>
      </c>
      <c r="G289">
        <v>-1</v>
      </c>
    </row>
    <row r="290" spans="1:7" x14ac:dyDescent="0.35">
      <c r="A290">
        <v>1001641</v>
      </c>
      <c r="B290" s="2">
        <v>46063</v>
      </c>
      <c r="C290" s="2">
        <v>46078</v>
      </c>
      <c r="D290">
        <v>15</v>
      </c>
      <c r="E290" t="s">
        <v>182</v>
      </c>
      <c r="F290" t="s">
        <v>183</v>
      </c>
      <c r="G290">
        <v>-1</v>
      </c>
    </row>
    <row r="291" spans="1:7" x14ac:dyDescent="0.35">
      <c r="A291">
        <v>1001641</v>
      </c>
      <c r="B291" s="2">
        <v>46063</v>
      </c>
      <c r="C291" s="2">
        <v>46078</v>
      </c>
      <c r="D291">
        <v>15</v>
      </c>
      <c r="E291" t="s">
        <v>77</v>
      </c>
      <c r="F291" t="s">
        <v>78</v>
      </c>
      <c r="G291">
        <v>-4</v>
      </c>
    </row>
    <row r="292" spans="1:7" x14ac:dyDescent="0.35">
      <c r="A292">
        <v>1001641</v>
      </c>
      <c r="B292" s="2">
        <v>46063</v>
      </c>
      <c r="C292" s="2">
        <v>46078</v>
      </c>
      <c r="D292">
        <v>15</v>
      </c>
      <c r="E292" t="s">
        <v>176</v>
      </c>
      <c r="F292" t="s">
        <v>177</v>
      </c>
      <c r="G292">
        <v>-2</v>
      </c>
    </row>
    <row r="293" spans="1:7" x14ac:dyDescent="0.35">
      <c r="A293">
        <v>1001641</v>
      </c>
      <c r="B293" s="2">
        <v>46063</v>
      </c>
      <c r="C293" s="2">
        <v>46078</v>
      </c>
      <c r="D293">
        <v>15</v>
      </c>
      <c r="E293" t="s">
        <v>178</v>
      </c>
      <c r="F293" t="s">
        <v>179</v>
      </c>
      <c r="G293">
        <v>-3</v>
      </c>
    </row>
    <row r="294" spans="1:7" x14ac:dyDescent="0.35">
      <c r="A294">
        <v>1001641</v>
      </c>
      <c r="B294" s="2">
        <v>46063</v>
      </c>
      <c r="C294" s="2">
        <v>46078</v>
      </c>
      <c r="D294">
        <v>15</v>
      </c>
      <c r="E294" t="s">
        <v>180</v>
      </c>
      <c r="F294" t="s">
        <v>181</v>
      </c>
      <c r="G294">
        <v>-1</v>
      </c>
    </row>
    <row r="295" spans="1:7" x14ac:dyDescent="0.35">
      <c r="A295">
        <v>1001641</v>
      </c>
      <c r="B295" s="2">
        <v>46063</v>
      </c>
      <c r="C295" s="2">
        <v>46078</v>
      </c>
      <c r="D295">
        <v>15</v>
      </c>
      <c r="E295" t="s">
        <v>182</v>
      </c>
      <c r="F295" t="s">
        <v>183</v>
      </c>
      <c r="G295">
        <v>-1</v>
      </c>
    </row>
    <row r="296" spans="1:7" x14ac:dyDescent="0.35">
      <c r="A296">
        <v>1001641</v>
      </c>
      <c r="B296" s="2">
        <v>46063</v>
      </c>
      <c r="C296" s="2">
        <v>46078</v>
      </c>
      <c r="D296">
        <v>15</v>
      </c>
      <c r="E296" t="s">
        <v>77</v>
      </c>
      <c r="F296" t="s">
        <v>78</v>
      </c>
      <c r="G296">
        <v>-4</v>
      </c>
    </row>
    <row r="297" spans="1:7" x14ac:dyDescent="0.35">
      <c r="A297">
        <v>1001648</v>
      </c>
      <c r="B297" s="2">
        <v>46066</v>
      </c>
      <c r="C297" s="2">
        <v>46069</v>
      </c>
      <c r="D297">
        <v>3</v>
      </c>
      <c r="E297" t="s">
        <v>138</v>
      </c>
      <c r="F297" t="s">
        <v>139</v>
      </c>
      <c r="G297">
        <v>6</v>
      </c>
    </row>
    <row r="298" spans="1:7" x14ac:dyDescent="0.35">
      <c r="A298">
        <v>1001648</v>
      </c>
      <c r="B298" s="2">
        <v>46066</v>
      </c>
      <c r="C298" s="2">
        <v>46069</v>
      </c>
      <c r="D298">
        <v>3</v>
      </c>
      <c r="E298" t="s">
        <v>25</v>
      </c>
      <c r="F298" t="s">
        <v>26</v>
      </c>
      <c r="G298">
        <v>6</v>
      </c>
    </row>
    <row r="299" spans="1:7" x14ac:dyDescent="0.35">
      <c r="A299">
        <v>1001648</v>
      </c>
      <c r="B299" s="2">
        <v>46066</v>
      </c>
      <c r="C299" s="2">
        <v>46069</v>
      </c>
      <c r="D299">
        <v>3</v>
      </c>
      <c r="E299" t="s">
        <v>90</v>
      </c>
      <c r="F299" t="s">
        <v>35</v>
      </c>
      <c r="G299">
        <v>2</v>
      </c>
    </row>
    <row r="300" spans="1:7" x14ac:dyDescent="0.35">
      <c r="A300">
        <v>1001648</v>
      </c>
      <c r="B300" s="2">
        <v>46066</v>
      </c>
      <c r="C300" s="2">
        <v>46069</v>
      </c>
      <c r="D300">
        <v>3</v>
      </c>
      <c r="E300" t="s">
        <v>40</v>
      </c>
      <c r="F300" t="s">
        <v>41</v>
      </c>
      <c r="G300">
        <v>1</v>
      </c>
    </row>
    <row r="301" spans="1:7" x14ac:dyDescent="0.35">
      <c r="A301">
        <v>1001648</v>
      </c>
      <c r="B301" s="2">
        <v>46066</v>
      </c>
      <c r="C301" s="2">
        <v>46069</v>
      </c>
      <c r="D301">
        <v>3</v>
      </c>
      <c r="E301" t="s">
        <v>185</v>
      </c>
      <c r="F301" t="s">
        <v>186</v>
      </c>
      <c r="G301">
        <v>1</v>
      </c>
    </row>
    <row r="302" spans="1:7" x14ac:dyDescent="0.35">
      <c r="A302">
        <v>1001648</v>
      </c>
      <c r="B302" s="2">
        <v>46066</v>
      </c>
      <c r="C302" s="2">
        <v>46072</v>
      </c>
      <c r="D302">
        <v>6</v>
      </c>
      <c r="E302" t="s">
        <v>147</v>
      </c>
      <c r="F302" t="s">
        <v>39</v>
      </c>
      <c r="G302">
        <v>2</v>
      </c>
    </row>
    <row r="303" spans="1:7" x14ac:dyDescent="0.35">
      <c r="A303">
        <v>1001649</v>
      </c>
      <c r="B303" s="2">
        <v>46066</v>
      </c>
      <c r="C303" s="2">
        <v>46077</v>
      </c>
      <c r="D303">
        <v>11</v>
      </c>
      <c r="E303" t="s">
        <v>13</v>
      </c>
      <c r="F303" t="s">
        <v>14</v>
      </c>
      <c r="G303">
        <v>6</v>
      </c>
    </row>
    <row r="304" spans="1:7" x14ac:dyDescent="0.35">
      <c r="A304">
        <v>1001649</v>
      </c>
      <c r="B304" s="2">
        <v>46066</v>
      </c>
      <c r="C304" s="2">
        <v>46077</v>
      </c>
      <c r="D304">
        <v>11</v>
      </c>
      <c r="E304" t="s">
        <v>91</v>
      </c>
      <c r="F304" t="s">
        <v>92</v>
      </c>
      <c r="G304">
        <v>4</v>
      </c>
    </row>
    <row r="305" spans="1:7" x14ac:dyDescent="0.35">
      <c r="A305">
        <v>1001649</v>
      </c>
      <c r="B305" s="2">
        <v>46066</v>
      </c>
      <c r="C305" s="2">
        <v>46077</v>
      </c>
      <c r="D305">
        <v>11</v>
      </c>
      <c r="E305" t="s">
        <v>50</v>
      </c>
      <c r="F305" t="s">
        <v>51</v>
      </c>
      <c r="G305">
        <v>5</v>
      </c>
    </row>
    <row r="306" spans="1:7" x14ac:dyDescent="0.35">
      <c r="A306">
        <v>1001649</v>
      </c>
      <c r="B306" s="2">
        <v>46066</v>
      </c>
      <c r="C306" s="2">
        <v>46079</v>
      </c>
      <c r="D306">
        <v>13</v>
      </c>
      <c r="E306" t="s">
        <v>9</v>
      </c>
      <c r="F306" t="s">
        <v>10</v>
      </c>
      <c r="G306">
        <v>6</v>
      </c>
    </row>
    <row r="307" spans="1:7" x14ac:dyDescent="0.35">
      <c r="A307">
        <v>1001696</v>
      </c>
      <c r="B307" s="2">
        <v>46071</v>
      </c>
      <c r="C307" s="2">
        <v>46079</v>
      </c>
      <c r="D307">
        <v>8</v>
      </c>
      <c r="E307" t="s">
        <v>59</v>
      </c>
      <c r="F307" t="s">
        <v>60</v>
      </c>
      <c r="G307">
        <v>3</v>
      </c>
    </row>
    <row r="308" spans="1:7" x14ac:dyDescent="0.35">
      <c r="A308">
        <v>1001696</v>
      </c>
      <c r="B308" s="2">
        <v>46071</v>
      </c>
      <c r="C308" s="2">
        <v>46079</v>
      </c>
      <c r="D308">
        <v>8</v>
      </c>
      <c r="E308" t="s">
        <v>187</v>
      </c>
      <c r="F308" t="s">
        <v>188</v>
      </c>
      <c r="G308">
        <v>3</v>
      </c>
    </row>
    <row r="309" spans="1:7" x14ac:dyDescent="0.35">
      <c r="A309">
        <v>1001696</v>
      </c>
      <c r="B309" s="2">
        <v>46071</v>
      </c>
      <c r="C309" s="2">
        <v>46079</v>
      </c>
      <c r="D309">
        <v>8</v>
      </c>
      <c r="E309" t="s">
        <v>74</v>
      </c>
      <c r="F309" t="s">
        <v>47</v>
      </c>
      <c r="G309">
        <v>3</v>
      </c>
    </row>
    <row r="310" spans="1:7" x14ac:dyDescent="0.35">
      <c r="A310">
        <v>1001696</v>
      </c>
      <c r="B310" s="2">
        <v>46071</v>
      </c>
      <c r="C310" s="2">
        <v>46079</v>
      </c>
      <c r="D310">
        <v>8</v>
      </c>
      <c r="E310" t="s">
        <v>133</v>
      </c>
      <c r="F310" t="s">
        <v>47</v>
      </c>
      <c r="G310">
        <v>6</v>
      </c>
    </row>
    <row r="311" spans="1:7" x14ac:dyDescent="0.35">
      <c r="A311">
        <v>1001696</v>
      </c>
      <c r="B311" s="2">
        <v>46071</v>
      </c>
      <c r="C311" s="2">
        <v>46079</v>
      </c>
      <c r="D311">
        <v>8</v>
      </c>
      <c r="E311" t="s">
        <v>91</v>
      </c>
      <c r="F311" t="s">
        <v>92</v>
      </c>
      <c r="G311">
        <v>1</v>
      </c>
    </row>
    <row r="312" spans="1:7" x14ac:dyDescent="0.35">
      <c r="A312">
        <v>1001696</v>
      </c>
      <c r="B312" s="2">
        <v>46071</v>
      </c>
      <c r="C312" s="2">
        <v>46079</v>
      </c>
      <c r="D312">
        <v>8</v>
      </c>
      <c r="E312" t="s">
        <v>13</v>
      </c>
      <c r="F312" t="s">
        <v>14</v>
      </c>
      <c r="G312">
        <v>6</v>
      </c>
    </row>
    <row r="313" spans="1:7" x14ac:dyDescent="0.35">
      <c r="A313">
        <v>1001696</v>
      </c>
      <c r="B313" s="2">
        <v>46071</v>
      </c>
      <c r="C313" s="2">
        <v>46079</v>
      </c>
      <c r="D313">
        <v>8</v>
      </c>
      <c r="E313" t="s">
        <v>23</v>
      </c>
      <c r="F313" t="s">
        <v>24</v>
      </c>
      <c r="G313">
        <v>6</v>
      </c>
    </row>
    <row r="314" spans="1:7" x14ac:dyDescent="0.35">
      <c r="A314">
        <v>1001696</v>
      </c>
      <c r="B314" s="2">
        <v>46071</v>
      </c>
      <c r="C314" s="2">
        <v>46079</v>
      </c>
      <c r="D314">
        <v>8</v>
      </c>
      <c r="E314" t="s">
        <v>9</v>
      </c>
      <c r="F314" t="s">
        <v>10</v>
      </c>
      <c r="G314">
        <v>6</v>
      </c>
    </row>
    <row r="315" spans="1:7" x14ac:dyDescent="0.35">
      <c r="A315">
        <v>1001696</v>
      </c>
      <c r="B315" s="2">
        <v>46071</v>
      </c>
      <c r="C315" s="2">
        <v>46088</v>
      </c>
      <c r="D315">
        <v>17</v>
      </c>
      <c r="E315" t="s">
        <v>23</v>
      </c>
      <c r="F315" t="s">
        <v>24</v>
      </c>
      <c r="G315">
        <v>3</v>
      </c>
    </row>
    <row r="316" spans="1:7" x14ac:dyDescent="0.35">
      <c r="A316">
        <v>1001696</v>
      </c>
      <c r="B316" s="2">
        <v>46071</v>
      </c>
      <c r="C316" s="2">
        <v>46088</v>
      </c>
      <c r="D316">
        <v>17</v>
      </c>
      <c r="E316" t="s">
        <v>99</v>
      </c>
      <c r="F316" t="s">
        <v>100</v>
      </c>
      <c r="G316">
        <v>3</v>
      </c>
    </row>
    <row r="317" spans="1:7" x14ac:dyDescent="0.35">
      <c r="A317">
        <v>1001696</v>
      </c>
      <c r="B317" s="2">
        <v>46071</v>
      </c>
      <c r="C317" s="2">
        <v>46088</v>
      </c>
      <c r="D317">
        <v>17</v>
      </c>
      <c r="E317" t="s">
        <v>59</v>
      </c>
      <c r="F317" t="s">
        <v>60</v>
      </c>
      <c r="G317">
        <v>3</v>
      </c>
    </row>
    <row r="318" spans="1:7" x14ac:dyDescent="0.35">
      <c r="A318">
        <v>1001696</v>
      </c>
      <c r="B318" s="2">
        <v>46071</v>
      </c>
      <c r="C318" s="2">
        <v>46088</v>
      </c>
      <c r="D318">
        <v>17</v>
      </c>
      <c r="E318" t="s">
        <v>187</v>
      </c>
      <c r="F318" t="s">
        <v>188</v>
      </c>
      <c r="G318">
        <v>3</v>
      </c>
    </row>
    <row r="319" spans="1:7" x14ac:dyDescent="0.35">
      <c r="A319">
        <v>1001696</v>
      </c>
      <c r="B319" s="2">
        <v>46071</v>
      </c>
      <c r="C319" s="2">
        <v>46088</v>
      </c>
      <c r="D319">
        <v>17</v>
      </c>
      <c r="E319" t="s">
        <v>74</v>
      </c>
      <c r="F319" t="s">
        <v>47</v>
      </c>
      <c r="G319">
        <v>3</v>
      </c>
    </row>
    <row r="320" spans="1:7" x14ac:dyDescent="0.35">
      <c r="A320">
        <v>1001696</v>
      </c>
      <c r="B320" s="2">
        <v>46071</v>
      </c>
      <c r="C320" s="2">
        <v>46088</v>
      </c>
      <c r="D320">
        <v>17</v>
      </c>
      <c r="E320" t="s">
        <v>91</v>
      </c>
      <c r="F320" t="s">
        <v>92</v>
      </c>
      <c r="G320">
        <v>1</v>
      </c>
    </row>
    <row r="321" spans="1:7" x14ac:dyDescent="0.35">
      <c r="A321">
        <v>1001696</v>
      </c>
      <c r="B321" s="2">
        <v>46071</v>
      </c>
      <c r="C321" s="2">
        <v>46091</v>
      </c>
      <c r="D321">
        <v>20</v>
      </c>
      <c r="E321" t="s">
        <v>59</v>
      </c>
      <c r="F321" t="s">
        <v>60</v>
      </c>
      <c r="G321">
        <v>-3</v>
      </c>
    </row>
    <row r="322" spans="1:7" x14ac:dyDescent="0.35">
      <c r="A322">
        <v>1001696</v>
      </c>
      <c r="B322" s="2">
        <v>46071</v>
      </c>
      <c r="C322" s="2">
        <v>46091</v>
      </c>
      <c r="D322">
        <v>20</v>
      </c>
      <c r="E322" t="s">
        <v>187</v>
      </c>
      <c r="F322" t="s">
        <v>188</v>
      </c>
      <c r="G322">
        <v>-3</v>
      </c>
    </row>
    <row r="323" spans="1:7" x14ac:dyDescent="0.35">
      <c r="A323">
        <v>1001696</v>
      </c>
      <c r="B323" s="2">
        <v>46071</v>
      </c>
      <c r="C323" s="2">
        <v>46091</v>
      </c>
      <c r="D323">
        <v>20</v>
      </c>
      <c r="E323" t="s">
        <v>74</v>
      </c>
      <c r="F323" t="s">
        <v>47</v>
      </c>
      <c r="G323">
        <v>-3</v>
      </c>
    </row>
    <row r="324" spans="1:7" x14ac:dyDescent="0.35">
      <c r="A324">
        <v>1001696</v>
      </c>
      <c r="B324" s="2">
        <v>46071</v>
      </c>
      <c r="C324" s="2">
        <v>46091</v>
      </c>
      <c r="D324">
        <v>20</v>
      </c>
      <c r="E324" t="s">
        <v>133</v>
      </c>
      <c r="F324" t="s">
        <v>47</v>
      </c>
      <c r="G324">
        <v>-6</v>
      </c>
    </row>
    <row r="325" spans="1:7" x14ac:dyDescent="0.35">
      <c r="A325">
        <v>1001696</v>
      </c>
      <c r="B325" s="2">
        <v>46071</v>
      </c>
      <c r="C325" s="2">
        <v>46091</v>
      </c>
      <c r="D325">
        <v>20</v>
      </c>
      <c r="E325" t="s">
        <v>91</v>
      </c>
      <c r="F325" t="s">
        <v>92</v>
      </c>
      <c r="G325">
        <v>-1</v>
      </c>
    </row>
    <row r="326" spans="1:7" x14ac:dyDescent="0.35">
      <c r="A326">
        <v>1001696</v>
      </c>
      <c r="B326" s="2">
        <v>46071</v>
      </c>
      <c r="C326" s="2">
        <v>46091</v>
      </c>
      <c r="D326">
        <v>20</v>
      </c>
      <c r="E326" t="s">
        <v>9</v>
      </c>
      <c r="F326" t="s">
        <v>10</v>
      </c>
      <c r="G326">
        <v>-6</v>
      </c>
    </row>
    <row r="327" spans="1:7" x14ac:dyDescent="0.35">
      <c r="A327">
        <v>1001696</v>
      </c>
      <c r="B327" s="2">
        <v>46071</v>
      </c>
      <c r="C327" s="2">
        <v>46091</v>
      </c>
      <c r="D327">
        <v>20</v>
      </c>
      <c r="E327" t="s">
        <v>13</v>
      </c>
      <c r="F327" t="s">
        <v>14</v>
      </c>
      <c r="G327">
        <v>-6</v>
      </c>
    </row>
    <row r="328" spans="1:7" x14ac:dyDescent="0.35">
      <c r="A328">
        <v>1001696</v>
      </c>
      <c r="B328" s="2">
        <v>46071</v>
      </c>
      <c r="C328" s="2">
        <v>46091</v>
      </c>
      <c r="D328">
        <v>20</v>
      </c>
      <c r="E328" t="s">
        <v>23</v>
      </c>
      <c r="F328" t="s">
        <v>24</v>
      </c>
      <c r="G328">
        <v>-6</v>
      </c>
    </row>
    <row r="329" spans="1:7" x14ac:dyDescent="0.35">
      <c r="A329">
        <v>1001696</v>
      </c>
      <c r="B329" s="2">
        <v>46071</v>
      </c>
      <c r="C329" s="2">
        <v>46100</v>
      </c>
      <c r="D329">
        <v>29</v>
      </c>
      <c r="E329" t="s">
        <v>79</v>
      </c>
      <c r="F329" t="s">
        <v>60</v>
      </c>
      <c r="G329">
        <v>6</v>
      </c>
    </row>
    <row r="330" spans="1:7" x14ac:dyDescent="0.35">
      <c r="A330">
        <v>1001696</v>
      </c>
      <c r="B330" s="2">
        <v>46071</v>
      </c>
      <c r="C330" s="2">
        <v>46100</v>
      </c>
      <c r="D330">
        <v>29</v>
      </c>
      <c r="E330" t="s">
        <v>74</v>
      </c>
      <c r="F330" t="s">
        <v>47</v>
      </c>
      <c r="G330">
        <v>3</v>
      </c>
    </row>
    <row r="331" spans="1:7" x14ac:dyDescent="0.35">
      <c r="A331">
        <v>1001696</v>
      </c>
      <c r="B331" s="2">
        <v>46071</v>
      </c>
      <c r="C331" s="2">
        <v>46100</v>
      </c>
      <c r="D331">
        <v>29</v>
      </c>
      <c r="E331" t="s">
        <v>133</v>
      </c>
      <c r="F331" t="s">
        <v>47</v>
      </c>
      <c r="G331">
        <v>6</v>
      </c>
    </row>
    <row r="332" spans="1:7" x14ac:dyDescent="0.35">
      <c r="A332">
        <v>1001703</v>
      </c>
      <c r="B332" s="2">
        <v>46072</v>
      </c>
      <c r="C332" s="2">
        <v>46077</v>
      </c>
      <c r="D332">
        <v>5</v>
      </c>
      <c r="E332" t="s">
        <v>167</v>
      </c>
      <c r="F332" t="s">
        <v>55</v>
      </c>
      <c r="G332">
        <v>3</v>
      </c>
    </row>
    <row r="333" spans="1:7" x14ac:dyDescent="0.35">
      <c r="A333">
        <v>1001703</v>
      </c>
      <c r="B333" s="2">
        <v>46072</v>
      </c>
      <c r="C333" s="2">
        <v>46077</v>
      </c>
      <c r="D333">
        <v>5</v>
      </c>
      <c r="E333" t="s">
        <v>54</v>
      </c>
      <c r="F333" t="s">
        <v>55</v>
      </c>
      <c r="G333">
        <v>3</v>
      </c>
    </row>
    <row r="334" spans="1:7" x14ac:dyDescent="0.35">
      <c r="A334">
        <v>1001706</v>
      </c>
      <c r="B334" s="2">
        <v>46072</v>
      </c>
      <c r="C334" s="2">
        <v>46077</v>
      </c>
      <c r="D334">
        <v>5</v>
      </c>
      <c r="E334" t="s">
        <v>189</v>
      </c>
      <c r="F334" t="s">
        <v>190</v>
      </c>
      <c r="G334">
        <v>6</v>
      </c>
    </row>
    <row r="335" spans="1:7" x14ac:dyDescent="0.35">
      <c r="A335">
        <v>1001709</v>
      </c>
      <c r="B335" s="2">
        <v>46076</v>
      </c>
      <c r="C335" s="2">
        <v>46081</v>
      </c>
      <c r="D335">
        <v>5</v>
      </c>
      <c r="E335" t="s">
        <v>150</v>
      </c>
      <c r="F335" t="s">
        <v>151</v>
      </c>
      <c r="G335">
        <v>6</v>
      </c>
    </row>
    <row r="336" spans="1:7" x14ac:dyDescent="0.35">
      <c r="A336">
        <v>1001709</v>
      </c>
      <c r="B336" s="2">
        <v>46076</v>
      </c>
      <c r="C336" s="2">
        <v>46081</v>
      </c>
      <c r="D336">
        <v>5</v>
      </c>
      <c r="E336" t="s">
        <v>25</v>
      </c>
      <c r="F336" t="s">
        <v>26</v>
      </c>
      <c r="G336">
        <v>12</v>
      </c>
    </row>
    <row r="337" spans="1:7" x14ac:dyDescent="0.35">
      <c r="A337">
        <v>1001709</v>
      </c>
      <c r="B337" s="2">
        <v>46076</v>
      </c>
      <c r="C337" s="2">
        <v>46081</v>
      </c>
      <c r="D337">
        <v>5</v>
      </c>
      <c r="E337" t="s">
        <v>7</v>
      </c>
      <c r="F337" t="s">
        <v>8</v>
      </c>
      <c r="G337">
        <v>12</v>
      </c>
    </row>
    <row r="338" spans="1:7" x14ac:dyDescent="0.35">
      <c r="A338">
        <v>1001709</v>
      </c>
      <c r="B338" s="2">
        <v>46076</v>
      </c>
      <c r="C338" s="2">
        <v>46081</v>
      </c>
      <c r="D338">
        <v>5</v>
      </c>
      <c r="E338" t="s">
        <v>9</v>
      </c>
      <c r="F338" t="s">
        <v>10</v>
      </c>
      <c r="G338">
        <v>12</v>
      </c>
    </row>
    <row r="339" spans="1:7" x14ac:dyDescent="0.35">
      <c r="A339">
        <v>1001709</v>
      </c>
      <c r="B339" s="2">
        <v>46076</v>
      </c>
      <c r="C339" s="2">
        <v>46081</v>
      </c>
      <c r="D339">
        <v>5</v>
      </c>
      <c r="E339" t="s">
        <v>123</v>
      </c>
      <c r="F339" t="s">
        <v>35</v>
      </c>
      <c r="G339">
        <v>1</v>
      </c>
    </row>
    <row r="340" spans="1:7" x14ac:dyDescent="0.35">
      <c r="A340">
        <v>1001709</v>
      </c>
      <c r="B340" s="2">
        <v>46076</v>
      </c>
      <c r="C340" s="2">
        <v>46081</v>
      </c>
      <c r="D340">
        <v>5</v>
      </c>
      <c r="E340" t="s">
        <v>191</v>
      </c>
      <c r="F340" t="s">
        <v>192</v>
      </c>
      <c r="G340">
        <v>1</v>
      </c>
    </row>
    <row r="341" spans="1:7" x14ac:dyDescent="0.35">
      <c r="A341">
        <v>1001709</v>
      </c>
      <c r="B341" s="2">
        <v>46076</v>
      </c>
      <c r="C341" s="2">
        <v>46081</v>
      </c>
      <c r="D341">
        <v>5</v>
      </c>
      <c r="E341" t="s">
        <v>21</v>
      </c>
      <c r="F341" t="s">
        <v>22</v>
      </c>
      <c r="G341">
        <v>6</v>
      </c>
    </row>
    <row r="342" spans="1:7" x14ac:dyDescent="0.35">
      <c r="A342">
        <v>1001709</v>
      </c>
      <c r="B342" s="2">
        <v>46076</v>
      </c>
      <c r="C342" s="2">
        <v>46084</v>
      </c>
      <c r="D342">
        <v>8</v>
      </c>
      <c r="E342" t="s">
        <v>7</v>
      </c>
      <c r="F342" t="s">
        <v>8</v>
      </c>
      <c r="G342">
        <v>-12</v>
      </c>
    </row>
    <row r="343" spans="1:7" x14ac:dyDescent="0.35">
      <c r="A343">
        <v>1001714</v>
      </c>
      <c r="B343" s="2">
        <v>46072</v>
      </c>
      <c r="C343" s="2">
        <v>46091</v>
      </c>
      <c r="D343">
        <v>19</v>
      </c>
      <c r="E343" t="s">
        <v>27</v>
      </c>
      <c r="F343" t="s">
        <v>28</v>
      </c>
      <c r="G343">
        <v>6</v>
      </c>
    </row>
    <row r="344" spans="1:7" x14ac:dyDescent="0.35">
      <c r="A344">
        <v>1001714</v>
      </c>
      <c r="B344" s="2">
        <v>46072</v>
      </c>
      <c r="C344" s="2">
        <v>46091</v>
      </c>
      <c r="D344">
        <v>19</v>
      </c>
      <c r="E344" t="s">
        <v>193</v>
      </c>
      <c r="F344" t="s">
        <v>194</v>
      </c>
      <c r="G344">
        <v>1</v>
      </c>
    </row>
    <row r="345" spans="1:7" x14ac:dyDescent="0.35">
      <c r="A345">
        <v>1001714</v>
      </c>
      <c r="B345" s="2">
        <v>46072</v>
      </c>
      <c r="C345" s="2">
        <v>46099</v>
      </c>
      <c r="D345">
        <v>27</v>
      </c>
      <c r="E345" t="s">
        <v>195</v>
      </c>
      <c r="F345" t="s">
        <v>196</v>
      </c>
      <c r="G345">
        <v>1</v>
      </c>
    </row>
    <row r="346" spans="1:7" x14ac:dyDescent="0.35">
      <c r="A346">
        <v>1001717</v>
      </c>
      <c r="B346" s="2">
        <v>46073</v>
      </c>
      <c r="C346" s="2">
        <v>46078</v>
      </c>
      <c r="D346">
        <v>5</v>
      </c>
      <c r="E346" t="s">
        <v>90</v>
      </c>
      <c r="F346" t="s">
        <v>35</v>
      </c>
      <c r="G346">
        <v>6</v>
      </c>
    </row>
    <row r="347" spans="1:7" x14ac:dyDescent="0.35">
      <c r="A347">
        <v>1001717</v>
      </c>
      <c r="B347" s="2">
        <v>46073</v>
      </c>
      <c r="C347" s="2">
        <v>46078</v>
      </c>
      <c r="D347">
        <v>5</v>
      </c>
      <c r="E347" t="s">
        <v>147</v>
      </c>
      <c r="F347" t="s">
        <v>39</v>
      </c>
      <c r="G347">
        <v>12</v>
      </c>
    </row>
    <row r="348" spans="1:7" x14ac:dyDescent="0.35">
      <c r="A348">
        <v>1001720</v>
      </c>
      <c r="B348" s="2">
        <v>46073</v>
      </c>
      <c r="C348" s="2">
        <v>46079</v>
      </c>
      <c r="D348">
        <v>6</v>
      </c>
      <c r="E348" t="s">
        <v>134</v>
      </c>
      <c r="F348" t="s">
        <v>49</v>
      </c>
      <c r="G348">
        <v>3</v>
      </c>
    </row>
    <row r="349" spans="1:7" x14ac:dyDescent="0.35">
      <c r="A349">
        <v>1001720</v>
      </c>
      <c r="B349" s="2">
        <v>46073</v>
      </c>
      <c r="C349" s="2">
        <v>46079</v>
      </c>
      <c r="D349">
        <v>6</v>
      </c>
      <c r="E349" t="s">
        <v>135</v>
      </c>
      <c r="F349" t="s">
        <v>51</v>
      </c>
      <c r="G349">
        <v>3</v>
      </c>
    </row>
    <row r="350" spans="1:7" x14ac:dyDescent="0.35">
      <c r="A350">
        <v>1001720</v>
      </c>
      <c r="B350" s="2">
        <v>46073</v>
      </c>
      <c r="C350" s="2">
        <v>46095</v>
      </c>
      <c r="D350">
        <v>22</v>
      </c>
      <c r="E350" t="s">
        <v>103</v>
      </c>
      <c r="F350" t="s">
        <v>94</v>
      </c>
      <c r="G350">
        <v>3</v>
      </c>
    </row>
    <row r="351" spans="1:7" x14ac:dyDescent="0.35">
      <c r="A351">
        <v>1001720</v>
      </c>
      <c r="B351" s="2">
        <v>46073</v>
      </c>
      <c r="C351" s="2">
        <v>46095</v>
      </c>
      <c r="D351">
        <v>22</v>
      </c>
      <c r="E351" t="s">
        <v>167</v>
      </c>
      <c r="F351" t="s">
        <v>55</v>
      </c>
      <c r="G351">
        <v>2</v>
      </c>
    </row>
    <row r="352" spans="1:7" x14ac:dyDescent="0.35">
      <c r="A352">
        <v>1001720</v>
      </c>
      <c r="B352" s="2">
        <v>46073</v>
      </c>
      <c r="C352" s="2">
        <v>46099</v>
      </c>
      <c r="D352">
        <v>26</v>
      </c>
      <c r="E352" t="s">
        <v>197</v>
      </c>
      <c r="F352" t="s">
        <v>175</v>
      </c>
      <c r="G352">
        <v>1</v>
      </c>
    </row>
    <row r="353" spans="1:7" x14ac:dyDescent="0.35">
      <c r="A353">
        <v>1001720</v>
      </c>
      <c r="B353" s="2">
        <v>46073</v>
      </c>
      <c r="C353" s="2">
        <v>46099</v>
      </c>
      <c r="D353">
        <v>26</v>
      </c>
      <c r="E353" t="s">
        <v>128</v>
      </c>
      <c r="F353" t="s">
        <v>125</v>
      </c>
      <c r="G353">
        <v>1</v>
      </c>
    </row>
    <row r="354" spans="1:7" x14ac:dyDescent="0.35">
      <c r="A354">
        <v>1001720</v>
      </c>
      <c r="B354" s="2">
        <v>46073</v>
      </c>
      <c r="C354" s="2">
        <v>46099</v>
      </c>
      <c r="D354">
        <v>26</v>
      </c>
      <c r="E354" t="s">
        <v>198</v>
      </c>
      <c r="F354" t="s">
        <v>186</v>
      </c>
      <c r="G354">
        <v>1</v>
      </c>
    </row>
    <row r="355" spans="1:7" x14ac:dyDescent="0.35">
      <c r="A355">
        <v>1001734</v>
      </c>
      <c r="B355" s="2">
        <v>46078</v>
      </c>
      <c r="C355" s="2">
        <v>46080</v>
      </c>
      <c r="D355">
        <v>2</v>
      </c>
      <c r="E355" t="s">
        <v>42</v>
      </c>
      <c r="F355" t="s">
        <v>43</v>
      </c>
      <c r="G355">
        <v>3</v>
      </c>
    </row>
    <row r="356" spans="1:7" x14ac:dyDescent="0.35">
      <c r="A356">
        <v>1001734</v>
      </c>
      <c r="B356" s="2">
        <v>46078</v>
      </c>
      <c r="C356" s="2">
        <v>46080</v>
      </c>
      <c r="D356">
        <v>2</v>
      </c>
      <c r="E356" t="s">
        <v>46</v>
      </c>
      <c r="F356" t="s">
        <v>47</v>
      </c>
      <c r="G356">
        <v>3</v>
      </c>
    </row>
    <row r="357" spans="1:7" x14ac:dyDescent="0.35">
      <c r="A357">
        <v>1001734</v>
      </c>
      <c r="B357" s="2">
        <v>46078</v>
      </c>
      <c r="C357" s="2">
        <v>46080</v>
      </c>
      <c r="D357">
        <v>2</v>
      </c>
      <c r="E357" t="s">
        <v>146</v>
      </c>
      <c r="F357" t="s">
        <v>55</v>
      </c>
      <c r="G357">
        <v>3</v>
      </c>
    </row>
    <row r="358" spans="1:7" x14ac:dyDescent="0.35">
      <c r="A358">
        <v>1001734</v>
      </c>
      <c r="B358" s="2">
        <v>46078</v>
      </c>
      <c r="C358" s="2">
        <v>46085</v>
      </c>
      <c r="D358">
        <v>7</v>
      </c>
      <c r="E358" t="s">
        <v>42</v>
      </c>
      <c r="F358" t="s">
        <v>43</v>
      </c>
      <c r="G358">
        <v>-3</v>
      </c>
    </row>
    <row r="359" spans="1:7" x14ac:dyDescent="0.35">
      <c r="A359">
        <v>1001734</v>
      </c>
      <c r="B359" s="2">
        <v>46078</v>
      </c>
      <c r="C359" s="2">
        <v>46085</v>
      </c>
      <c r="D359">
        <v>7</v>
      </c>
      <c r="E359" t="s">
        <v>46</v>
      </c>
      <c r="F359" t="s">
        <v>47</v>
      </c>
      <c r="G359">
        <v>-3</v>
      </c>
    </row>
    <row r="360" spans="1:7" x14ac:dyDescent="0.35">
      <c r="A360">
        <v>1001734</v>
      </c>
      <c r="B360" s="2">
        <v>46078</v>
      </c>
      <c r="C360" s="2">
        <v>46085</v>
      </c>
      <c r="D360">
        <v>7</v>
      </c>
      <c r="E360" t="s">
        <v>146</v>
      </c>
      <c r="F360" t="s">
        <v>55</v>
      </c>
      <c r="G360">
        <v>-3</v>
      </c>
    </row>
    <row r="361" spans="1:7" x14ac:dyDescent="0.35">
      <c r="A361">
        <v>1001734</v>
      </c>
      <c r="B361" s="2">
        <v>46078</v>
      </c>
      <c r="C361" s="2">
        <v>46090</v>
      </c>
      <c r="D361">
        <v>12</v>
      </c>
      <c r="E361" t="s">
        <v>46</v>
      </c>
      <c r="F361" t="s">
        <v>47</v>
      </c>
      <c r="G361">
        <v>3</v>
      </c>
    </row>
    <row r="362" spans="1:7" x14ac:dyDescent="0.35">
      <c r="A362">
        <v>1001734</v>
      </c>
      <c r="B362" s="2">
        <v>46078</v>
      </c>
      <c r="C362" s="2">
        <v>46090</v>
      </c>
      <c r="D362">
        <v>12</v>
      </c>
      <c r="E362" t="s">
        <v>146</v>
      </c>
      <c r="F362" t="s">
        <v>55</v>
      </c>
      <c r="G362">
        <v>3</v>
      </c>
    </row>
    <row r="363" spans="1:7" x14ac:dyDescent="0.35">
      <c r="A363">
        <v>1001734</v>
      </c>
      <c r="B363" s="2">
        <v>46078</v>
      </c>
      <c r="C363" s="2">
        <v>46091</v>
      </c>
      <c r="D363">
        <v>13</v>
      </c>
      <c r="E363" t="s">
        <v>42</v>
      </c>
      <c r="F363" t="s">
        <v>43</v>
      </c>
      <c r="G363">
        <v>3</v>
      </c>
    </row>
    <row r="364" spans="1:7" x14ac:dyDescent="0.35">
      <c r="A364">
        <v>1001742</v>
      </c>
      <c r="B364" s="2">
        <v>46077</v>
      </c>
      <c r="C364" s="2">
        <v>46086</v>
      </c>
      <c r="D364">
        <v>9</v>
      </c>
      <c r="E364" t="s">
        <v>199</v>
      </c>
      <c r="F364" t="s">
        <v>200</v>
      </c>
      <c r="G364">
        <v>1</v>
      </c>
    </row>
    <row r="365" spans="1:7" x14ac:dyDescent="0.35">
      <c r="A365">
        <v>1001742</v>
      </c>
      <c r="B365" s="2">
        <v>46077</v>
      </c>
      <c r="C365" s="2">
        <v>46086</v>
      </c>
      <c r="D365">
        <v>9</v>
      </c>
      <c r="E365" t="s">
        <v>93</v>
      </c>
      <c r="F365" t="s">
        <v>94</v>
      </c>
      <c r="G365">
        <v>4</v>
      </c>
    </row>
    <row r="366" spans="1:7" x14ac:dyDescent="0.35">
      <c r="A366">
        <v>1001742</v>
      </c>
      <c r="B366" s="2">
        <v>46077</v>
      </c>
      <c r="C366" s="2">
        <v>46086</v>
      </c>
      <c r="D366">
        <v>9</v>
      </c>
      <c r="E366" t="s">
        <v>103</v>
      </c>
      <c r="F366" t="s">
        <v>94</v>
      </c>
      <c r="G366">
        <v>6</v>
      </c>
    </row>
    <row r="367" spans="1:7" x14ac:dyDescent="0.35">
      <c r="A367">
        <v>1001742</v>
      </c>
      <c r="B367" s="2">
        <v>46077</v>
      </c>
      <c r="C367" s="2">
        <v>46086</v>
      </c>
      <c r="D367">
        <v>9</v>
      </c>
      <c r="E367" t="s">
        <v>201</v>
      </c>
      <c r="F367" t="s">
        <v>202</v>
      </c>
      <c r="G367">
        <v>2</v>
      </c>
    </row>
    <row r="368" spans="1:7" x14ac:dyDescent="0.35">
      <c r="A368">
        <v>1001742</v>
      </c>
      <c r="B368" s="2">
        <v>46077</v>
      </c>
      <c r="C368" s="2">
        <v>46086</v>
      </c>
      <c r="D368">
        <v>9</v>
      </c>
      <c r="E368" t="s">
        <v>104</v>
      </c>
      <c r="F368" t="s">
        <v>105</v>
      </c>
      <c r="G368">
        <v>1</v>
      </c>
    </row>
    <row r="369" spans="1:7" x14ac:dyDescent="0.35">
      <c r="A369">
        <v>1001742</v>
      </c>
      <c r="B369" s="2">
        <v>46077</v>
      </c>
      <c r="C369" s="2">
        <v>46091</v>
      </c>
      <c r="D369">
        <v>14</v>
      </c>
      <c r="E369" t="s">
        <v>199</v>
      </c>
      <c r="F369" t="s">
        <v>200</v>
      </c>
      <c r="G369">
        <v>1</v>
      </c>
    </row>
    <row r="370" spans="1:7" x14ac:dyDescent="0.35">
      <c r="A370">
        <v>1001742</v>
      </c>
      <c r="B370" s="2">
        <v>46077</v>
      </c>
      <c r="C370" s="2">
        <v>46091</v>
      </c>
      <c r="D370">
        <v>14</v>
      </c>
      <c r="E370" t="s">
        <v>93</v>
      </c>
      <c r="F370" t="s">
        <v>94</v>
      </c>
      <c r="G370">
        <v>4</v>
      </c>
    </row>
    <row r="371" spans="1:7" x14ac:dyDescent="0.35">
      <c r="A371">
        <v>1001742</v>
      </c>
      <c r="B371" s="2">
        <v>46077</v>
      </c>
      <c r="C371" s="2">
        <v>46091</v>
      </c>
      <c r="D371">
        <v>14</v>
      </c>
      <c r="E371" t="s">
        <v>103</v>
      </c>
      <c r="F371" t="s">
        <v>94</v>
      </c>
      <c r="G371">
        <v>6</v>
      </c>
    </row>
    <row r="372" spans="1:7" x14ac:dyDescent="0.35">
      <c r="A372">
        <v>1001742</v>
      </c>
      <c r="B372" s="2">
        <v>46077</v>
      </c>
      <c r="C372" s="2">
        <v>46091</v>
      </c>
      <c r="D372">
        <v>14</v>
      </c>
      <c r="E372" t="s">
        <v>104</v>
      </c>
      <c r="F372" t="s">
        <v>105</v>
      </c>
      <c r="G372">
        <v>1</v>
      </c>
    </row>
    <row r="373" spans="1:7" x14ac:dyDescent="0.35">
      <c r="A373">
        <v>1001742</v>
      </c>
      <c r="B373" s="2">
        <v>46077</v>
      </c>
      <c r="C373" s="2">
        <v>46091</v>
      </c>
      <c r="D373">
        <v>14</v>
      </c>
      <c r="E373" t="s">
        <v>201</v>
      </c>
      <c r="F373" t="s">
        <v>202</v>
      </c>
      <c r="G373">
        <v>2</v>
      </c>
    </row>
    <row r="374" spans="1:7" x14ac:dyDescent="0.35">
      <c r="A374">
        <v>1001742</v>
      </c>
      <c r="B374" s="2">
        <v>46077</v>
      </c>
      <c r="C374" s="2">
        <v>46093</v>
      </c>
      <c r="D374">
        <v>16</v>
      </c>
      <c r="E374" t="s">
        <v>93</v>
      </c>
      <c r="F374" t="s">
        <v>94</v>
      </c>
      <c r="G374">
        <v>4</v>
      </c>
    </row>
    <row r="375" spans="1:7" x14ac:dyDescent="0.35">
      <c r="A375">
        <v>1001742</v>
      </c>
      <c r="B375" s="2">
        <v>46077</v>
      </c>
      <c r="C375" s="2">
        <v>46093</v>
      </c>
      <c r="D375">
        <v>16</v>
      </c>
      <c r="E375" t="s">
        <v>103</v>
      </c>
      <c r="F375" t="s">
        <v>94</v>
      </c>
      <c r="G375">
        <v>6</v>
      </c>
    </row>
    <row r="376" spans="1:7" x14ac:dyDescent="0.35">
      <c r="A376">
        <v>1001742</v>
      </c>
      <c r="B376" s="2">
        <v>46077</v>
      </c>
      <c r="C376" s="2">
        <v>46093</v>
      </c>
      <c r="D376">
        <v>16</v>
      </c>
      <c r="E376" t="s">
        <v>120</v>
      </c>
      <c r="F376" t="s">
        <v>115</v>
      </c>
      <c r="G376">
        <v>2</v>
      </c>
    </row>
    <row r="377" spans="1:7" x14ac:dyDescent="0.35">
      <c r="A377">
        <v>1001742</v>
      </c>
      <c r="B377" s="2">
        <v>46077</v>
      </c>
      <c r="C377" s="2">
        <v>46093</v>
      </c>
      <c r="D377">
        <v>16</v>
      </c>
      <c r="E377" t="s">
        <v>203</v>
      </c>
      <c r="F377" t="s">
        <v>204</v>
      </c>
      <c r="G377">
        <v>1</v>
      </c>
    </row>
    <row r="378" spans="1:7" x14ac:dyDescent="0.35">
      <c r="A378">
        <v>1001742</v>
      </c>
      <c r="B378" s="2">
        <v>46077</v>
      </c>
      <c r="C378" s="2">
        <v>46093</v>
      </c>
      <c r="D378">
        <v>16</v>
      </c>
      <c r="E378" t="s">
        <v>205</v>
      </c>
      <c r="F378" t="s">
        <v>206</v>
      </c>
      <c r="G378">
        <v>1</v>
      </c>
    </row>
    <row r="379" spans="1:7" x14ac:dyDescent="0.35">
      <c r="A379">
        <v>1001742</v>
      </c>
      <c r="B379" s="2">
        <v>46077</v>
      </c>
      <c r="C379" s="2">
        <v>46093</v>
      </c>
      <c r="D379">
        <v>16</v>
      </c>
      <c r="E379" t="s">
        <v>207</v>
      </c>
      <c r="F379" t="s">
        <v>109</v>
      </c>
      <c r="G379">
        <v>1</v>
      </c>
    </row>
    <row r="380" spans="1:7" x14ac:dyDescent="0.35">
      <c r="A380">
        <v>1001742</v>
      </c>
      <c r="B380" s="2">
        <v>46077</v>
      </c>
      <c r="C380" s="2">
        <v>46094</v>
      </c>
      <c r="D380">
        <v>17</v>
      </c>
      <c r="E380" t="s">
        <v>104</v>
      </c>
      <c r="F380" t="s">
        <v>105</v>
      </c>
      <c r="G380">
        <v>-1</v>
      </c>
    </row>
    <row r="381" spans="1:7" x14ac:dyDescent="0.35">
      <c r="A381">
        <v>1001742</v>
      </c>
      <c r="B381" s="2">
        <v>46077</v>
      </c>
      <c r="C381" s="2">
        <v>46094</v>
      </c>
      <c r="D381">
        <v>17</v>
      </c>
      <c r="E381" t="s">
        <v>199</v>
      </c>
      <c r="F381" t="s">
        <v>200</v>
      </c>
      <c r="G381">
        <v>-1</v>
      </c>
    </row>
    <row r="382" spans="1:7" x14ac:dyDescent="0.35">
      <c r="A382">
        <v>1001742</v>
      </c>
      <c r="B382" s="2">
        <v>46077</v>
      </c>
      <c r="C382" s="2">
        <v>46094</v>
      </c>
      <c r="D382">
        <v>17</v>
      </c>
      <c r="E382" t="s">
        <v>93</v>
      </c>
      <c r="F382" t="s">
        <v>94</v>
      </c>
      <c r="G382">
        <v>-4</v>
      </c>
    </row>
    <row r="383" spans="1:7" x14ac:dyDescent="0.35">
      <c r="A383">
        <v>1001742</v>
      </c>
      <c r="B383" s="2">
        <v>46077</v>
      </c>
      <c r="C383" s="2">
        <v>46094</v>
      </c>
      <c r="D383">
        <v>17</v>
      </c>
      <c r="E383" t="s">
        <v>103</v>
      </c>
      <c r="F383" t="s">
        <v>94</v>
      </c>
      <c r="G383">
        <v>-6</v>
      </c>
    </row>
    <row r="384" spans="1:7" x14ac:dyDescent="0.35">
      <c r="A384">
        <v>1001742</v>
      </c>
      <c r="B384" s="2">
        <v>46077</v>
      </c>
      <c r="C384" s="2">
        <v>46094</v>
      </c>
      <c r="D384">
        <v>17</v>
      </c>
      <c r="E384" t="s">
        <v>201</v>
      </c>
      <c r="F384" t="s">
        <v>202</v>
      </c>
      <c r="G384">
        <v>-2</v>
      </c>
    </row>
    <row r="385" spans="1:7" x14ac:dyDescent="0.35">
      <c r="A385">
        <v>1001742</v>
      </c>
      <c r="B385" s="2">
        <v>46077</v>
      </c>
      <c r="C385" s="2">
        <v>46100</v>
      </c>
      <c r="D385">
        <v>23</v>
      </c>
      <c r="E385" t="s">
        <v>208</v>
      </c>
      <c r="F385" t="s">
        <v>209</v>
      </c>
      <c r="G385">
        <v>1</v>
      </c>
    </row>
    <row r="386" spans="1:7" x14ac:dyDescent="0.35">
      <c r="A386">
        <v>1001742</v>
      </c>
      <c r="B386" s="2">
        <v>46077</v>
      </c>
      <c r="C386" s="2">
        <v>46100</v>
      </c>
      <c r="D386">
        <v>23</v>
      </c>
      <c r="E386" t="s">
        <v>210</v>
      </c>
      <c r="F386" t="s">
        <v>211</v>
      </c>
      <c r="G386">
        <v>1</v>
      </c>
    </row>
    <row r="387" spans="1:7" x14ac:dyDescent="0.35">
      <c r="A387">
        <v>1001742</v>
      </c>
      <c r="B387" s="2">
        <v>46077</v>
      </c>
      <c r="C387" s="2">
        <v>46107</v>
      </c>
      <c r="D387">
        <v>30</v>
      </c>
      <c r="E387" t="s">
        <v>212</v>
      </c>
      <c r="F387" t="s">
        <v>213</v>
      </c>
      <c r="G387">
        <v>1</v>
      </c>
    </row>
    <row r="388" spans="1:7" x14ac:dyDescent="0.35">
      <c r="A388">
        <v>1001742</v>
      </c>
      <c r="B388" s="2">
        <v>46077</v>
      </c>
      <c r="C388" s="2">
        <v>46107</v>
      </c>
      <c r="D388">
        <v>30</v>
      </c>
      <c r="E388" t="s">
        <v>104</v>
      </c>
      <c r="F388" t="s">
        <v>105</v>
      </c>
      <c r="G388">
        <v>1</v>
      </c>
    </row>
    <row r="389" spans="1:7" x14ac:dyDescent="0.35">
      <c r="A389">
        <v>1001742</v>
      </c>
      <c r="B389" s="2">
        <v>46077</v>
      </c>
      <c r="C389" s="2">
        <v>46107</v>
      </c>
      <c r="D389">
        <v>30</v>
      </c>
      <c r="E389" t="s">
        <v>176</v>
      </c>
      <c r="F389" t="s">
        <v>177</v>
      </c>
      <c r="G389">
        <v>3</v>
      </c>
    </row>
    <row r="390" spans="1:7" x14ac:dyDescent="0.35">
      <c r="A390">
        <v>1001742</v>
      </c>
      <c r="B390" s="2">
        <v>46077</v>
      </c>
      <c r="C390" s="2">
        <v>46107</v>
      </c>
      <c r="D390">
        <v>30</v>
      </c>
      <c r="E390" t="s">
        <v>214</v>
      </c>
      <c r="F390" t="s">
        <v>215</v>
      </c>
      <c r="G390">
        <v>1</v>
      </c>
    </row>
    <row r="391" spans="1:7" x14ac:dyDescent="0.35">
      <c r="A391">
        <v>1001765</v>
      </c>
      <c r="B391" s="2">
        <v>46084</v>
      </c>
      <c r="C391" s="2">
        <v>46087</v>
      </c>
      <c r="D391">
        <v>3</v>
      </c>
      <c r="E391" t="s">
        <v>59</v>
      </c>
      <c r="F391" t="s">
        <v>60</v>
      </c>
      <c r="G391">
        <v>3</v>
      </c>
    </row>
    <row r="392" spans="1:7" x14ac:dyDescent="0.35">
      <c r="A392">
        <v>1001765</v>
      </c>
      <c r="B392" s="2">
        <v>46084</v>
      </c>
      <c r="C392" s="2">
        <v>46087</v>
      </c>
      <c r="D392">
        <v>3</v>
      </c>
      <c r="E392" t="s">
        <v>46</v>
      </c>
      <c r="F392" t="s">
        <v>47</v>
      </c>
      <c r="G392">
        <v>3</v>
      </c>
    </row>
    <row r="393" spans="1:7" x14ac:dyDescent="0.35">
      <c r="A393">
        <v>1001765</v>
      </c>
      <c r="B393" s="2">
        <v>46084</v>
      </c>
      <c r="C393" s="2">
        <v>46087</v>
      </c>
      <c r="D393">
        <v>3</v>
      </c>
      <c r="E393" t="s">
        <v>74</v>
      </c>
      <c r="F393" t="s">
        <v>47</v>
      </c>
      <c r="G393">
        <v>3</v>
      </c>
    </row>
    <row r="394" spans="1:7" x14ac:dyDescent="0.35">
      <c r="A394">
        <v>1001765</v>
      </c>
      <c r="B394" s="2">
        <v>46084</v>
      </c>
      <c r="C394" s="2">
        <v>46087</v>
      </c>
      <c r="D394">
        <v>3</v>
      </c>
      <c r="E394" t="s">
        <v>133</v>
      </c>
      <c r="F394" t="s">
        <v>47</v>
      </c>
      <c r="G394">
        <v>6</v>
      </c>
    </row>
    <row r="395" spans="1:7" x14ac:dyDescent="0.35">
      <c r="A395">
        <v>1001765</v>
      </c>
      <c r="B395" s="2">
        <v>46084</v>
      </c>
      <c r="C395" s="2">
        <v>46091</v>
      </c>
      <c r="D395">
        <v>7</v>
      </c>
      <c r="E395" t="s">
        <v>135</v>
      </c>
      <c r="F395" t="s">
        <v>51</v>
      </c>
      <c r="G395">
        <v>1</v>
      </c>
    </row>
    <row r="396" spans="1:7" x14ac:dyDescent="0.35">
      <c r="A396">
        <v>1001765</v>
      </c>
      <c r="B396" s="2">
        <v>46084</v>
      </c>
      <c r="C396" s="2">
        <v>46091</v>
      </c>
      <c r="D396">
        <v>7</v>
      </c>
      <c r="E396" t="s">
        <v>52</v>
      </c>
      <c r="F396" t="s">
        <v>53</v>
      </c>
      <c r="G396">
        <v>1</v>
      </c>
    </row>
    <row r="397" spans="1:7" x14ac:dyDescent="0.35">
      <c r="A397">
        <v>1001765</v>
      </c>
      <c r="B397" s="2">
        <v>46084</v>
      </c>
      <c r="C397" s="2">
        <v>46107</v>
      </c>
      <c r="D397">
        <v>23</v>
      </c>
      <c r="E397" t="s">
        <v>79</v>
      </c>
      <c r="F397" t="s">
        <v>60</v>
      </c>
      <c r="G397">
        <v>6</v>
      </c>
    </row>
    <row r="398" spans="1:7" x14ac:dyDescent="0.35">
      <c r="A398">
        <v>1001765</v>
      </c>
      <c r="B398" s="2">
        <v>46084</v>
      </c>
      <c r="C398" s="2">
        <v>46107</v>
      </c>
      <c r="D398">
        <v>23</v>
      </c>
      <c r="E398" t="s">
        <v>65</v>
      </c>
      <c r="F398" t="s">
        <v>45</v>
      </c>
      <c r="G398">
        <v>6</v>
      </c>
    </row>
    <row r="399" spans="1:7" x14ac:dyDescent="0.35">
      <c r="A399">
        <v>1001765</v>
      </c>
      <c r="B399" s="2">
        <v>46084</v>
      </c>
      <c r="C399" s="2">
        <v>46107</v>
      </c>
      <c r="D399">
        <v>23</v>
      </c>
      <c r="E399" t="s">
        <v>142</v>
      </c>
      <c r="F399" t="s">
        <v>143</v>
      </c>
      <c r="G399">
        <v>6</v>
      </c>
    </row>
    <row r="400" spans="1:7" x14ac:dyDescent="0.35">
      <c r="A400">
        <v>1001765</v>
      </c>
      <c r="B400" s="2">
        <v>46084</v>
      </c>
      <c r="C400" s="2">
        <v>46107</v>
      </c>
      <c r="D400">
        <v>23</v>
      </c>
      <c r="E400" t="s">
        <v>103</v>
      </c>
      <c r="F400" t="s">
        <v>94</v>
      </c>
      <c r="G400">
        <v>1</v>
      </c>
    </row>
    <row r="401" spans="1:7" x14ac:dyDescent="0.35">
      <c r="A401">
        <v>1001765</v>
      </c>
      <c r="B401" s="2">
        <v>46084</v>
      </c>
      <c r="C401" s="2">
        <v>46111</v>
      </c>
      <c r="D401">
        <v>27</v>
      </c>
      <c r="E401" t="s">
        <v>33</v>
      </c>
      <c r="F401" t="s">
        <v>32</v>
      </c>
      <c r="G401">
        <v>3</v>
      </c>
    </row>
    <row r="402" spans="1:7" x14ac:dyDescent="0.35">
      <c r="A402">
        <v>1001767</v>
      </c>
      <c r="B402" s="2">
        <v>46085</v>
      </c>
      <c r="C402" s="2">
        <v>46087</v>
      </c>
      <c r="D402">
        <v>2</v>
      </c>
      <c r="E402" t="s">
        <v>216</v>
      </c>
      <c r="F402" t="s">
        <v>217</v>
      </c>
      <c r="G402">
        <v>2</v>
      </c>
    </row>
    <row r="403" spans="1:7" x14ac:dyDescent="0.35">
      <c r="A403">
        <v>1001767</v>
      </c>
      <c r="B403" s="2">
        <v>46085</v>
      </c>
      <c r="C403" s="2">
        <v>46087</v>
      </c>
      <c r="D403">
        <v>2</v>
      </c>
      <c r="E403" t="s">
        <v>218</v>
      </c>
      <c r="F403" t="s">
        <v>219</v>
      </c>
      <c r="G403">
        <v>1</v>
      </c>
    </row>
    <row r="404" spans="1:7" x14ac:dyDescent="0.35">
      <c r="A404">
        <v>1001767</v>
      </c>
      <c r="B404" s="2">
        <v>46085</v>
      </c>
      <c r="C404" s="2">
        <v>46087</v>
      </c>
      <c r="D404">
        <v>2</v>
      </c>
      <c r="E404" t="s">
        <v>220</v>
      </c>
      <c r="F404" t="s">
        <v>219</v>
      </c>
      <c r="G404">
        <v>2</v>
      </c>
    </row>
    <row r="405" spans="1:7" x14ac:dyDescent="0.35">
      <c r="A405">
        <v>1001767</v>
      </c>
      <c r="B405" s="2">
        <v>46085</v>
      </c>
      <c r="C405" s="2">
        <v>46087</v>
      </c>
      <c r="D405">
        <v>2</v>
      </c>
      <c r="E405" t="s">
        <v>221</v>
      </c>
      <c r="F405" t="s">
        <v>222</v>
      </c>
      <c r="G405">
        <v>1</v>
      </c>
    </row>
    <row r="406" spans="1:7" x14ac:dyDescent="0.35">
      <c r="A406">
        <v>1001767</v>
      </c>
      <c r="B406" s="2">
        <v>46085</v>
      </c>
      <c r="C406" s="2">
        <v>46087</v>
      </c>
      <c r="D406">
        <v>2</v>
      </c>
      <c r="E406" t="s">
        <v>223</v>
      </c>
      <c r="F406" t="s">
        <v>222</v>
      </c>
      <c r="G406">
        <v>6</v>
      </c>
    </row>
    <row r="407" spans="1:7" x14ac:dyDescent="0.35">
      <c r="A407">
        <v>1001767</v>
      </c>
      <c r="B407" s="2">
        <v>46085</v>
      </c>
      <c r="C407" s="2">
        <v>46087</v>
      </c>
      <c r="D407">
        <v>2</v>
      </c>
      <c r="E407" t="s">
        <v>103</v>
      </c>
      <c r="F407" t="s">
        <v>94</v>
      </c>
      <c r="G407">
        <v>12</v>
      </c>
    </row>
    <row r="408" spans="1:7" x14ac:dyDescent="0.35">
      <c r="A408">
        <v>1001767</v>
      </c>
      <c r="B408" s="2">
        <v>46085</v>
      </c>
      <c r="C408" s="2">
        <v>46087</v>
      </c>
      <c r="D408">
        <v>2</v>
      </c>
      <c r="E408" t="s">
        <v>224</v>
      </c>
      <c r="F408" t="s">
        <v>225</v>
      </c>
      <c r="G408">
        <v>3</v>
      </c>
    </row>
    <row r="409" spans="1:7" x14ac:dyDescent="0.35">
      <c r="A409">
        <v>1001767</v>
      </c>
      <c r="B409" s="2">
        <v>46085</v>
      </c>
      <c r="C409" s="2">
        <v>46087</v>
      </c>
      <c r="D409">
        <v>2</v>
      </c>
      <c r="E409" t="s">
        <v>226</v>
      </c>
      <c r="F409" t="s">
        <v>225</v>
      </c>
      <c r="G409">
        <v>4</v>
      </c>
    </row>
    <row r="410" spans="1:7" x14ac:dyDescent="0.35">
      <c r="A410">
        <v>1001767</v>
      </c>
      <c r="B410" s="2">
        <v>46085</v>
      </c>
      <c r="C410" s="2">
        <v>46087</v>
      </c>
      <c r="D410">
        <v>2</v>
      </c>
      <c r="E410" t="s">
        <v>227</v>
      </c>
      <c r="F410" t="s">
        <v>228</v>
      </c>
      <c r="G410">
        <v>5</v>
      </c>
    </row>
    <row r="411" spans="1:7" x14ac:dyDescent="0.35">
      <c r="A411">
        <v>1001767</v>
      </c>
      <c r="B411" s="2">
        <v>46085</v>
      </c>
      <c r="C411" s="2">
        <v>46092</v>
      </c>
      <c r="D411">
        <v>7</v>
      </c>
      <c r="E411" t="s">
        <v>229</v>
      </c>
      <c r="F411" t="s">
        <v>230</v>
      </c>
      <c r="G411">
        <v>0</v>
      </c>
    </row>
    <row r="412" spans="1:7" x14ac:dyDescent="0.35">
      <c r="A412">
        <v>1001767</v>
      </c>
      <c r="B412" s="2">
        <v>46085</v>
      </c>
      <c r="C412" s="2">
        <v>46094</v>
      </c>
      <c r="D412">
        <v>9</v>
      </c>
      <c r="E412" t="s">
        <v>231</v>
      </c>
      <c r="F412" t="s">
        <v>232</v>
      </c>
      <c r="G412">
        <v>6</v>
      </c>
    </row>
    <row r="413" spans="1:7" x14ac:dyDescent="0.35">
      <c r="A413">
        <v>1001767</v>
      </c>
      <c r="B413" s="2">
        <v>46085</v>
      </c>
      <c r="C413" s="2">
        <v>46100</v>
      </c>
      <c r="D413">
        <v>15</v>
      </c>
      <c r="E413" t="s">
        <v>229</v>
      </c>
      <c r="F413" t="s">
        <v>230</v>
      </c>
      <c r="G413">
        <v>0</v>
      </c>
    </row>
    <row r="414" spans="1:7" x14ac:dyDescent="0.35">
      <c r="A414">
        <v>1001767</v>
      </c>
      <c r="B414" s="2">
        <v>46085</v>
      </c>
      <c r="C414" s="2">
        <v>46101</v>
      </c>
      <c r="D414">
        <v>16</v>
      </c>
      <c r="E414" t="s">
        <v>233</v>
      </c>
      <c r="F414" t="s">
        <v>188</v>
      </c>
      <c r="G414">
        <v>6</v>
      </c>
    </row>
    <row r="415" spans="1:7" x14ac:dyDescent="0.35">
      <c r="A415">
        <v>1001767</v>
      </c>
      <c r="B415" s="2">
        <v>46085</v>
      </c>
      <c r="C415" s="2">
        <v>46104</v>
      </c>
      <c r="D415">
        <v>19</v>
      </c>
      <c r="E415" t="s">
        <v>229</v>
      </c>
      <c r="F415" t="s">
        <v>230</v>
      </c>
      <c r="G415">
        <v>0</v>
      </c>
    </row>
    <row r="416" spans="1:7" x14ac:dyDescent="0.35">
      <c r="A416">
        <v>1001767</v>
      </c>
      <c r="B416" s="2">
        <v>46085</v>
      </c>
      <c r="C416" s="2">
        <v>46104</v>
      </c>
      <c r="D416">
        <v>19</v>
      </c>
      <c r="E416" t="s">
        <v>220</v>
      </c>
      <c r="F416" t="s">
        <v>219</v>
      </c>
      <c r="G416">
        <v>4</v>
      </c>
    </row>
    <row r="417" spans="1:7" x14ac:dyDescent="0.35">
      <c r="A417">
        <v>1001767</v>
      </c>
      <c r="B417" s="2">
        <v>46085</v>
      </c>
      <c r="C417" s="2">
        <v>46104</v>
      </c>
      <c r="D417">
        <v>19</v>
      </c>
      <c r="E417" t="s">
        <v>216</v>
      </c>
      <c r="F417" t="s">
        <v>217</v>
      </c>
      <c r="G417">
        <v>2</v>
      </c>
    </row>
    <row r="418" spans="1:7" x14ac:dyDescent="0.35">
      <c r="A418">
        <v>1001767</v>
      </c>
      <c r="B418" s="2">
        <v>46085</v>
      </c>
      <c r="C418" s="2">
        <v>46104</v>
      </c>
      <c r="D418">
        <v>19</v>
      </c>
      <c r="E418" t="s">
        <v>234</v>
      </c>
      <c r="F418" t="s">
        <v>222</v>
      </c>
      <c r="G418">
        <v>2</v>
      </c>
    </row>
    <row r="419" spans="1:7" x14ac:dyDescent="0.35">
      <c r="A419">
        <v>1001767</v>
      </c>
      <c r="B419" s="2">
        <v>46085</v>
      </c>
      <c r="C419" s="2">
        <v>46104</v>
      </c>
      <c r="D419">
        <v>19</v>
      </c>
      <c r="E419" t="s">
        <v>235</v>
      </c>
      <c r="F419" t="s">
        <v>222</v>
      </c>
      <c r="G419">
        <v>6</v>
      </c>
    </row>
    <row r="420" spans="1:7" x14ac:dyDescent="0.35">
      <c r="A420">
        <v>1001767</v>
      </c>
      <c r="B420" s="2">
        <v>46085</v>
      </c>
      <c r="C420" s="2">
        <v>46105</v>
      </c>
      <c r="D420">
        <v>20</v>
      </c>
      <c r="E420" t="s">
        <v>233</v>
      </c>
      <c r="F420" t="s">
        <v>188</v>
      </c>
      <c r="G420">
        <v>6</v>
      </c>
    </row>
    <row r="421" spans="1:7" x14ac:dyDescent="0.35">
      <c r="A421">
        <v>1001767</v>
      </c>
      <c r="B421" s="2">
        <v>46085</v>
      </c>
      <c r="C421" s="2">
        <v>46106</v>
      </c>
      <c r="D421">
        <v>21</v>
      </c>
      <c r="E421" t="s">
        <v>229</v>
      </c>
      <c r="F421" t="s">
        <v>230</v>
      </c>
      <c r="G421">
        <v>0</v>
      </c>
    </row>
    <row r="422" spans="1:7" x14ac:dyDescent="0.35">
      <c r="A422">
        <v>1001767</v>
      </c>
      <c r="B422" s="2">
        <v>46085</v>
      </c>
      <c r="C422" s="2">
        <v>46106</v>
      </c>
      <c r="D422">
        <v>21</v>
      </c>
      <c r="E422" t="s">
        <v>229</v>
      </c>
      <c r="F422" t="s">
        <v>230</v>
      </c>
      <c r="G422">
        <v>0</v>
      </c>
    </row>
    <row r="423" spans="1:7" x14ac:dyDescent="0.35">
      <c r="A423">
        <v>1001767</v>
      </c>
      <c r="B423" s="2">
        <v>46085</v>
      </c>
      <c r="C423" s="2">
        <v>46106</v>
      </c>
      <c r="D423">
        <v>21</v>
      </c>
      <c r="E423" t="s">
        <v>233</v>
      </c>
      <c r="F423" t="s">
        <v>188</v>
      </c>
      <c r="G423">
        <v>-6</v>
      </c>
    </row>
    <row r="424" spans="1:7" x14ac:dyDescent="0.35">
      <c r="A424">
        <v>1001767</v>
      </c>
      <c r="B424" s="2">
        <v>46085</v>
      </c>
      <c r="C424" s="2">
        <v>46111</v>
      </c>
      <c r="D424">
        <v>26</v>
      </c>
      <c r="E424" t="s">
        <v>236</v>
      </c>
      <c r="F424" t="s">
        <v>237</v>
      </c>
      <c r="G424">
        <v>2</v>
      </c>
    </row>
    <row r="425" spans="1:7" x14ac:dyDescent="0.35">
      <c r="A425">
        <v>1001767</v>
      </c>
      <c r="B425" s="2">
        <v>46085</v>
      </c>
      <c r="C425" s="2">
        <v>46111</v>
      </c>
      <c r="D425">
        <v>26</v>
      </c>
      <c r="E425" t="s">
        <v>91</v>
      </c>
      <c r="F425" t="s">
        <v>92</v>
      </c>
      <c r="G425">
        <v>15</v>
      </c>
    </row>
    <row r="426" spans="1:7" x14ac:dyDescent="0.35">
      <c r="A426">
        <v>1001772</v>
      </c>
      <c r="B426" s="2">
        <v>46084</v>
      </c>
      <c r="C426" s="2">
        <v>46087</v>
      </c>
      <c r="D426">
        <v>3</v>
      </c>
      <c r="E426" t="s">
        <v>238</v>
      </c>
      <c r="F426" t="s">
        <v>239</v>
      </c>
      <c r="G426">
        <v>6</v>
      </c>
    </row>
    <row r="427" spans="1:7" x14ac:dyDescent="0.35">
      <c r="A427">
        <v>1001772</v>
      </c>
      <c r="B427" s="2">
        <v>46084</v>
      </c>
      <c r="C427" s="2">
        <v>46087</v>
      </c>
      <c r="D427">
        <v>3</v>
      </c>
      <c r="E427" t="s">
        <v>91</v>
      </c>
      <c r="F427" t="s">
        <v>92</v>
      </c>
      <c r="G427">
        <v>3</v>
      </c>
    </row>
    <row r="428" spans="1:7" x14ac:dyDescent="0.35">
      <c r="A428">
        <v>1001772</v>
      </c>
      <c r="B428" s="2">
        <v>46084</v>
      </c>
      <c r="C428" s="2">
        <v>46104</v>
      </c>
      <c r="D428">
        <v>20</v>
      </c>
      <c r="E428" t="s">
        <v>9</v>
      </c>
      <c r="F428" t="s">
        <v>10</v>
      </c>
      <c r="G428">
        <v>6</v>
      </c>
    </row>
    <row r="429" spans="1:7" x14ac:dyDescent="0.35">
      <c r="A429">
        <v>1001772</v>
      </c>
      <c r="B429" s="2">
        <v>46084</v>
      </c>
      <c r="C429" s="2">
        <v>46108</v>
      </c>
      <c r="D429">
        <v>24</v>
      </c>
      <c r="E429" t="s">
        <v>13</v>
      </c>
      <c r="F429" t="s">
        <v>14</v>
      </c>
      <c r="G429">
        <v>6</v>
      </c>
    </row>
    <row r="430" spans="1:7" x14ac:dyDescent="0.35">
      <c r="A430">
        <v>1001784</v>
      </c>
      <c r="B430" s="2">
        <v>46086</v>
      </c>
      <c r="C430" s="2">
        <v>46090</v>
      </c>
      <c r="D430">
        <v>4</v>
      </c>
      <c r="E430" t="s">
        <v>101</v>
      </c>
      <c r="F430" t="s">
        <v>102</v>
      </c>
      <c r="G430">
        <v>2</v>
      </c>
    </row>
    <row r="431" spans="1:7" x14ac:dyDescent="0.35">
      <c r="A431">
        <v>1001784</v>
      </c>
      <c r="B431" s="2">
        <v>46086</v>
      </c>
      <c r="C431" s="2">
        <v>46104</v>
      </c>
      <c r="D431">
        <v>18</v>
      </c>
      <c r="E431" t="s">
        <v>93</v>
      </c>
      <c r="F431" t="s">
        <v>94</v>
      </c>
      <c r="G431">
        <v>2</v>
      </c>
    </row>
    <row r="432" spans="1:7" x14ac:dyDescent="0.35">
      <c r="A432">
        <v>1001784</v>
      </c>
      <c r="B432" s="2">
        <v>46086</v>
      </c>
      <c r="C432" s="2">
        <v>46104</v>
      </c>
      <c r="D432">
        <v>18</v>
      </c>
      <c r="E432" t="s">
        <v>101</v>
      </c>
      <c r="F432" t="s">
        <v>102</v>
      </c>
      <c r="G432">
        <v>1</v>
      </c>
    </row>
    <row r="433" spans="1:7" x14ac:dyDescent="0.35">
      <c r="A433">
        <v>1001792</v>
      </c>
      <c r="B433" s="2">
        <v>46090</v>
      </c>
      <c r="C433" s="2">
        <v>46091</v>
      </c>
      <c r="D433">
        <v>1</v>
      </c>
      <c r="E433" t="s">
        <v>240</v>
      </c>
      <c r="F433" t="s">
        <v>241</v>
      </c>
      <c r="G433">
        <v>77</v>
      </c>
    </row>
    <row r="434" spans="1:7" x14ac:dyDescent="0.35">
      <c r="A434">
        <v>1001792</v>
      </c>
      <c r="B434" s="2">
        <v>46090</v>
      </c>
      <c r="C434" s="2">
        <v>46091</v>
      </c>
      <c r="D434">
        <v>1</v>
      </c>
      <c r="E434" t="s">
        <v>242</v>
      </c>
      <c r="F434" t="s">
        <v>243</v>
      </c>
      <c r="G434">
        <v>4</v>
      </c>
    </row>
    <row r="435" spans="1:7" x14ac:dyDescent="0.35">
      <c r="A435">
        <v>1001792</v>
      </c>
      <c r="B435" s="2">
        <v>46090</v>
      </c>
      <c r="C435" s="2">
        <v>46091</v>
      </c>
      <c r="D435">
        <v>1</v>
      </c>
      <c r="E435" t="s">
        <v>93</v>
      </c>
      <c r="F435" t="s">
        <v>94</v>
      </c>
      <c r="G435">
        <v>40</v>
      </c>
    </row>
    <row r="436" spans="1:7" x14ac:dyDescent="0.35">
      <c r="A436">
        <v>1001792</v>
      </c>
      <c r="B436" s="2">
        <v>46090</v>
      </c>
      <c r="C436" s="2">
        <v>46091</v>
      </c>
      <c r="D436">
        <v>1</v>
      </c>
      <c r="E436" t="s">
        <v>123</v>
      </c>
      <c r="F436" t="s">
        <v>35</v>
      </c>
      <c r="G436">
        <v>8</v>
      </c>
    </row>
    <row r="437" spans="1:7" x14ac:dyDescent="0.35">
      <c r="A437">
        <v>1001792</v>
      </c>
      <c r="B437" s="2">
        <v>46090</v>
      </c>
      <c r="C437" s="2">
        <v>46098</v>
      </c>
      <c r="D437">
        <v>8</v>
      </c>
      <c r="E437" t="s">
        <v>89</v>
      </c>
      <c r="F437" t="s">
        <v>39</v>
      </c>
      <c r="G437">
        <v>8</v>
      </c>
    </row>
    <row r="438" spans="1:7" x14ac:dyDescent="0.35">
      <c r="A438">
        <v>1001792</v>
      </c>
      <c r="B438" s="2">
        <v>46090</v>
      </c>
      <c r="C438" s="2">
        <v>46098</v>
      </c>
      <c r="D438">
        <v>8</v>
      </c>
      <c r="E438" t="s">
        <v>244</v>
      </c>
      <c r="F438" t="s">
        <v>245</v>
      </c>
      <c r="G438">
        <v>16</v>
      </c>
    </row>
    <row r="439" spans="1:7" x14ac:dyDescent="0.35">
      <c r="A439">
        <v>1001792</v>
      </c>
      <c r="B439" s="2">
        <v>46090</v>
      </c>
      <c r="C439" s="2">
        <v>46105</v>
      </c>
      <c r="D439">
        <v>15</v>
      </c>
      <c r="E439" t="s">
        <v>246</v>
      </c>
      <c r="F439" t="s">
        <v>247</v>
      </c>
      <c r="G439">
        <v>100</v>
      </c>
    </row>
    <row r="440" spans="1:7" x14ac:dyDescent="0.35">
      <c r="A440">
        <v>1001792</v>
      </c>
      <c r="B440" s="2">
        <v>46090</v>
      </c>
      <c r="C440" s="2">
        <v>46105</v>
      </c>
      <c r="D440">
        <v>15</v>
      </c>
      <c r="E440" t="s">
        <v>240</v>
      </c>
      <c r="F440" t="s">
        <v>241</v>
      </c>
      <c r="G440">
        <v>23</v>
      </c>
    </row>
    <row r="441" spans="1:7" x14ac:dyDescent="0.35">
      <c r="A441">
        <v>1001793</v>
      </c>
      <c r="B441" s="2">
        <v>46090</v>
      </c>
      <c r="C441" s="2">
        <v>46106</v>
      </c>
      <c r="D441">
        <v>16</v>
      </c>
      <c r="E441" t="s">
        <v>103</v>
      </c>
      <c r="F441" t="s">
        <v>94</v>
      </c>
      <c r="G441">
        <v>6</v>
      </c>
    </row>
    <row r="442" spans="1:7" x14ac:dyDescent="0.35">
      <c r="A442">
        <v>1001793</v>
      </c>
      <c r="B442" s="2">
        <v>46090</v>
      </c>
      <c r="C442" s="2">
        <v>46106</v>
      </c>
      <c r="D442">
        <v>16</v>
      </c>
      <c r="E442" t="s">
        <v>248</v>
      </c>
      <c r="F442" t="s">
        <v>183</v>
      </c>
      <c r="G442">
        <v>3</v>
      </c>
    </row>
    <row r="443" spans="1:7" x14ac:dyDescent="0.35">
      <c r="A443">
        <v>1001793</v>
      </c>
      <c r="B443" s="2">
        <v>46090</v>
      </c>
      <c r="C443" s="2">
        <v>46106</v>
      </c>
      <c r="D443">
        <v>16</v>
      </c>
      <c r="E443" t="s">
        <v>123</v>
      </c>
      <c r="F443" t="s">
        <v>35</v>
      </c>
      <c r="G443">
        <v>1</v>
      </c>
    </row>
    <row r="444" spans="1:7" x14ac:dyDescent="0.35">
      <c r="A444">
        <v>1001793</v>
      </c>
      <c r="B444" s="2">
        <v>46090</v>
      </c>
      <c r="C444" s="2">
        <v>46106</v>
      </c>
      <c r="D444">
        <v>16</v>
      </c>
      <c r="E444" t="s">
        <v>90</v>
      </c>
      <c r="F444" t="s">
        <v>35</v>
      </c>
      <c r="G444">
        <v>3</v>
      </c>
    </row>
    <row r="445" spans="1:7" x14ac:dyDescent="0.35">
      <c r="A445">
        <v>1001793</v>
      </c>
      <c r="B445" s="2">
        <v>46090</v>
      </c>
      <c r="C445" s="2">
        <v>46106</v>
      </c>
      <c r="D445">
        <v>16</v>
      </c>
      <c r="E445" t="s">
        <v>147</v>
      </c>
      <c r="F445" t="s">
        <v>39</v>
      </c>
      <c r="G445">
        <v>3</v>
      </c>
    </row>
    <row r="446" spans="1:7" x14ac:dyDescent="0.35">
      <c r="A446">
        <v>1001793</v>
      </c>
      <c r="B446" s="2">
        <v>46090</v>
      </c>
      <c r="C446" s="2">
        <v>46106</v>
      </c>
      <c r="D446">
        <v>16</v>
      </c>
      <c r="E446" t="s">
        <v>249</v>
      </c>
      <c r="F446" t="s">
        <v>250</v>
      </c>
      <c r="G446">
        <v>2</v>
      </c>
    </row>
    <row r="447" spans="1:7" x14ac:dyDescent="0.35">
      <c r="A447">
        <v>1001793</v>
      </c>
      <c r="B447" s="2">
        <v>46090</v>
      </c>
      <c r="C447" s="2">
        <v>46106</v>
      </c>
      <c r="D447">
        <v>16</v>
      </c>
      <c r="E447" t="s">
        <v>103</v>
      </c>
      <c r="F447" t="s">
        <v>94</v>
      </c>
      <c r="G447">
        <v>-6</v>
      </c>
    </row>
    <row r="448" spans="1:7" x14ac:dyDescent="0.35">
      <c r="A448">
        <v>1001793</v>
      </c>
      <c r="B448" s="2">
        <v>46090</v>
      </c>
      <c r="C448" s="2">
        <v>46106</v>
      </c>
      <c r="D448">
        <v>16</v>
      </c>
      <c r="E448" t="s">
        <v>248</v>
      </c>
      <c r="F448" t="s">
        <v>183</v>
      </c>
      <c r="G448">
        <v>-3</v>
      </c>
    </row>
    <row r="449" spans="1:7" x14ac:dyDescent="0.35">
      <c r="A449">
        <v>1001793</v>
      </c>
      <c r="B449" s="2">
        <v>46090</v>
      </c>
      <c r="C449" s="2">
        <v>46106</v>
      </c>
      <c r="D449">
        <v>16</v>
      </c>
      <c r="E449" t="s">
        <v>123</v>
      </c>
      <c r="F449" t="s">
        <v>35</v>
      </c>
      <c r="G449">
        <v>-1</v>
      </c>
    </row>
    <row r="450" spans="1:7" x14ac:dyDescent="0.35">
      <c r="A450">
        <v>1001793</v>
      </c>
      <c r="B450" s="2">
        <v>46090</v>
      </c>
      <c r="C450" s="2">
        <v>46106</v>
      </c>
      <c r="D450">
        <v>16</v>
      </c>
      <c r="E450" t="s">
        <v>90</v>
      </c>
      <c r="F450" t="s">
        <v>35</v>
      </c>
      <c r="G450">
        <v>-3</v>
      </c>
    </row>
    <row r="451" spans="1:7" x14ac:dyDescent="0.35">
      <c r="A451">
        <v>1001793</v>
      </c>
      <c r="B451" s="2">
        <v>46090</v>
      </c>
      <c r="C451" s="2">
        <v>46106</v>
      </c>
      <c r="D451">
        <v>16</v>
      </c>
      <c r="E451" t="s">
        <v>147</v>
      </c>
      <c r="F451" t="s">
        <v>39</v>
      </c>
      <c r="G451">
        <v>-3</v>
      </c>
    </row>
    <row r="452" spans="1:7" x14ac:dyDescent="0.35">
      <c r="A452">
        <v>1001793</v>
      </c>
      <c r="B452" s="2">
        <v>46090</v>
      </c>
      <c r="C452" s="2">
        <v>46106</v>
      </c>
      <c r="D452">
        <v>16</v>
      </c>
      <c r="E452" t="s">
        <v>249</v>
      </c>
      <c r="F452" t="s">
        <v>250</v>
      </c>
      <c r="G452">
        <v>-2</v>
      </c>
    </row>
    <row r="453" spans="1:7" x14ac:dyDescent="0.35">
      <c r="A453">
        <v>1001793</v>
      </c>
      <c r="B453" s="2">
        <v>46090</v>
      </c>
      <c r="C453" s="2">
        <v>46106</v>
      </c>
      <c r="D453">
        <v>16</v>
      </c>
      <c r="E453" t="s">
        <v>103</v>
      </c>
      <c r="F453" t="s">
        <v>94</v>
      </c>
      <c r="G453">
        <v>6</v>
      </c>
    </row>
    <row r="454" spans="1:7" x14ac:dyDescent="0.35">
      <c r="A454">
        <v>1001793</v>
      </c>
      <c r="B454" s="2">
        <v>46090</v>
      </c>
      <c r="C454" s="2">
        <v>46106</v>
      </c>
      <c r="D454">
        <v>16</v>
      </c>
      <c r="E454" t="s">
        <v>248</v>
      </c>
      <c r="F454" t="s">
        <v>183</v>
      </c>
      <c r="G454">
        <v>3</v>
      </c>
    </row>
    <row r="455" spans="1:7" x14ac:dyDescent="0.35">
      <c r="A455">
        <v>1001793</v>
      </c>
      <c r="B455" s="2">
        <v>46090</v>
      </c>
      <c r="C455" s="2">
        <v>46106</v>
      </c>
      <c r="D455">
        <v>16</v>
      </c>
      <c r="E455" t="s">
        <v>123</v>
      </c>
      <c r="F455" t="s">
        <v>35</v>
      </c>
      <c r="G455">
        <v>1</v>
      </c>
    </row>
    <row r="456" spans="1:7" x14ac:dyDescent="0.35">
      <c r="A456">
        <v>1001793</v>
      </c>
      <c r="B456" s="2">
        <v>46090</v>
      </c>
      <c r="C456" s="2">
        <v>46106</v>
      </c>
      <c r="D456">
        <v>16</v>
      </c>
      <c r="E456" t="s">
        <v>90</v>
      </c>
      <c r="F456" t="s">
        <v>35</v>
      </c>
      <c r="G456">
        <v>3</v>
      </c>
    </row>
    <row r="457" spans="1:7" x14ac:dyDescent="0.35">
      <c r="A457">
        <v>1001793</v>
      </c>
      <c r="B457" s="2">
        <v>46090</v>
      </c>
      <c r="C457" s="2">
        <v>46106</v>
      </c>
      <c r="D457">
        <v>16</v>
      </c>
      <c r="E457" t="s">
        <v>147</v>
      </c>
      <c r="F457" t="s">
        <v>39</v>
      </c>
      <c r="G457">
        <v>3</v>
      </c>
    </row>
    <row r="458" spans="1:7" x14ac:dyDescent="0.35">
      <c r="A458">
        <v>1001793</v>
      </c>
      <c r="B458" s="2">
        <v>46090</v>
      </c>
      <c r="C458" s="2">
        <v>46106</v>
      </c>
      <c r="D458">
        <v>16</v>
      </c>
      <c r="E458" t="s">
        <v>249</v>
      </c>
      <c r="F458" t="s">
        <v>250</v>
      </c>
      <c r="G458">
        <v>2</v>
      </c>
    </row>
    <row r="459" spans="1:7" x14ac:dyDescent="0.35">
      <c r="A459">
        <v>1001793</v>
      </c>
      <c r="B459" s="2">
        <v>46090</v>
      </c>
      <c r="C459" s="2">
        <v>46106</v>
      </c>
      <c r="D459">
        <v>16</v>
      </c>
      <c r="E459" t="s">
        <v>249</v>
      </c>
      <c r="F459" t="s">
        <v>250</v>
      </c>
      <c r="G459">
        <v>-2</v>
      </c>
    </row>
    <row r="460" spans="1:7" x14ac:dyDescent="0.35">
      <c r="A460">
        <v>1001793</v>
      </c>
      <c r="B460" s="2">
        <v>46090</v>
      </c>
      <c r="C460" s="2">
        <v>46106</v>
      </c>
      <c r="D460">
        <v>16</v>
      </c>
      <c r="E460" t="s">
        <v>249</v>
      </c>
      <c r="F460" t="s">
        <v>250</v>
      </c>
      <c r="G460">
        <v>2</v>
      </c>
    </row>
    <row r="461" spans="1:7" x14ac:dyDescent="0.35">
      <c r="A461">
        <v>1001793</v>
      </c>
      <c r="B461" s="2">
        <v>46090</v>
      </c>
      <c r="C461" s="2">
        <v>46112</v>
      </c>
      <c r="D461">
        <v>22</v>
      </c>
      <c r="E461" t="s">
        <v>134</v>
      </c>
      <c r="F461" t="s">
        <v>49</v>
      </c>
      <c r="G461">
        <v>4</v>
      </c>
    </row>
    <row r="462" spans="1:7" x14ac:dyDescent="0.35">
      <c r="A462">
        <v>1001793</v>
      </c>
      <c r="B462" s="2">
        <v>46090</v>
      </c>
      <c r="C462" s="2">
        <v>46112</v>
      </c>
      <c r="D462">
        <v>22</v>
      </c>
      <c r="E462" t="s">
        <v>89</v>
      </c>
      <c r="F462" t="s">
        <v>39</v>
      </c>
      <c r="G462">
        <v>1</v>
      </c>
    </row>
    <row r="463" spans="1:7" x14ac:dyDescent="0.35">
      <c r="A463">
        <v>1001804</v>
      </c>
      <c r="B463" s="2">
        <v>46092</v>
      </c>
      <c r="C463" s="2">
        <v>46099</v>
      </c>
      <c r="D463">
        <v>7</v>
      </c>
      <c r="E463" t="s">
        <v>133</v>
      </c>
      <c r="F463" t="s">
        <v>47</v>
      </c>
      <c r="G463">
        <v>6</v>
      </c>
    </row>
    <row r="464" spans="1:7" x14ac:dyDescent="0.35">
      <c r="A464">
        <v>1001804</v>
      </c>
      <c r="B464" s="2">
        <v>46092</v>
      </c>
      <c r="C464" s="2">
        <v>46104</v>
      </c>
      <c r="D464">
        <v>12</v>
      </c>
      <c r="E464" t="s">
        <v>9</v>
      </c>
      <c r="F464" t="s">
        <v>10</v>
      </c>
      <c r="G464">
        <v>6</v>
      </c>
    </row>
    <row r="465" spans="1:7" x14ac:dyDescent="0.35">
      <c r="A465">
        <v>1001804</v>
      </c>
      <c r="B465" s="2">
        <v>46092</v>
      </c>
      <c r="C465" s="2">
        <v>46106</v>
      </c>
      <c r="D465">
        <v>14</v>
      </c>
      <c r="E465" t="s">
        <v>7</v>
      </c>
      <c r="F465" t="s">
        <v>8</v>
      </c>
      <c r="G465">
        <v>6</v>
      </c>
    </row>
    <row r="466" spans="1:7" x14ac:dyDescent="0.35">
      <c r="A466">
        <v>1001804</v>
      </c>
      <c r="B466" s="2">
        <v>46092</v>
      </c>
      <c r="C466" s="2">
        <v>46109</v>
      </c>
      <c r="D466">
        <v>17</v>
      </c>
      <c r="E466" t="s">
        <v>13</v>
      </c>
      <c r="F466" t="s">
        <v>14</v>
      </c>
      <c r="G466">
        <v>6</v>
      </c>
    </row>
    <row r="467" spans="1:7" x14ac:dyDescent="0.35">
      <c r="A467">
        <v>1001808</v>
      </c>
      <c r="B467" s="2">
        <v>46094</v>
      </c>
      <c r="C467" s="2">
        <v>46099</v>
      </c>
      <c r="D467">
        <v>5</v>
      </c>
      <c r="E467" t="s">
        <v>134</v>
      </c>
      <c r="F467" t="s">
        <v>49</v>
      </c>
      <c r="G467">
        <v>12</v>
      </c>
    </row>
    <row r="468" spans="1:7" x14ac:dyDescent="0.35">
      <c r="A468">
        <v>1001808</v>
      </c>
      <c r="B468" s="2">
        <v>46094</v>
      </c>
      <c r="C468" s="2">
        <v>46099</v>
      </c>
      <c r="D468">
        <v>5</v>
      </c>
      <c r="E468" t="s">
        <v>135</v>
      </c>
      <c r="F468" t="s">
        <v>51</v>
      </c>
      <c r="G468">
        <v>12</v>
      </c>
    </row>
    <row r="469" spans="1:7" x14ac:dyDescent="0.35">
      <c r="A469">
        <v>1001818</v>
      </c>
      <c r="B469" s="2">
        <v>46093</v>
      </c>
      <c r="C469" s="2">
        <v>46102</v>
      </c>
      <c r="D469">
        <v>9</v>
      </c>
      <c r="E469" t="s">
        <v>134</v>
      </c>
      <c r="F469" t="s">
        <v>49</v>
      </c>
      <c r="G469">
        <v>1</v>
      </c>
    </row>
    <row r="470" spans="1:7" x14ac:dyDescent="0.35">
      <c r="A470">
        <v>1001818</v>
      </c>
      <c r="B470" s="2">
        <v>46093</v>
      </c>
      <c r="C470" s="2">
        <v>46102</v>
      </c>
      <c r="D470">
        <v>9</v>
      </c>
      <c r="E470" t="s">
        <v>135</v>
      </c>
      <c r="F470" t="s">
        <v>51</v>
      </c>
      <c r="G470">
        <v>1</v>
      </c>
    </row>
    <row r="471" spans="1:7" x14ac:dyDescent="0.35">
      <c r="A471">
        <v>1001818</v>
      </c>
      <c r="B471" s="2">
        <v>46093</v>
      </c>
      <c r="C471" s="2">
        <v>46102</v>
      </c>
      <c r="D471">
        <v>9</v>
      </c>
      <c r="E471" t="s">
        <v>251</v>
      </c>
      <c r="F471" t="s">
        <v>252</v>
      </c>
      <c r="G471">
        <v>1</v>
      </c>
    </row>
    <row r="472" spans="1:7" x14ac:dyDescent="0.35">
      <c r="A472">
        <v>1001818</v>
      </c>
      <c r="B472" s="2">
        <v>46093</v>
      </c>
      <c r="C472" s="2">
        <v>46113</v>
      </c>
      <c r="D472">
        <v>20</v>
      </c>
      <c r="E472" t="s">
        <v>134</v>
      </c>
      <c r="F472" t="s">
        <v>49</v>
      </c>
      <c r="G472">
        <v>3</v>
      </c>
    </row>
    <row r="473" spans="1:7" x14ac:dyDescent="0.35">
      <c r="A473">
        <v>1001818</v>
      </c>
      <c r="B473" s="2">
        <v>46093</v>
      </c>
      <c r="C473" s="2">
        <v>46113</v>
      </c>
      <c r="D473">
        <v>20</v>
      </c>
      <c r="E473" t="s">
        <v>135</v>
      </c>
      <c r="F473" t="s">
        <v>51</v>
      </c>
      <c r="G473">
        <v>3</v>
      </c>
    </row>
    <row r="474" spans="1:7" x14ac:dyDescent="0.35">
      <c r="A474">
        <v>1001843</v>
      </c>
      <c r="B474" s="2">
        <v>46099</v>
      </c>
      <c r="C474" s="2">
        <v>46129</v>
      </c>
      <c r="D474">
        <v>30</v>
      </c>
      <c r="E474" t="s">
        <v>7</v>
      </c>
      <c r="F474" t="s">
        <v>8</v>
      </c>
      <c r="G474">
        <v>12</v>
      </c>
    </row>
    <row r="475" spans="1:7" x14ac:dyDescent="0.35">
      <c r="A475">
        <v>1001843</v>
      </c>
      <c r="B475" s="2">
        <v>46099</v>
      </c>
      <c r="C475" s="2">
        <v>46129</v>
      </c>
      <c r="D475">
        <v>30</v>
      </c>
      <c r="E475" t="s">
        <v>238</v>
      </c>
      <c r="F475" t="s">
        <v>239</v>
      </c>
      <c r="G475">
        <v>6</v>
      </c>
    </row>
    <row r="476" spans="1:7" x14ac:dyDescent="0.35">
      <c r="A476">
        <v>1001843</v>
      </c>
      <c r="B476" s="2">
        <v>46099</v>
      </c>
      <c r="C476" s="2">
        <v>46129</v>
      </c>
      <c r="D476">
        <v>30</v>
      </c>
      <c r="E476" t="s">
        <v>9</v>
      </c>
      <c r="F476" t="s">
        <v>10</v>
      </c>
      <c r="G476">
        <v>12</v>
      </c>
    </row>
    <row r="477" spans="1:7" x14ac:dyDescent="0.35">
      <c r="A477">
        <v>1001844</v>
      </c>
      <c r="B477" s="2">
        <v>46099</v>
      </c>
      <c r="C477" s="2">
        <v>46104</v>
      </c>
      <c r="D477">
        <v>5</v>
      </c>
      <c r="E477" t="s">
        <v>136</v>
      </c>
      <c r="F477" t="s">
        <v>137</v>
      </c>
      <c r="G477">
        <v>3</v>
      </c>
    </row>
    <row r="478" spans="1:7" x14ac:dyDescent="0.35">
      <c r="A478">
        <v>1001844</v>
      </c>
      <c r="B478" s="2">
        <v>46099</v>
      </c>
      <c r="C478" s="2">
        <v>46104</v>
      </c>
      <c r="D478">
        <v>5</v>
      </c>
      <c r="E478" t="s">
        <v>193</v>
      </c>
      <c r="F478" t="s">
        <v>194</v>
      </c>
      <c r="G478">
        <v>3</v>
      </c>
    </row>
    <row r="479" spans="1:7" x14ac:dyDescent="0.35">
      <c r="A479">
        <v>1001844</v>
      </c>
      <c r="B479" s="2">
        <v>46099</v>
      </c>
      <c r="C479" s="2">
        <v>46111</v>
      </c>
      <c r="D479">
        <v>12</v>
      </c>
      <c r="E479" t="s">
        <v>253</v>
      </c>
      <c r="F479" t="s">
        <v>196</v>
      </c>
      <c r="G479">
        <v>1</v>
      </c>
    </row>
    <row r="480" spans="1:7" x14ac:dyDescent="0.35">
      <c r="A480">
        <v>1001844</v>
      </c>
      <c r="B480" s="2">
        <v>46099</v>
      </c>
      <c r="C480" s="2">
        <v>46111</v>
      </c>
      <c r="D480">
        <v>12</v>
      </c>
      <c r="E480" t="s">
        <v>254</v>
      </c>
      <c r="F480" t="s">
        <v>255</v>
      </c>
      <c r="G480">
        <v>1</v>
      </c>
    </row>
    <row r="481" spans="1:7" x14ac:dyDescent="0.35">
      <c r="A481">
        <v>1001848</v>
      </c>
      <c r="B481" s="2">
        <v>46100</v>
      </c>
      <c r="C481" s="2">
        <v>46106</v>
      </c>
      <c r="D481">
        <v>6</v>
      </c>
      <c r="E481" t="s">
        <v>256</v>
      </c>
      <c r="F481" t="s">
        <v>83</v>
      </c>
      <c r="G481">
        <v>6</v>
      </c>
    </row>
    <row r="482" spans="1:7" x14ac:dyDescent="0.35">
      <c r="A482">
        <v>1001848</v>
      </c>
      <c r="B482" s="2">
        <v>46100</v>
      </c>
      <c r="C482" s="2">
        <v>46106</v>
      </c>
      <c r="D482">
        <v>6</v>
      </c>
      <c r="E482" t="s">
        <v>144</v>
      </c>
      <c r="F482" t="s">
        <v>71</v>
      </c>
      <c r="G482">
        <v>6</v>
      </c>
    </row>
    <row r="483" spans="1:7" x14ac:dyDescent="0.35">
      <c r="A483">
        <v>1001848</v>
      </c>
      <c r="B483" s="2">
        <v>46100</v>
      </c>
      <c r="C483" s="2">
        <v>46106</v>
      </c>
      <c r="D483">
        <v>6</v>
      </c>
      <c r="E483" t="s">
        <v>257</v>
      </c>
      <c r="F483" t="s">
        <v>35</v>
      </c>
      <c r="G483">
        <v>12</v>
      </c>
    </row>
    <row r="484" spans="1:7" x14ac:dyDescent="0.35">
      <c r="A484">
        <v>1001848</v>
      </c>
      <c r="B484" s="2">
        <v>46100</v>
      </c>
      <c r="C484" s="2">
        <v>46106</v>
      </c>
      <c r="D484">
        <v>6</v>
      </c>
      <c r="E484" t="s">
        <v>258</v>
      </c>
      <c r="F484" t="s">
        <v>78</v>
      </c>
      <c r="G484">
        <v>6</v>
      </c>
    </row>
    <row r="485" spans="1:7" x14ac:dyDescent="0.35">
      <c r="A485">
        <v>1001848</v>
      </c>
      <c r="B485" s="2">
        <v>46100</v>
      </c>
      <c r="C485" s="2">
        <v>46111</v>
      </c>
      <c r="D485">
        <v>11</v>
      </c>
      <c r="E485" t="s">
        <v>259</v>
      </c>
      <c r="F485" t="s">
        <v>260</v>
      </c>
      <c r="G485">
        <v>6</v>
      </c>
    </row>
    <row r="486" spans="1:7" x14ac:dyDescent="0.35">
      <c r="A486">
        <v>1001848</v>
      </c>
      <c r="B486" s="2">
        <v>46100</v>
      </c>
      <c r="C486" s="2">
        <v>46111</v>
      </c>
      <c r="D486">
        <v>11</v>
      </c>
      <c r="E486" t="s">
        <v>59</v>
      </c>
      <c r="F486" t="s">
        <v>60</v>
      </c>
      <c r="G486">
        <v>6</v>
      </c>
    </row>
    <row r="487" spans="1:7" x14ac:dyDescent="0.35">
      <c r="A487">
        <v>1001848</v>
      </c>
      <c r="B487" s="2">
        <v>46100</v>
      </c>
      <c r="C487" s="2">
        <v>46111</v>
      </c>
      <c r="D487">
        <v>11</v>
      </c>
      <c r="E487" t="s">
        <v>108</v>
      </c>
      <c r="F487" t="s">
        <v>109</v>
      </c>
      <c r="G487">
        <v>6</v>
      </c>
    </row>
    <row r="488" spans="1:7" x14ac:dyDescent="0.35">
      <c r="A488">
        <v>1001848</v>
      </c>
      <c r="B488" s="2">
        <v>46100</v>
      </c>
      <c r="C488" s="2">
        <v>46111</v>
      </c>
      <c r="D488">
        <v>11</v>
      </c>
      <c r="E488" t="s">
        <v>74</v>
      </c>
      <c r="F488" t="s">
        <v>47</v>
      </c>
      <c r="G488">
        <v>6</v>
      </c>
    </row>
    <row r="489" spans="1:7" x14ac:dyDescent="0.35">
      <c r="A489">
        <v>1001848</v>
      </c>
      <c r="B489" s="2">
        <v>46100</v>
      </c>
      <c r="C489" s="2">
        <v>46111</v>
      </c>
      <c r="D489">
        <v>11</v>
      </c>
      <c r="E489" t="s">
        <v>133</v>
      </c>
      <c r="F489" t="s">
        <v>47</v>
      </c>
      <c r="G489">
        <v>6</v>
      </c>
    </row>
    <row r="490" spans="1:7" x14ac:dyDescent="0.35">
      <c r="A490">
        <v>1001848</v>
      </c>
      <c r="B490" s="2">
        <v>46100</v>
      </c>
      <c r="C490" s="2">
        <v>46112</v>
      </c>
      <c r="D490">
        <v>12</v>
      </c>
      <c r="E490" t="s">
        <v>54</v>
      </c>
      <c r="F490" t="s">
        <v>55</v>
      </c>
      <c r="G490">
        <v>4</v>
      </c>
    </row>
    <row r="491" spans="1:7" x14ac:dyDescent="0.35">
      <c r="A491">
        <v>1001848</v>
      </c>
      <c r="B491" s="2">
        <v>46100</v>
      </c>
      <c r="C491" s="2">
        <v>46112</v>
      </c>
      <c r="D491">
        <v>12</v>
      </c>
      <c r="E491" t="s">
        <v>145</v>
      </c>
      <c r="F491" t="s">
        <v>39</v>
      </c>
      <c r="G491">
        <v>12</v>
      </c>
    </row>
    <row r="492" spans="1:7" x14ac:dyDescent="0.35">
      <c r="A492">
        <v>1001849</v>
      </c>
      <c r="B492" s="2">
        <v>46100</v>
      </c>
      <c r="C492" s="2">
        <v>46104</v>
      </c>
      <c r="D492">
        <v>4</v>
      </c>
      <c r="E492" t="s">
        <v>261</v>
      </c>
      <c r="F492" t="s">
        <v>262</v>
      </c>
      <c r="G492">
        <v>1</v>
      </c>
    </row>
    <row r="493" spans="1:7" x14ac:dyDescent="0.35">
      <c r="A493">
        <v>1001849</v>
      </c>
      <c r="B493" s="2">
        <v>46100</v>
      </c>
      <c r="C493" s="2">
        <v>46104</v>
      </c>
      <c r="D493">
        <v>4</v>
      </c>
      <c r="E493" t="s">
        <v>138</v>
      </c>
      <c r="F493" t="s">
        <v>139</v>
      </c>
      <c r="G493">
        <v>1</v>
      </c>
    </row>
    <row r="494" spans="1:7" x14ac:dyDescent="0.35">
      <c r="A494">
        <v>1001849</v>
      </c>
      <c r="B494" s="2">
        <v>46100</v>
      </c>
      <c r="C494" s="2">
        <v>46109</v>
      </c>
      <c r="D494">
        <v>9</v>
      </c>
      <c r="E494" t="s">
        <v>263</v>
      </c>
      <c r="F494" t="s">
        <v>264</v>
      </c>
      <c r="G494">
        <v>1</v>
      </c>
    </row>
    <row r="495" spans="1:7" x14ac:dyDescent="0.35">
      <c r="A495">
        <v>1001849</v>
      </c>
      <c r="B495" s="2">
        <v>46100</v>
      </c>
      <c r="C495" s="2">
        <v>46126</v>
      </c>
      <c r="D495">
        <v>26</v>
      </c>
      <c r="E495" t="s">
        <v>134</v>
      </c>
      <c r="F495" t="s">
        <v>49</v>
      </c>
      <c r="G495">
        <v>3</v>
      </c>
    </row>
    <row r="496" spans="1:7" x14ac:dyDescent="0.35">
      <c r="A496">
        <v>1001849</v>
      </c>
      <c r="B496" s="2">
        <v>46100</v>
      </c>
      <c r="C496" s="2">
        <v>46126</v>
      </c>
      <c r="D496">
        <v>26</v>
      </c>
      <c r="E496" t="s">
        <v>135</v>
      </c>
      <c r="F496" t="s">
        <v>51</v>
      </c>
      <c r="G496">
        <v>3</v>
      </c>
    </row>
    <row r="497" spans="1:7" x14ac:dyDescent="0.35">
      <c r="A497">
        <v>1001849</v>
      </c>
      <c r="B497" s="2">
        <v>46100</v>
      </c>
      <c r="C497" s="2">
        <v>46130</v>
      </c>
      <c r="D497">
        <v>30</v>
      </c>
      <c r="E497" t="s">
        <v>261</v>
      </c>
      <c r="F497" t="s">
        <v>262</v>
      </c>
      <c r="G497">
        <v>1</v>
      </c>
    </row>
    <row r="498" spans="1:7" x14ac:dyDescent="0.35">
      <c r="A498">
        <v>1001849</v>
      </c>
      <c r="B498" s="2">
        <v>46100</v>
      </c>
      <c r="C498" s="2">
        <v>46130</v>
      </c>
      <c r="D498">
        <v>30</v>
      </c>
      <c r="E498" t="s">
        <v>91</v>
      </c>
      <c r="F498" t="s">
        <v>92</v>
      </c>
      <c r="G498">
        <v>1</v>
      </c>
    </row>
    <row r="499" spans="1:7" x14ac:dyDescent="0.35">
      <c r="A499">
        <v>1001849</v>
      </c>
      <c r="B499" s="2">
        <v>46100</v>
      </c>
      <c r="C499" s="2">
        <v>46130</v>
      </c>
      <c r="D499">
        <v>30</v>
      </c>
      <c r="E499" t="s">
        <v>263</v>
      </c>
      <c r="F499" t="s">
        <v>264</v>
      </c>
      <c r="G499">
        <v>2</v>
      </c>
    </row>
    <row r="500" spans="1:7" x14ac:dyDescent="0.35">
      <c r="A500">
        <v>1001849</v>
      </c>
      <c r="B500" s="2">
        <v>46100</v>
      </c>
      <c r="C500" s="2">
        <v>46130</v>
      </c>
      <c r="D500">
        <v>30</v>
      </c>
      <c r="E500" t="s">
        <v>265</v>
      </c>
      <c r="F500" t="s">
        <v>266</v>
      </c>
      <c r="G500">
        <v>1</v>
      </c>
    </row>
    <row r="501" spans="1:7" x14ac:dyDescent="0.35">
      <c r="A501">
        <v>1001852</v>
      </c>
      <c r="B501" s="2">
        <v>46099</v>
      </c>
      <c r="C501" s="2">
        <v>46100</v>
      </c>
      <c r="D501">
        <v>1</v>
      </c>
      <c r="E501" t="s">
        <v>138</v>
      </c>
      <c r="F501" t="s">
        <v>139</v>
      </c>
      <c r="G501">
        <v>6</v>
      </c>
    </row>
    <row r="502" spans="1:7" x14ac:dyDescent="0.35">
      <c r="A502">
        <v>1001852</v>
      </c>
      <c r="B502" s="2">
        <v>46099</v>
      </c>
      <c r="C502" s="2">
        <v>46100</v>
      </c>
      <c r="D502">
        <v>1</v>
      </c>
      <c r="E502" t="s">
        <v>52</v>
      </c>
      <c r="F502" t="s">
        <v>53</v>
      </c>
      <c r="G502">
        <v>24</v>
      </c>
    </row>
    <row r="503" spans="1:7" x14ac:dyDescent="0.35">
      <c r="A503">
        <v>1001852</v>
      </c>
      <c r="B503" s="2">
        <v>46099</v>
      </c>
      <c r="C503" s="2">
        <v>46106</v>
      </c>
      <c r="D503">
        <v>7</v>
      </c>
      <c r="E503" t="s">
        <v>229</v>
      </c>
      <c r="F503" t="s">
        <v>230</v>
      </c>
      <c r="G503">
        <v>0</v>
      </c>
    </row>
    <row r="504" spans="1:7" x14ac:dyDescent="0.35">
      <c r="A504">
        <v>1001858</v>
      </c>
      <c r="B504" s="2">
        <v>46101</v>
      </c>
      <c r="C504" s="2">
        <v>46105</v>
      </c>
      <c r="D504">
        <v>4</v>
      </c>
      <c r="E504" t="s">
        <v>167</v>
      </c>
      <c r="F504" t="s">
        <v>55</v>
      </c>
      <c r="G504">
        <v>1</v>
      </c>
    </row>
    <row r="505" spans="1:7" x14ac:dyDescent="0.35">
      <c r="A505">
        <v>1001859</v>
      </c>
      <c r="B505" s="2">
        <v>46101</v>
      </c>
      <c r="C505" s="2">
        <v>46105</v>
      </c>
      <c r="D505">
        <v>4</v>
      </c>
      <c r="E505" t="s">
        <v>135</v>
      </c>
      <c r="F505" t="s">
        <v>51</v>
      </c>
      <c r="G505">
        <v>6</v>
      </c>
    </row>
    <row r="506" spans="1:7" x14ac:dyDescent="0.35">
      <c r="A506">
        <v>1001859</v>
      </c>
      <c r="B506" s="2">
        <v>46101</v>
      </c>
      <c r="C506" s="2">
        <v>46107</v>
      </c>
      <c r="D506">
        <v>6</v>
      </c>
      <c r="E506" t="s">
        <v>86</v>
      </c>
      <c r="F506" t="s">
        <v>85</v>
      </c>
      <c r="G506">
        <v>4</v>
      </c>
    </row>
    <row r="507" spans="1:7" x14ac:dyDescent="0.35">
      <c r="A507">
        <v>1001859</v>
      </c>
      <c r="B507" s="2">
        <v>46101</v>
      </c>
      <c r="C507" s="2">
        <v>46107</v>
      </c>
      <c r="D507">
        <v>6</v>
      </c>
      <c r="E507" t="s">
        <v>46</v>
      </c>
      <c r="F507" t="s">
        <v>47</v>
      </c>
      <c r="G507">
        <v>12</v>
      </c>
    </row>
    <row r="508" spans="1:7" x14ac:dyDescent="0.35">
      <c r="A508">
        <v>1001859</v>
      </c>
      <c r="B508" s="2">
        <v>46101</v>
      </c>
      <c r="C508" s="2">
        <v>46107</v>
      </c>
      <c r="D508">
        <v>6</v>
      </c>
      <c r="E508" t="s">
        <v>103</v>
      </c>
      <c r="F508" t="s">
        <v>94</v>
      </c>
      <c r="G508">
        <v>18</v>
      </c>
    </row>
    <row r="509" spans="1:7" x14ac:dyDescent="0.35">
      <c r="A509">
        <v>1001871</v>
      </c>
      <c r="B509" s="2">
        <v>46102</v>
      </c>
      <c r="C509" s="2">
        <v>46106</v>
      </c>
      <c r="D509">
        <v>4</v>
      </c>
      <c r="E509" t="s">
        <v>103</v>
      </c>
      <c r="F509" t="s">
        <v>94</v>
      </c>
      <c r="G509">
        <v>6</v>
      </c>
    </row>
    <row r="510" spans="1:7" x14ac:dyDescent="0.35">
      <c r="A510">
        <v>1001871</v>
      </c>
      <c r="B510" s="2">
        <v>46102</v>
      </c>
      <c r="C510" s="2">
        <v>46106</v>
      </c>
      <c r="D510">
        <v>4</v>
      </c>
      <c r="E510" t="s">
        <v>134</v>
      </c>
      <c r="F510" t="s">
        <v>49</v>
      </c>
      <c r="G510">
        <v>3</v>
      </c>
    </row>
    <row r="511" spans="1:7" x14ac:dyDescent="0.35">
      <c r="A511">
        <v>1001871</v>
      </c>
      <c r="B511" s="2">
        <v>46102</v>
      </c>
      <c r="C511" s="2">
        <v>46106</v>
      </c>
      <c r="D511">
        <v>4</v>
      </c>
      <c r="E511" t="s">
        <v>135</v>
      </c>
      <c r="F511" t="s">
        <v>51</v>
      </c>
      <c r="G511">
        <v>3</v>
      </c>
    </row>
    <row r="512" spans="1:7" x14ac:dyDescent="0.35">
      <c r="A512">
        <v>1001871</v>
      </c>
      <c r="B512" s="2">
        <v>46102</v>
      </c>
      <c r="C512" s="2">
        <v>46109</v>
      </c>
      <c r="D512">
        <v>7</v>
      </c>
      <c r="E512" t="s">
        <v>91</v>
      </c>
      <c r="F512" t="s">
        <v>92</v>
      </c>
      <c r="G512">
        <v>20</v>
      </c>
    </row>
    <row r="513" spans="1:7" x14ac:dyDescent="0.35">
      <c r="A513">
        <v>1001871</v>
      </c>
      <c r="B513" s="2">
        <v>46102</v>
      </c>
      <c r="C513" s="2">
        <v>46112</v>
      </c>
      <c r="D513">
        <v>10</v>
      </c>
      <c r="E513" t="s">
        <v>135</v>
      </c>
      <c r="F513" t="s">
        <v>51</v>
      </c>
      <c r="G513">
        <v>6</v>
      </c>
    </row>
    <row r="514" spans="1:7" x14ac:dyDescent="0.35">
      <c r="A514">
        <v>1001871</v>
      </c>
      <c r="B514" s="2">
        <v>46102</v>
      </c>
      <c r="C514" s="2">
        <v>46122</v>
      </c>
      <c r="D514">
        <v>20</v>
      </c>
      <c r="E514" t="s">
        <v>135</v>
      </c>
      <c r="F514" t="s">
        <v>51</v>
      </c>
      <c r="G514">
        <v>6</v>
      </c>
    </row>
    <row r="515" spans="1:7" x14ac:dyDescent="0.35">
      <c r="A515">
        <v>1001883</v>
      </c>
      <c r="B515" s="2">
        <v>46104</v>
      </c>
      <c r="C515" s="2">
        <v>46107</v>
      </c>
      <c r="D515">
        <v>3</v>
      </c>
      <c r="E515" t="s">
        <v>48</v>
      </c>
      <c r="F515" t="s">
        <v>49</v>
      </c>
      <c r="G515">
        <v>10</v>
      </c>
    </row>
    <row r="516" spans="1:7" x14ac:dyDescent="0.35">
      <c r="A516">
        <v>1001883</v>
      </c>
      <c r="B516" s="2">
        <v>46104</v>
      </c>
      <c r="C516" s="2">
        <v>46107</v>
      </c>
      <c r="D516">
        <v>3</v>
      </c>
      <c r="E516" t="s">
        <v>50</v>
      </c>
      <c r="F516" t="s">
        <v>51</v>
      </c>
      <c r="G516">
        <v>20</v>
      </c>
    </row>
    <row r="517" spans="1:7" x14ac:dyDescent="0.35">
      <c r="A517">
        <v>1001883</v>
      </c>
      <c r="B517" s="2">
        <v>46104</v>
      </c>
      <c r="C517" s="2">
        <v>46107</v>
      </c>
      <c r="D517">
        <v>3</v>
      </c>
      <c r="E517" t="s">
        <v>170</v>
      </c>
      <c r="F517" t="s">
        <v>171</v>
      </c>
      <c r="G517">
        <v>1</v>
      </c>
    </row>
    <row r="518" spans="1:7" x14ac:dyDescent="0.35">
      <c r="A518">
        <v>1001883</v>
      </c>
      <c r="B518" s="2">
        <v>46104</v>
      </c>
      <c r="C518" s="2">
        <v>46107</v>
      </c>
      <c r="D518">
        <v>3</v>
      </c>
      <c r="E518" t="s">
        <v>267</v>
      </c>
      <c r="F518" t="s">
        <v>252</v>
      </c>
      <c r="G518">
        <v>1</v>
      </c>
    </row>
    <row r="519" spans="1:7" x14ac:dyDescent="0.35">
      <c r="A519">
        <v>1001883</v>
      </c>
      <c r="B519" s="2">
        <v>46104</v>
      </c>
      <c r="C519" s="2">
        <v>46107</v>
      </c>
      <c r="D519">
        <v>3</v>
      </c>
      <c r="E519" t="s">
        <v>268</v>
      </c>
      <c r="F519" t="s">
        <v>269</v>
      </c>
      <c r="G519">
        <v>1</v>
      </c>
    </row>
    <row r="520" spans="1:7" x14ac:dyDescent="0.35">
      <c r="A520">
        <v>1001883</v>
      </c>
      <c r="B520" s="2">
        <v>46104</v>
      </c>
      <c r="C520" s="2">
        <v>46107</v>
      </c>
      <c r="D520">
        <v>3</v>
      </c>
      <c r="E520" t="s">
        <v>270</v>
      </c>
      <c r="F520" t="s">
        <v>271</v>
      </c>
      <c r="G520">
        <v>1</v>
      </c>
    </row>
    <row r="521" spans="1:7" x14ac:dyDescent="0.35">
      <c r="A521">
        <v>1001883</v>
      </c>
      <c r="B521" s="2">
        <v>46104</v>
      </c>
      <c r="C521" s="2">
        <v>46107</v>
      </c>
      <c r="D521">
        <v>3</v>
      </c>
      <c r="E521" t="s">
        <v>272</v>
      </c>
      <c r="F521" t="s">
        <v>273</v>
      </c>
      <c r="G521">
        <v>1</v>
      </c>
    </row>
    <row r="522" spans="1:7" x14ac:dyDescent="0.35">
      <c r="A522">
        <v>1001883</v>
      </c>
      <c r="B522" s="2">
        <v>46104</v>
      </c>
      <c r="C522" s="2">
        <v>46110</v>
      </c>
      <c r="D522">
        <v>6</v>
      </c>
      <c r="E522" t="s">
        <v>48</v>
      </c>
      <c r="F522" t="s">
        <v>49</v>
      </c>
      <c r="G522">
        <v>-10</v>
      </c>
    </row>
    <row r="523" spans="1:7" x14ac:dyDescent="0.35">
      <c r="A523">
        <v>1001883</v>
      </c>
      <c r="B523" s="2">
        <v>46104</v>
      </c>
      <c r="C523" s="2">
        <v>46110</v>
      </c>
      <c r="D523">
        <v>6</v>
      </c>
      <c r="E523" t="s">
        <v>50</v>
      </c>
      <c r="F523" t="s">
        <v>51</v>
      </c>
      <c r="G523">
        <v>-20</v>
      </c>
    </row>
    <row r="524" spans="1:7" x14ac:dyDescent="0.35">
      <c r="A524">
        <v>1001883</v>
      </c>
      <c r="B524" s="2">
        <v>46104</v>
      </c>
      <c r="C524" s="2">
        <v>46110</v>
      </c>
      <c r="D524">
        <v>6</v>
      </c>
      <c r="E524" t="s">
        <v>170</v>
      </c>
      <c r="F524" t="s">
        <v>171</v>
      </c>
      <c r="G524">
        <v>-1</v>
      </c>
    </row>
    <row r="525" spans="1:7" x14ac:dyDescent="0.35">
      <c r="A525">
        <v>1001883</v>
      </c>
      <c r="B525" s="2">
        <v>46104</v>
      </c>
      <c r="C525" s="2">
        <v>46110</v>
      </c>
      <c r="D525">
        <v>6</v>
      </c>
      <c r="E525" t="s">
        <v>267</v>
      </c>
      <c r="F525" t="s">
        <v>252</v>
      </c>
      <c r="G525">
        <v>-1</v>
      </c>
    </row>
    <row r="526" spans="1:7" x14ac:dyDescent="0.35">
      <c r="A526">
        <v>1001883</v>
      </c>
      <c r="B526" s="2">
        <v>46104</v>
      </c>
      <c r="C526" s="2">
        <v>46110</v>
      </c>
      <c r="D526">
        <v>6</v>
      </c>
      <c r="E526" t="s">
        <v>268</v>
      </c>
      <c r="F526" t="s">
        <v>269</v>
      </c>
      <c r="G526">
        <v>-1</v>
      </c>
    </row>
    <row r="527" spans="1:7" x14ac:dyDescent="0.35">
      <c r="A527">
        <v>1001883</v>
      </c>
      <c r="B527" s="2">
        <v>46104</v>
      </c>
      <c r="C527" s="2">
        <v>46110</v>
      </c>
      <c r="D527">
        <v>6</v>
      </c>
      <c r="E527" t="s">
        <v>270</v>
      </c>
      <c r="F527" t="s">
        <v>271</v>
      </c>
      <c r="G527">
        <v>-1</v>
      </c>
    </row>
    <row r="528" spans="1:7" x14ac:dyDescent="0.35">
      <c r="A528">
        <v>1001883</v>
      </c>
      <c r="B528" s="2">
        <v>46104</v>
      </c>
      <c r="C528" s="2">
        <v>46110</v>
      </c>
      <c r="D528">
        <v>6</v>
      </c>
      <c r="E528" t="s">
        <v>272</v>
      </c>
      <c r="F528" t="s">
        <v>273</v>
      </c>
      <c r="G528">
        <v>-1</v>
      </c>
    </row>
    <row r="529" spans="1:7" x14ac:dyDescent="0.35">
      <c r="A529">
        <v>1001884</v>
      </c>
      <c r="B529" s="2">
        <v>46104</v>
      </c>
      <c r="C529" s="2">
        <v>46107</v>
      </c>
      <c r="D529">
        <v>3</v>
      </c>
      <c r="E529" t="s">
        <v>134</v>
      </c>
      <c r="F529" t="s">
        <v>49</v>
      </c>
      <c r="G529">
        <v>2</v>
      </c>
    </row>
    <row r="530" spans="1:7" x14ac:dyDescent="0.35">
      <c r="A530">
        <v>1001884</v>
      </c>
      <c r="B530" s="2">
        <v>46104</v>
      </c>
      <c r="C530" s="2">
        <v>46107</v>
      </c>
      <c r="D530">
        <v>3</v>
      </c>
      <c r="E530" t="s">
        <v>135</v>
      </c>
      <c r="F530" t="s">
        <v>51</v>
      </c>
      <c r="G530">
        <v>10</v>
      </c>
    </row>
    <row r="531" spans="1:7" x14ac:dyDescent="0.35">
      <c r="A531">
        <v>1001884</v>
      </c>
      <c r="B531" s="2">
        <v>46104</v>
      </c>
      <c r="C531" s="2">
        <v>46107</v>
      </c>
      <c r="D531">
        <v>3</v>
      </c>
      <c r="E531" t="s">
        <v>9</v>
      </c>
      <c r="F531" t="s">
        <v>10</v>
      </c>
      <c r="G531">
        <v>6</v>
      </c>
    </row>
    <row r="532" spans="1:7" x14ac:dyDescent="0.35">
      <c r="A532">
        <v>1001884</v>
      </c>
      <c r="B532" s="2">
        <v>46104</v>
      </c>
      <c r="C532" s="2">
        <v>46107</v>
      </c>
      <c r="D532">
        <v>3</v>
      </c>
      <c r="E532" t="s">
        <v>79</v>
      </c>
      <c r="F532" t="s">
        <v>60</v>
      </c>
      <c r="G532">
        <v>6</v>
      </c>
    </row>
    <row r="533" spans="1:7" x14ac:dyDescent="0.35">
      <c r="A533">
        <v>1001884</v>
      </c>
      <c r="B533" s="2">
        <v>46104</v>
      </c>
      <c r="C533" s="2">
        <v>46107</v>
      </c>
      <c r="D533">
        <v>3</v>
      </c>
      <c r="E533" t="s">
        <v>140</v>
      </c>
      <c r="F533" t="s">
        <v>141</v>
      </c>
      <c r="G533">
        <v>3</v>
      </c>
    </row>
    <row r="534" spans="1:7" x14ac:dyDescent="0.35">
      <c r="A534">
        <v>1001884</v>
      </c>
      <c r="B534" s="2">
        <v>46104</v>
      </c>
      <c r="C534" s="2">
        <v>46107</v>
      </c>
      <c r="D534">
        <v>3</v>
      </c>
      <c r="E534" t="s">
        <v>65</v>
      </c>
      <c r="F534" t="s">
        <v>45</v>
      </c>
      <c r="G534">
        <v>6</v>
      </c>
    </row>
    <row r="535" spans="1:7" x14ac:dyDescent="0.35">
      <c r="A535">
        <v>1001884</v>
      </c>
      <c r="B535" s="2">
        <v>46104</v>
      </c>
      <c r="C535" s="2">
        <v>46107</v>
      </c>
      <c r="D535">
        <v>3</v>
      </c>
      <c r="E535" t="s">
        <v>274</v>
      </c>
      <c r="F535" t="s">
        <v>275</v>
      </c>
      <c r="G535">
        <v>3</v>
      </c>
    </row>
    <row r="536" spans="1:7" x14ac:dyDescent="0.35">
      <c r="A536">
        <v>1001884</v>
      </c>
      <c r="B536" s="2">
        <v>46104</v>
      </c>
      <c r="C536" s="2">
        <v>46107</v>
      </c>
      <c r="D536">
        <v>3</v>
      </c>
      <c r="E536" t="s">
        <v>276</v>
      </c>
      <c r="F536" t="s">
        <v>277</v>
      </c>
      <c r="G536">
        <v>3</v>
      </c>
    </row>
    <row r="537" spans="1:7" x14ac:dyDescent="0.35">
      <c r="A537">
        <v>1001884</v>
      </c>
      <c r="B537" s="2">
        <v>46104</v>
      </c>
      <c r="C537" s="2">
        <v>46107</v>
      </c>
      <c r="D537">
        <v>3</v>
      </c>
      <c r="E537" t="s">
        <v>207</v>
      </c>
      <c r="F537" t="s">
        <v>109</v>
      </c>
      <c r="G537">
        <v>6</v>
      </c>
    </row>
    <row r="538" spans="1:7" x14ac:dyDescent="0.35">
      <c r="A538">
        <v>1001884</v>
      </c>
      <c r="B538" s="2">
        <v>46104</v>
      </c>
      <c r="C538" s="2">
        <v>46107</v>
      </c>
      <c r="D538">
        <v>3</v>
      </c>
      <c r="E538" t="s">
        <v>108</v>
      </c>
      <c r="F538" t="s">
        <v>109</v>
      </c>
      <c r="G538">
        <v>6</v>
      </c>
    </row>
    <row r="539" spans="1:7" x14ac:dyDescent="0.35">
      <c r="A539">
        <v>1001884</v>
      </c>
      <c r="B539" s="2">
        <v>46104</v>
      </c>
      <c r="C539" s="2">
        <v>46107</v>
      </c>
      <c r="D539">
        <v>3</v>
      </c>
      <c r="E539" t="s">
        <v>133</v>
      </c>
      <c r="F539" t="s">
        <v>47</v>
      </c>
      <c r="G539">
        <v>6</v>
      </c>
    </row>
    <row r="540" spans="1:7" x14ac:dyDescent="0.35">
      <c r="A540">
        <v>1001884</v>
      </c>
      <c r="B540" s="2">
        <v>46104</v>
      </c>
      <c r="C540" s="2">
        <v>46107</v>
      </c>
      <c r="D540">
        <v>3</v>
      </c>
      <c r="E540" t="s">
        <v>103</v>
      </c>
      <c r="F540" t="s">
        <v>94</v>
      </c>
      <c r="G540">
        <v>6</v>
      </c>
    </row>
    <row r="541" spans="1:7" x14ac:dyDescent="0.35">
      <c r="A541">
        <v>1001884</v>
      </c>
      <c r="B541" s="2">
        <v>46104</v>
      </c>
      <c r="C541" s="2">
        <v>46112</v>
      </c>
      <c r="D541">
        <v>8</v>
      </c>
      <c r="E541" t="s">
        <v>13</v>
      </c>
      <c r="F541" t="s">
        <v>14</v>
      </c>
      <c r="G541">
        <v>6</v>
      </c>
    </row>
    <row r="542" spans="1:7" x14ac:dyDescent="0.35">
      <c r="A542">
        <v>1001884</v>
      </c>
      <c r="B542" s="2">
        <v>46104</v>
      </c>
      <c r="C542" s="2">
        <v>46112</v>
      </c>
      <c r="D542">
        <v>8</v>
      </c>
      <c r="E542" t="s">
        <v>25</v>
      </c>
      <c r="F542" t="s">
        <v>26</v>
      </c>
      <c r="G542">
        <v>6</v>
      </c>
    </row>
    <row r="543" spans="1:7" x14ac:dyDescent="0.35">
      <c r="A543">
        <v>1001884</v>
      </c>
      <c r="B543" s="2">
        <v>46104</v>
      </c>
      <c r="C543" s="2">
        <v>46123</v>
      </c>
      <c r="D543">
        <v>19</v>
      </c>
      <c r="E543" t="s">
        <v>42</v>
      </c>
      <c r="F543" t="s">
        <v>43</v>
      </c>
      <c r="G543">
        <v>12</v>
      </c>
    </row>
    <row r="544" spans="1:7" x14ac:dyDescent="0.35">
      <c r="A544">
        <v>1001884</v>
      </c>
      <c r="B544" s="2">
        <v>46104</v>
      </c>
      <c r="C544" s="2">
        <v>46123</v>
      </c>
      <c r="D544">
        <v>19</v>
      </c>
      <c r="E544" t="s">
        <v>59</v>
      </c>
      <c r="F544" t="s">
        <v>60</v>
      </c>
      <c r="G544">
        <v>6</v>
      </c>
    </row>
    <row r="545" spans="1:7" x14ac:dyDescent="0.35">
      <c r="A545">
        <v>1001884</v>
      </c>
      <c r="B545" s="2">
        <v>46104</v>
      </c>
      <c r="C545" s="2">
        <v>46123</v>
      </c>
      <c r="D545">
        <v>19</v>
      </c>
      <c r="E545" t="s">
        <v>278</v>
      </c>
      <c r="F545" t="s">
        <v>64</v>
      </c>
      <c r="G545">
        <v>6</v>
      </c>
    </row>
    <row r="546" spans="1:7" x14ac:dyDescent="0.35">
      <c r="A546">
        <v>1001884</v>
      </c>
      <c r="B546" s="2">
        <v>46104</v>
      </c>
      <c r="C546" s="2">
        <v>46123</v>
      </c>
      <c r="D546">
        <v>19</v>
      </c>
      <c r="E546" t="s">
        <v>46</v>
      </c>
      <c r="F546" t="s">
        <v>47</v>
      </c>
      <c r="G546">
        <v>12</v>
      </c>
    </row>
    <row r="547" spans="1:7" x14ac:dyDescent="0.35">
      <c r="A547">
        <v>1001884</v>
      </c>
      <c r="B547" s="2">
        <v>46104</v>
      </c>
      <c r="C547" s="2">
        <v>46123</v>
      </c>
      <c r="D547">
        <v>19</v>
      </c>
      <c r="E547" t="s">
        <v>74</v>
      </c>
      <c r="F547" t="s">
        <v>47</v>
      </c>
      <c r="G547">
        <v>12</v>
      </c>
    </row>
    <row r="548" spans="1:7" x14ac:dyDescent="0.35">
      <c r="A548">
        <v>1001884</v>
      </c>
      <c r="B548" s="2">
        <v>46104</v>
      </c>
      <c r="C548" s="2">
        <v>46123</v>
      </c>
      <c r="D548">
        <v>19</v>
      </c>
      <c r="E548" t="s">
        <v>133</v>
      </c>
      <c r="F548" t="s">
        <v>47</v>
      </c>
      <c r="G548">
        <v>12</v>
      </c>
    </row>
    <row r="549" spans="1:7" x14ac:dyDescent="0.35">
      <c r="A549">
        <v>1001884</v>
      </c>
      <c r="B549" s="2">
        <v>46104</v>
      </c>
      <c r="C549" s="2">
        <v>46123</v>
      </c>
      <c r="D549">
        <v>19</v>
      </c>
      <c r="E549" t="s">
        <v>50</v>
      </c>
      <c r="F549" t="s">
        <v>51</v>
      </c>
      <c r="G549">
        <v>10</v>
      </c>
    </row>
    <row r="550" spans="1:7" x14ac:dyDescent="0.35">
      <c r="A550">
        <v>1001884</v>
      </c>
      <c r="B550" s="2">
        <v>46104</v>
      </c>
      <c r="C550" s="2">
        <v>46125</v>
      </c>
      <c r="D550">
        <v>21</v>
      </c>
      <c r="E550" t="s">
        <v>279</v>
      </c>
      <c r="F550" t="s">
        <v>69</v>
      </c>
      <c r="G550">
        <v>6</v>
      </c>
    </row>
    <row r="551" spans="1:7" x14ac:dyDescent="0.35">
      <c r="A551">
        <v>1001884</v>
      </c>
      <c r="B551" s="2">
        <v>46104</v>
      </c>
      <c r="C551" s="2">
        <v>46126</v>
      </c>
      <c r="D551">
        <v>22</v>
      </c>
      <c r="E551" t="s">
        <v>25</v>
      </c>
      <c r="F551" t="s">
        <v>26</v>
      </c>
      <c r="G551">
        <v>-6</v>
      </c>
    </row>
    <row r="552" spans="1:7" x14ac:dyDescent="0.35">
      <c r="A552">
        <v>1001896</v>
      </c>
      <c r="B552" s="2">
        <v>46104</v>
      </c>
      <c r="C552" s="2">
        <v>46107</v>
      </c>
      <c r="D552">
        <v>3</v>
      </c>
      <c r="E552" t="s">
        <v>91</v>
      </c>
      <c r="F552" t="s">
        <v>92</v>
      </c>
      <c r="G552">
        <v>1</v>
      </c>
    </row>
    <row r="553" spans="1:7" x14ac:dyDescent="0.35">
      <c r="A553">
        <v>1001896</v>
      </c>
      <c r="B553" s="2">
        <v>46104</v>
      </c>
      <c r="C553" s="2">
        <v>46107</v>
      </c>
      <c r="D553">
        <v>3</v>
      </c>
      <c r="E553" t="s">
        <v>134</v>
      </c>
      <c r="F553" t="s">
        <v>49</v>
      </c>
      <c r="G553">
        <v>1</v>
      </c>
    </row>
    <row r="554" spans="1:7" x14ac:dyDescent="0.35">
      <c r="A554">
        <v>1001896</v>
      </c>
      <c r="B554" s="2">
        <v>46104</v>
      </c>
      <c r="C554" s="2">
        <v>46107</v>
      </c>
      <c r="D554">
        <v>3</v>
      </c>
      <c r="E554" t="s">
        <v>135</v>
      </c>
      <c r="F554" t="s">
        <v>51</v>
      </c>
      <c r="G554">
        <v>5</v>
      </c>
    </row>
    <row r="555" spans="1:7" x14ac:dyDescent="0.35">
      <c r="A555">
        <v>1001896</v>
      </c>
      <c r="B555" s="2">
        <v>46104</v>
      </c>
      <c r="C555" s="2">
        <v>46130</v>
      </c>
      <c r="D555">
        <v>26</v>
      </c>
      <c r="E555" t="s">
        <v>91</v>
      </c>
      <c r="F555" t="s">
        <v>92</v>
      </c>
      <c r="G555">
        <v>1</v>
      </c>
    </row>
    <row r="556" spans="1:7" x14ac:dyDescent="0.35">
      <c r="A556">
        <v>1001896</v>
      </c>
      <c r="B556" s="2">
        <v>46104</v>
      </c>
      <c r="C556" s="2">
        <v>46130</v>
      </c>
      <c r="D556">
        <v>26</v>
      </c>
      <c r="E556" t="s">
        <v>21</v>
      </c>
      <c r="F556" t="s">
        <v>22</v>
      </c>
      <c r="G556">
        <v>2</v>
      </c>
    </row>
    <row r="557" spans="1:7" x14ac:dyDescent="0.35">
      <c r="A557">
        <v>1001896</v>
      </c>
      <c r="B557" s="2">
        <v>46104</v>
      </c>
      <c r="C557" s="2">
        <v>46130</v>
      </c>
      <c r="D557">
        <v>26</v>
      </c>
      <c r="E557" t="s">
        <v>23</v>
      </c>
      <c r="F557" t="s">
        <v>24</v>
      </c>
      <c r="G557">
        <v>2</v>
      </c>
    </row>
    <row r="558" spans="1:7" x14ac:dyDescent="0.35">
      <c r="A558">
        <v>1001896</v>
      </c>
      <c r="B558" s="2">
        <v>46104</v>
      </c>
      <c r="C558" s="2">
        <v>46130</v>
      </c>
      <c r="D558">
        <v>26</v>
      </c>
      <c r="E558" t="s">
        <v>7</v>
      </c>
      <c r="F558" t="s">
        <v>8</v>
      </c>
      <c r="G558">
        <v>3</v>
      </c>
    </row>
    <row r="559" spans="1:7" x14ac:dyDescent="0.35">
      <c r="A559">
        <v>1001896</v>
      </c>
      <c r="B559" s="2">
        <v>46104</v>
      </c>
      <c r="C559" s="2">
        <v>46130</v>
      </c>
      <c r="D559">
        <v>26</v>
      </c>
      <c r="E559" t="s">
        <v>9</v>
      </c>
      <c r="F559" t="s">
        <v>10</v>
      </c>
      <c r="G559">
        <v>3</v>
      </c>
    </row>
    <row r="560" spans="1:7" x14ac:dyDescent="0.35">
      <c r="A560">
        <v>1001896</v>
      </c>
      <c r="B560" s="2">
        <v>46104</v>
      </c>
      <c r="C560" s="2">
        <v>46130</v>
      </c>
      <c r="D560">
        <v>26</v>
      </c>
      <c r="E560" t="s">
        <v>11</v>
      </c>
      <c r="F560" t="s">
        <v>12</v>
      </c>
      <c r="G560">
        <v>1</v>
      </c>
    </row>
    <row r="561" spans="1:7" x14ac:dyDescent="0.35">
      <c r="A561">
        <v>1001896</v>
      </c>
      <c r="B561" s="2">
        <v>46104</v>
      </c>
      <c r="C561" s="2">
        <v>46132</v>
      </c>
      <c r="D561">
        <v>28</v>
      </c>
      <c r="E561" t="s">
        <v>42</v>
      </c>
      <c r="F561" t="s">
        <v>43</v>
      </c>
      <c r="G561">
        <v>1</v>
      </c>
    </row>
    <row r="562" spans="1:7" x14ac:dyDescent="0.35">
      <c r="A562">
        <v>1001896</v>
      </c>
      <c r="B562" s="2">
        <v>46104</v>
      </c>
      <c r="C562" s="2">
        <v>46132</v>
      </c>
      <c r="D562">
        <v>28</v>
      </c>
      <c r="E562" t="s">
        <v>46</v>
      </c>
      <c r="F562" t="s">
        <v>47</v>
      </c>
      <c r="G562">
        <v>1</v>
      </c>
    </row>
    <row r="563" spans="1:7" x14ac:dyDescent="0.35">
      <c r="A563">
        <v>1001896</v>
      </c>
      <c r="B563" s="2">
        <v>46104</v>
      </c>
      <c r="C563" s="2">
        <v>46132</v>
      </c>
      <c r="D563">
        <v>28</v>
      </c>
      <c r="E563" t="s">
        <v>146</v>
      </c>
      <c r="F563" t="s">
        <v>55</v>
      </c>
      <c r="G563">
        <v>4</v>
      </c>
    </row>
    <row r="564" spans="1:7" x14ac:dyDescent="0.35">
      <c r="A564">
        <v>1001900</v>
      </c>
      <c r="B564" s="2">
        <v>46105</v>
      </c>
      <c r="C564" s="2">
        <v>46126</v>
      </c>
      <c r="D564">
        <v>21</v>
      </c>
      <c r="E564" t="s">
        <v>42</v>
      </c>
      <c r="F564" t="s">
        <v>43</v>
      </c>
      <c r="G564">
        <v>1</v>
      </c>
    </row>
    <row r="565" spans="1:7" x14ac:dyDescent="0.35">
      <c r="A565">
        <v>1001900</v>
      </c>
      <c r="B565" s="2">
        <v>46105</v>
      </c>
      <c r="C565" s="2">
        <v>46126</v>
      </c>
      <c r="D565">
        <v>21</v>
      </c>
      <c r="E565" t="s">
        <v>103</v>
      </c>
      <c r="F565" t="s">
        <v>94</v>
      </c>
      <c r="G565">
        <v>6</v>
      </c>
    </row>
    <row r="566" spans="1:7" x14ac:dyDescent="0.35">
      <c r="A566">
        <v>1001900</v>
      </c>
      <c r="B566" s="2">
        <v>46105</v>
      </c>
      <c r="C566" s="2">
        <v>46126</v>
      </c>
      <c r="D566">
        <v>21</v>
      </c>
      <c r="E566" t="s">
        <v>134</v>
      </c>
      <c r="F566" t="s">
        <v>49</v>
      </c>
      <c r="G566">
        <v>1</v>
      </c>
    </row>
    <row r="567" spans="1:7" x14ac:dyDescent="0.35">
      <c r="A567">
        <v>1001900</v>
      </c>
      <c r="B567" s="2">
        <v>46105</v>
      </c>
      <c r="C567" s="2">
        <v>46126</v>
      </c>
      <c r="D567">
        <v>21</v>
      </c>
      <c r="E567" t="s">
        <v>135</v>
      </c>
      <c r="F567" t="s">
        <v>51</v>
      </c>
      <c r="G567">
        <v>5</v>
      </c>
    </row>
    <row r="568" spans="1:7" x14ac:dyDescent="0.35">
      <c r="A568">
        <v>1001900</v>
      </c>
      <c r="B568" s="2">
        <v>46105</v>
      </c>
      <c r="C568" s="2">
        <v>46126</v>
      </c>
      <c r="D568">
        <v>21</v>
      </c>
      <c r="E568" t="s">
        <v>91</v>
      </c>
      <c r="F568" t="s">
        <v>92</v>
      </c>
      <c r="G568">
        <v>1</v>
      </c>
    </row>
    <row r="569" spans="1:7" x14ac:dyDescent="0.35">
      <c r="A569">
        <v>1001900</v>
      </c>
      <c r="B569" s="2">
        <v>46105</v>
      </c>
      <c r="C569" s="2">
        <v>46126</v>
      </c>
      <c r="D569">
        <v>21</v>
      </c>
      <c r="E569" t="s">
        <v>9</v>
      </c>
      <c r="F569" t="s">
        <v>10</v>
      </c>
      <c r="G569">
        <v>1</v>
      </c>
    </row>
    <row r="570" spans="1:7" x14ac:dyDescent="0.35">
      <c r="A570">
        <v>1001900</v>
      </c>
      <c r="B570" s="2">
        <v>46105</v>
      </c>
      <c r="C570" s="2">
        <v>46126</v>
      </c>
      <c r="D570">
        <v>21</v>
      </c>
      <c r="E570" t="s">
        <v>280</v>
      </c>
      <c r="F570" t="s">
        <v>264</v>
      </c>
      <c r="G570">
        <v>1</v>
      </c>
    </row>
    <row r="571" spans="1:7" x14ac:dyDescent="0.35">
      <c r="A571">
        <v>1001914</v>
      </c>
      <c r="B571" s="2">
        <v>46107</v>
      </c>
      <c r="C571" s="2">
        <v>46111</v>
      </c>
      <c r="D571">
        <v>4</v>
      </c>
      <c r="E571" t="s">
        <v>54</v>
      </c>
      <c r="F571" t="s">
        <v>55</v>
      </c>
      <c r="G571">
        <v>13</v>
      </c>
    </row>
    <row r="572" spans="1:7" x14ac:dyDescent="0.35">
      <c r="A572">
        <v>1001914</v>
      </c>
      <c r="B572" s="2">
        <v>46107</v>
      </c>
      <c r="C572" s="2">
        <v>46111</v>
      </c>
      <c r="D572">
        <v>4</v>
      </c>
      <c r="E572" t="s">
        <v>48</v>
      </c>
      <c r="F572" t="s">
        <v>49</v>
      </c>
      <c r="G572">
        <v>4</v>
      </c>
    </row>
    <row r="573" spans="1:7" x14ac:dyDescent="0.35">
      <c r="A573">
        <v>1001914</v>
      </c>
      <c r="B573" s="2">
        <v>46107</v>
      </c>
      <c r="C573" s="2">
        <v>46111</v>
      </c>
      <c r="D573">
        <v>4</v>
      </c>
      <c r="E573" t="s">
        <v>263</v>
      </c>
      <c r="F573" t="s">
        <v>264</v>
      </c>
      <c r="G573">
        <v>6</v>
      </c>
    </row>
    <row r="574" spans="1:7" x14ac:dyDescent="0.35">
      <c r="A574">
        <v>1001914</v>
      </c>
      <c r="B574" s="2">
        <v>46107</v>
      </c>
      <c r="C574" s="2">
        <v>46111</v>
      </c>
      <c r="D574">
        <v>4</v>
      </c>
      <c r="E574" t="s">
        <v>263</v>
      </c>
      <c r="F574" t="s">
        <v>264</v>
      </c>
      <c r="G574">
        <v>5</v>
      </c>
    </row>
    <row r="575" spans="1:7" x14ac:dyDescent="0.35">
      <c r="A575">
        <v>1001919</v>
      </c>
      <c r="B575" s="2">
        <v>46108</v>
      </c>
      <c r="C575" s="2">
        <v>46112</v>
      </c>
      <c r="D575">
        <v>4</v>
      </c>
      <c r="E575" t="s">
        <v>59</v>
      </c>
      <c r="F575" t="s">
        <v>60</v>
      </c>
      <c r="G575">
        <v>6</v>
      </c>
    </row>
    <row r="576" spans="1:7" x14ac:dyDescent="0.35">
      <c r="A576">
        <v>1001919</v>
      </c>
      <c r="B576" s="2">
        <v>46108</v>
      </c>
      <c r="C576" s="2">
        <v>46112</v>
      </c>
      <c r="D576">
        <v>4</v>
      </c>
      <c r="E576" t="s">
        <v>97</v>
      </c>
      <c r="F576" t="s">
        <v>98</v>
      </c>
      <c r="G576">
        <v>6</v>
      </c>
    </row>
    <row r="577" spans="1:7" x14ac:dyDescent="0.35">
      <c r="A577">
        <v>1001919</v>
      </c>
      <c r="B577" s="2">
        <v>46108</v>
      </c>
      <c r="C577" s="2">
        <v>46112</v>
      </c>
      <c r="D577">
        <v>4</v>
      </c>
      <c r="E577" t="s">
        <v>74</v>
      </c>
      <c r="F577" t="s">
        <v>47</v>
      </c>
      <c r="G577">
        <v>6</v>
      </c>
    </row>
    <row r="578" spans="1:7" x14ac:dyDescent="0.35">
      <c r="A578">
        <v>1001919</v>
      </c>
      <c r="B578" s="2">
        <v>46108</v>
      </c>
      <c r="C578" s="2">
        <v>46112</v>
      </c>
      <c r="D578">
        <v>4</v>
      </c>
      <c r="E578" t="s">
        <v>281</v>
      </c>
      <c r="F578" t="s">
        <v>113</v>
      </c>
      <c r="G578">
        <v>6</v>
      </c>
    </row>
    <row r="579" spans="1:7" x14ac:dyDescent="0.35">
      <c r="A579">
        <v>1001919</v>
      </c>
      <c r="B579" s="2">
        <v>46108</v>
      </c>
      <c r="C579" s="2">
        <v>46112</v>
      </c>
      <c r="D579">
        <v>4</v>
      </c>
      <c r="E579" t="s">
        <v>174</v>
      </c>
      <c r="F579" t="s">
        <v>175</v>
      </c>
      <c r="G579">
        <v>2</v>
      </c>
    </row>
    <row r="580" spans="1:7" x14ac:dyDescent="0.35">
      <c r="A580">
        <v>1001919</v>
      </c>
      <c r="B580" s="2">
        <v>46108</v>
      </c>
      <c r="C580" s="2">
        <v>46112</v>
      </c>
      <c r="D580">
        <v>4</v>
      </c>
      <c r="E580" t="s">
        <v>263</v>
      </c>
      <c r="F580" t="s">
        <v>264</v>
      </c>
      <c r="G580">
        <v>4</v>
      </c>
    </row>
    <row r="581" spans="1:7" x14ac:dyDescent="0.35">
      <c r="A581">
        <v>1001919</v>
      </c>
      <c r="B581" s="2">
        <v>46108</v>
      </c>
      <c r="C581" s="2">
        <v>46112</v>
      </c>
      <c r="D581">
        <v>4</v>
      </c>
      <c r="E581" t="s">
        <v>282</v>
      </c>
      <c r="F581" t="s">
        <v>283</v>
      </c>
      <c r="G581">
        <v>2</v>
      </c>
    </row>
    <row r="582" spans="1:7" x14ac:dyDescent="0.35">
      <c r="A582">
        <v>1001949</v>
      </c>
      <c r="B582" s="2">
        <v>46119</v>
      </c>
      <c r="C582" s="2">
        <v>46122</v>
      </c>
      <c r="D582">
        <v>3</v>
      </c>
      <c r="E582" t="s">
        <v>13</v>
      </c>
      <c r="F582" t="s">
        <v>14</v>
      </c>
      <c r="G582">
        <v>24</v>
      </c>
    </row>
    <row r="583" spans="1:7" x14ac:dyDescent="0.35">
      <c r="A583">
        <v>1001949</v>
      </c>
      <c r="B583" s="2">
        <v>46119</v>
      </c>
      <c r="C583" s="2">
        <v>46142</v>
      </c>
      <c r="D583">
        <v>23</v>
      </c>
      <c r="E583" t="s">
        <v>284</v>
      </c>
      <c r="F583" t="s">
        <v>285</v>
      </c>
      <c r="G583">
        <v>6</v>
      </c>
    </row>
    <row r="584" spans="1:7" x14ac:dyDescent="0.35">
      <c r="A584">
        <v>1001949</v>
      </c>
      <c r="B584" s="2">
        <v>46119</v>
      </c>
      <c r="C584" s="2">
        <v>46142</v>
      </c>
      <c r="D584">
        <v>23</v>
      </c>
      <c r="E584" t="s">
        <v>286</v>
      </c>
      <c r="F584" t="s">
        <v>287</v>
      </c>
      <c r="G584">
        <v>18</v>
      </c>
    </row>
    <row r="585" spans="1:7" x14ac:dyDescent="0.35">
      <c r="A585">
        <v>1001949</v>
      </c>
      <c r="B585" s="2">
        <v>46119</v>
      </c>
      <c r="C585" s="2">
        <v>46142</v>
      </c>
      <c r="D585">
        <v>23</v>
      </c>
      <c r="E585" t="s">
        <v>288</v>
      </c>
      <c r="F585" t="s">
        <v>289</v>
      </c>
      <c r="G585">
        <v>6</v>
      </c>
    </row>
    <row r="586" spans="1:7" x14ac:dyDescent="0.35">
      <c r="A586">
        <v>1001949</v>
      </c>
      <c r="B586" s="2">
        <v>46119</v>
      </c>
      <c r="C586" s="2">
        <v>46142</v>
      </c>
      <c r="D586">
        <v>23</v>
      </c>
      <c r="E586" t="s">
        <v>290</v>
      </c>
      <c r="F586" t="s">
        <v>291</v>
      </c>
      <c r="G586">
        <v>6</v>
      </c>
    </row>
    <row r="587" spans="1:7" x14ac:dyDescent="0.35">
      <c r="A587">
        <v>1001949</v>
      </c>
      <c r="B587" s="2">
        <v>46119</v>
      </c>
      <c r="C587" s="2">
        <v>46142</v>
      </c>
      <c r="D587">
        <v>23</v>
      </c>
      <c r="E587" t="s">
        <v>57</v>
      </c>
      <c r="F587" t="s">
        <v>58</v>
      </c>
      <c r="G587">
        <v>12</v>
      </c>
    </row>
    <row r="588" spans="1:7" x14ac:dyDescent="0.35">
      <c r="A588">
        <v>1001949</v>
      </c>
      <c r="B588" s="2">
        <v>46119</v>
      </c>
      <c r="C588" s="2">
        <v>46142</v>
      </c>
      <c r="D588">
        <v>23</v>
      </c>
      <c r="E588" t="s">
        <v>292</v>
      </c>
      <c r="F588" t="s">
        <v>293</v>
      </c>
      <c r="G588">
        <v>2</v>
      </c>
    </row>
    <row r="589" spans="1:7" x14ac:dyDescent="0.35">
      <c r="A589">
        <v>1001949</v>
      </c>
      <c r="B589" s="2">
        <v>46119</v>
      </c>
      <c r="C589" s="2">
        <v>46142</v>
      </c>
      <c r="D589">
        <v>23</v>
      </c>
      <c r="E589" t="s">
        <v>294</v>
      </c>
      <c r="F589" t="s">
        <v>295</v>
      </c>
      <c r="G589">
        <v>6</v>
      </c>
    </row>
    <row r="590" spans="1:7" x14ac:dyDescent="0.35">
      <c r="A590">
        <v>1001949</v>
      </c>
      <c r="B590" s="2">
        <v>46119</v>
      </c>
      <c r="C590" s="2">
        <v>46142</v>
      </c>
      <c r="D590">
        <v>23</v>
      </c>
      <c r="E590" t="s">
        <v>296</v>
      </c>
      <c r="F590" t="s">
        <v>297</v>
      </c>
      <c r="G590">
        <v>6</v>
      </c>
    </row>
    <row r="591" spans="1:7" x14ac:dyDescent="0.35">
      <c r="A591">
        <v>1001949</v>
      </c>
      <c r="B591" s="2">
        <v>46119</v>
      </c>
      <c r="C591" s="2">
        <v>46142</v>
      </c>
      <c r="D591">
        <v>23</v>
      </c>
      <c r="E591" t="s">
        <v>298</v>
      </c>
      <c r="F591" t="s">
        <v>299</v>
      </c>
      <c r="G591">
        <v>4</v>
      </c>
    </row>
    <row r="592" spans="1:7" x14ac:dyDescent="0.35">
      <c r="A592">
        <v>1001949</v>
      </c>
      <c r="B592" s="2">
        <v>46119</v>
      </c>
      <c r="C592" s="2">
        <v>46142</v>
      </c>
      <c r="D592">
        <v>23</v>
      </c>
      <c r="E592" t="s">
        <v>300</v>
      </c>
      <c r="F592" t="s">
        <v>219</v>
      </c>
      <c r="G592">
        <v>6</v>
      </c>
    </row>
    <row r="593" spans="1:7" x14ac:dyDescent="0.35">
      <c r="A593">
        <v>1001949</v>
      </c>
      <c r="B593" s="2">
        <v>46119</v>
      </c>
      <c r="C593" s="2">
        <v>46142</v>
      </c>
      <c r="D593">
        <v>23</v>
      </c>
      <c r="E593" t="s">
        <v>301</v>
      </c>
      <c r="F593" t="s">
        <v>219</v>
      </c>
      <c r="G593">
        <v>12</v>
      </c>
    </row>
    <row r="594" spans="1:7" x14ac:dyDescent="0.35">
      <c r="A594">
        <v>1001949</v>
      </c>
      <c r="B594" s="2">
        <v>46119</v>
      </c>
      <c r="C594" s="2">
        <v>46142</v>
      </c>
      <c r="D594">
        <v>23</v>
      </c>
      <c r="E594" t="s">
        <v>25</v>
      </c>
      <c r="F594" t="s">
        <v>26</v>
      </c>
      <c r="G594">
        <v>12</v>
      </c>
    </row>
    <row r="595" spans="1:7" x14ac:dyDescent="0.35">
      <c r="A595">
        <v>1001981</v>
      </c>
      <c r="B595" s="2">
        <v>46122</v>
      </c>
      <c r="C595" s="2">
        <v>46139</v>
      </c>
      <c r="D595">
        <v>17</v>
      </c>
      <c r="E595" t="s">
        <v>82</v>
      </c>
      <c r="F595" t="s">
        <v>83</v>
      </c>
      <c r="G595">
        <v>6</v>
      </c>
    </row>
    <row r="596" spans="1:7" x14ac:dyDescent="0.35">
      <c r="A596">
        <v>1001981</v>
      </c>
      <c r="B596" s="2">
        <v>46122</v>
      </c>
      <c r="C596" s="2">
        <v>46139</v>
      </c>
      <c r="D596">
        <v>17</v>
      </c>
      <c r="E596" t="s">
        <v>87</v>
      </c>
      <c r="F596" t="s">
        <v>64</v>
      </c>
      <c r="G596">
        <v>6</v>
      </c>
    </row>
    <row r="597" spans="1:7" x14ac:dyDescent="0.35">
      <c r="A597">
        <v>1001981</v>
      </c>
      <c r="B597" s="2">
        <v>46122</v>
      </c>
      <c r="C597" s="2">
        <v>46139</v>
      </c>
      <c r="D597">
        <v>17</v>
      </c>
      <c r="E597" t="s">
        <v>46</v>
      </c>
      <c r="F597" t="s">
        <v>47</v>
      </c>
      <c r="G597">
        <v>6</v>
      </c>
    </row>
    <row r="598" spans="1:7" x14ac:dyDescent="0.35">
      <c r="A598">
        <v>1001981</v>
      </c>
      <c r="B598" s="2">
        <v>46122</v>
      </c>
      <c r="C598" s="2">
        <v>46139</v>
      </c>
      <c r="D598">
        <v>17</v>
      </c>
      <c r="E598" t="s">
        <v>193</v>
      </c>
      <c r="F598" t="s">
        <v>194</v>
      </c>
      <c r="G598">
        <v>6</v>
      </c>
    </row>
    <row r="599" spans="1:7" x14ac:dyDescent="0.35">
      <c r="A599">
        <v>1001981</v>
      </c>
      <c r="B599" s="2">
        <v>46122</v>
      </c>
      <c r="C599" s="2">
        <v>46139</v>
      </c>
      <c r="D599">
        <v>17</v>
      </c>
      <c r="E599" t="s">
        <v>52</v>
      </c>
      <c r="F599" t="s">
        <v>53</v>
      </c>
      <c r="G599">
        <v>6</v>
      </c>
    </row>
    <row r="600" spans="1:7" x14ac:dyDescent="0.35">
      <c r="A600">
        <v>1001981</v>
      </c>
      <c r="B600" s="2">
        <v>46122</v>
      </c>
      <c r="C600" s="2">
        <v>46139</v>
      </c>
      <c r="D600">
        <v>17</v>
      </c>
      <c r="E600" t="s">
        <v>103</v>
      </c>
      <c r="F600" t="s">
        <v>94</v>
      </c>
      <c r="G600">
        <v>6</v>
      </c>
    </row>
    <row r="601" spans="1:7" x14ac:dyDescent="0.35">
      <c r="A601">
        <v>1001981</v>
      </c>
      <c r="B601" s="2">
        <v>46122</v>
      </c>
      <c r="C601" s="2">
        <v>46139</v>
      </c>
      <c r="D601">
        <v>17</v>
      </c>
      <c r="E601" t="s">
        <v>168</v>
      </c>
      <c r="F601" t="s">
        <v>169</v>
      </c>
      <c r="G601">
        <v>6</v>
      </c>
    </row>
    <row r="602" spans="1:7" x14ac:dyDescent="0.35">
      <c r="A602">
        <v>1001981</v>
      </c>
      <c r="B602" s="2">
        <v>46122</v>
      </c>
      <c r="C602" s="2">
        <v>46139</v>
      </c>
      <c r="D602">
        <v>17</v>
      </c>
      <c r="E602" t="s">
        <v>68</v>
      </c>
      <c r="F602" t="s">
        <v>69</v>
      </c>
      <c r="G602">
        <v>6</v>
      </c>
    </row>
    <row r="603" spans="1:7" x14ac:dyDescent="0.35">
      <c r="A603">
        <v>1001981</v>
      </c>
      <c r="B603" s="2">
        <v>46122</v>
      </c>
      <c r="C603" s="2">
        <v>46139</v>
      </c>
      <c r="D603">
        <v>17</v>
      </c>
      <c r="E603" t="s">
        <v>138</v>
      </c>
      <c r="F603" t="s">
        <v>139</v>
      </c>
      <c r="G603">
        <v>6</v>
      </c>
    </row>
    <row r="604" spans="1:7" x14ac:dyDescent="0.35">
      <c r="A604">
        <v>1001981</v>
      </c>
      <c r="B604" s="2">
        <v>46122</v>
      </c>
      <c r="C604" s="2">
        <v>46141</v>
      </c>
      <c r="D604">
        <v>19</v>
      </c>
      <c r="E604" t="s">
        <v>302</v>
      </c>
      <c r="F604" t="s">
        <v>303</v>
      </c>
      <c r="G604">
        <v>6</v>
      </c>
    </row>
    <row r="605" spans="1:7" x14ac:dyDescent="0.35">
      <c r="A605">
        <v>1001981</v>
      </c>
      <c r="B605" s="2">
        <v>46122</v>
      </c>
      <c r="C605" s="2">
        <v>46142</v>
      </c>
      <c r="D605">
        <v>20</v>
      </c>
      <c r="E605" t="s">
        <v>82</v>
      </c>
      <c r="F605" t="s">
        <v>83</v>
      </c>
      <c r="G605">
        <v>6</v>
      </c>
    </row>
    <row r="606" spans="1:7" x14ac:dyDescent="0.35">
      <c r="A606">
        <v>1001981</v>
      </c>
      <c r="B606" s="2">
        <v>46122</v>
      </c>
      <c r="C606" s="2">
        <v>46142</v>
      </c>
      <c r="D606">
        <v>20</v>
      </c>
      <c r="E606" t="s">
        <v>87</v>
      </c>
      <c r="F606" t="s">
        <v>64</v>
      </c>
      <c r="G606">
        <v>6</v>
      </c>
    </row>
    <row r="607" spans="1:7" x14ac:dyDescent="0.35">
      <c r="A607">
        <v>1001981</v>
      </c>
      <c r="B607" s="2">
        <v>46122</v>
      </c>
      <c r="C607" s="2">
        <v>46142</v>
      </c>
      <c r="D607">
        <v>20</v>
      </c>
      <c r="E607" t="s">
        <v>168</v>
      </c>
      <c r="F607" t="s">
        <v>169</v>
      </c>
      <c r="G607">
        <v>6</v>
      </c>
    </row>
    <row r="608" spans="1:7" x14ac:dyDescent="0.35">
      <c r="A608">
        <v>1001981</v>
      </c>
      <c r="B608" s="2">
        <v>46122</v>
      </c>
      <c r="C608" s="2">
        <v>46142</v>
      </c>
      <c r="D608">
        <v>20</v>
      </c>
      <c r="E608" t="s">
        <v>68</v>
      </c>
      <c r="F608" t="s">
        <v>69</v>
      </c>
      <c r="G608">
        <v>6</v>
      </c>
    </row>
    <row r="609" spans="1:7" x14ac:dyDescent="0.35">
      <c r="A609">
        <v>1001981</v>
      </c>
      <c r="B609" s="2">
        <v>46122</v>
      </c>
      <c r="C609" s="2">
        <v>46142</v>
      </c>
      <c r="D609">
        <v>20</v>
      </c>
      <c r="E609" t="s">
        <v>46</v>
      </c>
      <c r="F609" t="s">
        <v>47</v>
      </c>
      <c r="G609">
        <v>6</v>
      </c>
    </row>
    <row r="610" spans="1:7" x14ac:dyDescent="0.35">
      <c r="A610">
        <v>1001981</v>
      </c>
      <c r="B610" s="2">
        <v>46122</v>
      </c>
      <c r="C610" s="2">
        <v>46142</v>
      </c>
      <c r="D610">
        <v>20</v>
      </c>
      <c r="E610" t="s">
        <v>103</v>
      </c>
      <c r="F610" t="s">
        <v>94</v>
      </c>
      <c r="G610">
        <v>6</v>
      </c>
    </row>
    <row r="611" spans="1:7" x14ac:dyDescent="0.35">
      <c r="A611">
        <v>1001981</v>
      </c>
      <c r="B611" s="2">
        <v>46122</v>
      </c>
      <c r="C611" s="2">
        <v>46142</v>
      </c>
      <c r="D611">
        <v>20</v>
      </c>
      <c r="E611" t="s">
        <v>302</v>
      </c>
      <c r="F611" t="s">
        <v>303</v>
      </c>
      <c r="G611">
        <v>3</v>
      </c>
    </row>
    <row r="612" spans="1:7" x14ac:dyDescent="0.35">
      <c r="A612">
        <v>1001981</v>
      </c>
      <c r="B612" s="2">
        <v>46122</v>
      </c>
      <c r="C612" s="2">
        <v>46142</v>
      </c>
      <c r="D612">
        <v>20</v>
      </c>
      <c r="E612" t="s">
        <v>304</v>
      </c>
      <c r="F612" t="s">
        <v>305</v>
      </c>
      <c r="G612">
        <v>6</v>
      </c>
    </row>
    <row r="613" spans="1:7" x14ac:dyDescent="0.35">
      <c r="A613">
        <v>1001981</v>
      </c>
      <c r="B613" s="2">
        <v>46122</v>
      </c>
      <c r="C613" s="2">
        <v>46142</v>
      </c>
      <c r="D613">
        <v>20</v>
      </c>
      <c r="E613" t="s">
        <v>13</v>
      </c>
      <c r="F613" t="s">
        <v>14</v>
      </c>
      <c r="G613">
        <v>12</v>
      </c>
    </row>
    <row r="614" spans="1:7" x14ac:dyDescent="0.35">
      <c r="A614">
        <v>1001981</v>
      </c>
      <c r="B614" s="2">
        <v>46122</v>
      </c>
      <c r="C614" s="2">
        <v>46142</v>
      </c>
      <c r="D614">
        <v>20</v>
      </c>
      <c r="E614" t="s">
        <v>150</v>
      </c>
      <c r="F614" t="s">
        <v>151</v>
      </c>
      <c r="G614">
        <v>6</v>
      </c>
    </row>
    <row r="615" spans="1:7" x14ac:dyDescent="0.35">
      <c r="A615">
        <v>1001981</v>
      </c>
      <c r="B615" s="2">
        <v>46122</v>
      </c>
      <c r="C615" s="2">
        <v>46142</v>
      </c>
      <c r="D615">
        <v>20</v>
      </c>
      <c r="E615" t="s">
        <v>306</v>
      </c>
      <c r="F615" t="s">
        <v>307</v>
      </c>
      <c r="G615">
        <v>6</v>
      </c>
    </row>
    <row r="616" spans="1:7" x14ac:dyDescent="0.35">
      <c r="A616">
        <v>1001981</v>
      </c>
      <c r="B616" s="2">
        <v>46122</v>
      </c>
      <c r="C616" s="2">
        <v>46142</v>
      </c>
      <c r="D616">
        <v>20</v>
      </c>
      <c r="E616" t="s">
        <v>42</v>
      </c>
      <c r="F616" t="s">
        <v>43</v>
      </c>
      <c r="G616">
        <v>6</v>
      </c>
    </row>
    <row r="617" spans="1:7" x14ac:dyDescent="0.35">
      <c r="A617">
        <v>1001981</v>
      </c>
      <c r="B617" s="2">
        <v>46122</v>
      </c>
      <c r="C617" s="2">
        <v>46142</v>
      </c>
      <c r="D617">
        <v>20</v>
      </c>
      <c r="E617" t="s">
        <v>59</v>
      </c>
      <c r="F617" t="s">
        <v>60</v>
      </c>
      <c r="G617">
        <v>6</v>
      </c>
    </row>
    <row r="618" spans="1:7" x14ac:dyDescent="0.35">
      <c r="A618">
        <v>1001981</v>
      </c>
      <c r="B618" s="2">
        <v>46122</v>
      </c>
      <c r="C618" s="2">
        <v>46142</v>
      </c>
      <c r="D618">
        <v>20</v>
      </c>
      <c r="E618" t="s">
        <v>79</v>
      </c>
      <c r="F618" t="s">
        <v>60</v>
      </c>
      <c r="G618">
        <v>12</v>
      </c>
    </row>
    <row r="619" spans="1:7" x14ac:dyDescent="0.35">
      <c r="A619">
        <v>1001981</v>
      </c>
      <c r="B619" s="2">
        <v>46122</v>
      </c>
      <c r="C619" s="2">
        <v>46142</v>
      </c>
      <c r="D619">
        <v>20</v>
      </c>
      <c r="E619" t="s">
        <v>308</v>
      </c>
      <c r="F619" t="s">
        <v>98</v>
      </c>
      <c r="G619">
        <v>6</v>
      </c>
    </row>
    <row r="620" spans="1:7" x14ac:dyDescent="0.35">
      <c r="A620">
        <v>1001981</v>
      </c>
      <c r="B620" s="2">
        <v>46122</v>
      </c>
      <c r="C620" s="2">
        <v>46142</v>
      </c>
      <c r="D620">
        <v>20</v>
      </c>
      <c r="E620" t="s">
        <v>309</v>
      </c>
      <c r="F620" t="s">
        <v>169</v>
      </c>
      <c r="G620">
        <v>6</v>
      </c>
    </row>
    <row r="621" spans="1:7" x14ac:dyDescent="0.35">
      <c r="A621">
        <v>1001981</v>
      </c>
      <c r="B621" s="2">
        <v>46122</v>
      </c>
      <c r="C621" s="2">
        <v>46142</v>
      </c>
      <c r="D621">
        <v>20</v>
      </c>
      <c r="E621" t="s">
        <v>207</v>
      </c>
      <c r="F621" t="s">
        <v>109</v>
      </c>
      <c r="G621">
        <v>6</v>
      </c>
    </row>
    <row r="622" spans="1:7" x14ac:dyDescent="0.35">
      <c r="A622">
        <v>1001981</v>
      </c>
      <c r="B622" s="2">
        <v>46122</v>
      </c>
      <c r="C622" s="2">
        <v>46142</v>
      </c>
      <c r="D622">
        <v>20</v>
      </c>
      <c r="E622" t="s">
        <v>46</v>
      </c>
      <c r="F622" t="s">
        <v>47</v>
      </c>
      <c r="G622">
        <v>6</v>
      </c>
    </row>
    <row r="623" spans="1:7" x14ac:dyDescent="0.35">
      <c r="A623">
        <v>1001981</v>
      </c>
      <c r="B623" s="2">
        <v>46122</v>
      </c>
      <c r="C623" s="2">
        <v>46142</v>
      </c>
      <c r="D623">
        <v>20</v>
      </c>
      <c r="E623" t="s">
        <v>248</v>
      </c>
      <c r="F623" t="s">
        <v>183</v>
      </c>
      <c r="G623">
        <v>6</v>
      </c>
    </row>
    <row r="624" spans="1:7" x14ac:dyDescent="0.35">
      <c r="A624">
        <v>1001981</v>
      </c>
      <c r="B624" s="2">
        <v>46122</v>
      </c>
      <c r="C624" s="2">
        <v>46142</v>
      </c>
      <c r="D624">
        <v>20</v>
      </c>
      <c r="E624" t="s">
        <v>147</v>
      </c>
      <c r="F624" t="s">
        <v>39</v>
      </c>
      <c r="G624">
        <v>6</v>
      </c>
    </row>
    <row r="625" spans="1:7" x14ac:dyDescent="0.35">
      <c r="A625">
        <v>1001981</v>
      </c>
      <c r="B625" s="2">
        <v>46122</v>
      </c>
      <c r="C625" s="2">
        <v>46147</v>
      </c>
      <c r="D625">
        <v>25</v>
      </c>
      <c r="E625" t="s">
        <v>229</v>
      </c>
      <c r="F625" t="s">
        <v>230</v>
      </c>
      <c r="G625">
        <v>0</v>
      </c>
    </row>
    <row r="626" spans="1:7" x14ac:dyDescent="0.35">
      <c r="A626">
        <v>1001981</v>
      </c>
      <c r="B626" s="2">
        <v>46122</v>
      </c>
      <c r="C626" s="2">
        <v>46149</v>
      </c>
      <c r="D626">
        <v>27</v>
      </c>
      <c r="E626" t="s">
        <v>229</v>
      </c>
      <c r="F626" t="s">
        <v>230</v>
      </c>
      <c r="G626">
        <v>0</v>
      </c>
    </row>
    <row r="627" spans="1:7" x14ac:dyDescent="0.35">
      <c r="A627">
        <v>1001981</v>
      </c>
      <c r="B627" s="2">
        <v>46122</v>
      </c>
      <c r="C627" s="2">
        <v>46149</v>
      </c>
      <c r="D627">
        <v>27</v>
      </c>
      <c r="E627" t="s">
        <v>229</v>
      </c>
      <c r="F627" t="s">
        <v>230</v>
      </c>
      <c r="G627">
        <v>0</v>
      </c>
    </row>
    <row r="628" spans="1:7" x14ac:dyDescent="0.35">
      <c r="A628">
        <v>1001981</v>
      </c>
      <c r="B628" s="2">
        <v>46122</v>
      </c>
      <c r="C628" s="2">
        <v>46149</v>
      </c>
      <c r="D628">
        <v>27</v>
      </c>
      <c r="E628" t="s">
        <v>229</v>
      </c>
      <c r="F628" t="s">
        <v>230</v>
      </c>
      <c r="G628">
        <v>0</v>
      </c>
    </row>
    <row r="629" spans="1:7" x14ac:dyDescent="0.35">
      <c r="A629">
        <v>1001981</v>
      </c>
      <c r="B629" s="2">
        <v>46122</v>
      </c>
      <c r="C629" s="2">
        <v>46149</v>
      </c>
      <c r="D629">
        <v>27</v>
      </c>
      <c r="E629" t="s">
        <v>229</v>
      </c>
      <c r="F629" t="s">
        <v>230</v>
      </c>
      <c r="G629">
        <v>0</v>
      </c>
    </row>
    <row r="630" spans="1:7" x14ac:dyDescent="0.35">
      <c r="A630">
        <v>1001981</v>
      </c>
      <c r="B630" s="2">
        <v>46122</v>
      </c>
      <c r="C630" s="2">
        <v>46149</v>
      </c>
      <c r="D630">
        <v>27</v>
      </c>
      <c r="E630" t="s">
        <v>229</v>
      </c>
      <c r="F630" t="s">
        <v>230</v>
      </c>
      <c r="G630">
        <v>0</v>
      </c>
    </row>
    <row r="631" spans="1:7" x14ac:dyDescent="0.35">
      <c r="A631">
        <v>1001983</v>
      </c>
      <c r="B631" s="2">
        <v>46122</v>
      </c>
      <c r="C631" s="2">
        <v>46140</v>
      </c>
      <c r="D631">
        <v>18</v>
      </c>
      <c r="E631" t="s">
        <v>108</v>
      </c>
      <c r="F631" t="s">
        <v>109</v>
      </c>
      <c r="G631">
        <v>6</v>
      </c>
    </row>
    <row r="632" spans="1:7" x14ac:dyDescent="0.35">
      <c r="A632">
        <v>1001983</v>
      </c>
      <c r="B632" s="2">
        <v>46122</v>
      </c>
      <c r="C632" s="2">
        <v>46140</v>
      </c>
      <c r="D632">
        <v>18</v>
      </c>
      <c r="E632" t="s">
        <v>126</v>
      </c>
      <c r="F632" t="s">
        <v>127</v>
      </c>
      <c r="G632">
        <v>6</v>
      </c>
    </row>
    <row r="633" spans="1:7" x14ac:dyDescent="0.35">
      <c r="A633">
        <v>1001983</v>
      </c>
      <c r="B633" s="2">
        <v>46122</v>
      </c>
      <c r="C633" s="2">
        <v>46140</v>
      </c>
      <c r="D633">
        <v>18</v>
      </c>
      <c r="E633" t="s">
        <v>110</v>
      </c>
      <c r="F633" t="s">
        <v>111</v>
      </c>
      <c r="G633">
        <v>3</v>
      </c>
    </row>
    <row r="634" spans="1:7" x14ac:dyDescent="0.35">
      <c r="A634">
        <v>1001983</v>
      </c>
      <c r="B634" s="2">
        <v>46122</v>
      </c>
      <c r="C634" s="2">
        <v>46140</v>
      </c>
      <c r="D634">
        <v>18</v>
      </c>
      <c r="E634" t="s">
        <v>112</v>
      </c>
      <c r="F634" t="s">
        <v>113</v>
      </c>
      <c r="G634">
        <v>3</v>
      </c>
    </row>
    <row r="635" spans="1:7" x14ac:dyDescent="0.35">
      <c r="A635">
        <v>1001983</v>
      </c>
      <c r="B635" s="2">
        <v>46122</v>
      </c>
      <c r="C635" s="2">
        <v>46140</v>
      </c>
      <c r="D635">
        <v>18</v>
      </c>
      <c r="E635" t="s">
        <v>257</v>
      </c>
      <c r="F635" t="s">
        <v>35</v>
      </c>
      <c r="G635">
        <v>6</v>
      </c>
    </row>
    <row r="636" spans="1:7" x14ac:dyDescent="0.35">
      <c r="A636">
        <v>1001983</v>
      </c>
      <c r="B636" s="2">
        <v>46122</v>
      </c>
      <c r="C636" s="2">
        <v>46140</v>
      </c>
      <c r="D636">
        <v>18</v>
      </c>
      <c r="E636" t="s">
        <v>145</v>
      </c>
      <c r="F636" t="s">
        <v>39</v>
      </c>
      <c r="G636">
        <v>6</v>
      </c>
    </row>
    <row r="637" spans="1:7" x14ac:dyDescent="0.35">
      <c r="A637">
        <v>1001983</v>
      </c>
      <c r="B637" s="2">
        <v>46122</v>
      </c>
      <c r="C637" s="2">
        <v>46140</v>
      </c>
      <c r="D637">
        <v>18</v>
      </c>
      <c r="E637" t="s">
        <v>13</v>
      </c>
      <c r="F637" t="s">
        <v>14</v>
      </c>
      <c r="G637">
        <v>6</v>
      </c>
    </row>
    <row r="638" spans="1:7" x14ac:dyDescent="0.35">
      <c r="A638">
        <v>1001983</v>
      </c>
      <c r="B638" s="2">
        <v>46122</v>
      </c>
      <c r="C638" s="2">
        <v>46140</v>
      </c>
      <c r="D638">
        <v>18</v>
      </c>
      <c r="E638" t="s">
        <v>150</v>
      </c>
      <c r="F638" t="s">
        <v>151</v>
      </c>
      <c r="G638">
        <v>6</v>
      </c>
    </row>
    <row r="639" spans="1:7" x14ac:dyDescent="0.35">
      <c r="A639">
        <v>1001983</v>
      </c>
      <c r="B639" s="2">
        <v>46122</v>
      </c>
      <c r="C639" s="2">
        <v>46140</v>
      </c>
      <c r="D639">
        <v>18</v>
      </c>
      <c r="E639" t="s">
        <v>17</v>
      </c>
      <c r="F639" t="s">
        <v>18</v>
      </c>
      <c r="G639">
        <v>6</v>
      </c>
    </row>
    <row r="640" spans="1:7" x14ac:dyDescent="0.35">
      <c r="A640">
        <v>1001983</v>
      </c>
      <c r="B640" s="2">
        <v>46122</v>
      </c>
      <c r="C640" s="2">
        <v>46140</v>
      </c>
      <c r="D640">
        <v>18</v>
      </c>
      <c r="E640" t="s">
        <v>189</v>
      </c>
      <c r="F640" t="s">
        <v>190</v>
      </c>
      <c r="G640">
        <v>6</v>
      </c>
    </row>
    <row r="641" spans="1:7" x14ac:dyDescent="0.35">
      <c r="A641">
        <v>1001983</v>
      </c>
      <c r="B641" s="2">
        <v>46122</v>
      </c>
      <c r="C641" s="2">
        <v>46140</v>
      </c>
      <c r="D641">
        <v>18</v>
      </c>
      <c r="E641" t="s">
        <v>310</v>
      </c>
      <c r="F641" t="s">
        <v>311</v>
      </c>
      <c r="G641">
        <v>6</v>
      </c>
    </row>
    <row r="642" spans="1:7" x14ac:dyDescent="0.35">
      <c r="A642">
        <v>1001983</v>
      </c>
      <c r="B642" s="2">
        <v>46122</v>
      </c>
      <c r="C642" s="2">
        <v>46140</v>
      </c>
      <c r="D642">
        <v>18</v>
      </c>
      <c r="E642" t="s">
        <v>57</v>
      </c>
      <c r="F642" t="s">
        <v>58</v>
      </c>
      <c r="G642">
        <v>6</v>
      </c>
    </row>
    <row r="643" spans="1:7" x14ac:dyDescent="0.35">
      <c r="A643">
        <v>1001983</v>
      </c>
      <c r="B643" s="2">
        <v>46122</v>
      </c>
      <c r="C643" s="2">
        <v>46140</v>
      </c>
      <c r="D643">
        <v>18</v>
      </c>
      <c r="E643" t="s">
        <v>7</v>
      </c>
      <c r="F643" t="s">
        <v>8</v>
      </c>
      <c r="G643">
        <v>6</v>
      </c>
    </row>
    <row r="644" spans="1:7" x14ac:dyDescent="0.35">
      <c r="A644">
        <v>1001983</v>
      </c>
      <c r="B644" s="2">
        <v>46122</v>
      </c>
      <c r="C644" s="2">
        <v>46140</v>
      </c>
      <c r="D644">
        <v>18</v>
      </c>
      <c r="E644" t="s">
        <v>11</v>
      </c>
      <c r="F644" t="s">
        <v>12</v>
      </c>
      <c r="G644">
        <v>6</v>
      </c>
    </row>
    <row r="645" spans="1:7" x14ac:dyDescent="0.35">
      <c r="A645">
        <v>1001983</v>
      </c>
      <c r="B645" s="2">
        <v>46122</v>
      </c>
      <c r="C645" s="2">
        <v>46140</v>
      </c>
      <c r="D645">
        <v>18</v>
      </c>
      <c r="E645" t="s">
        <v>27</v>
      </c>
      <c r="F645" t="s">
        <v>28</v>
      </c>
      <c r="G645">
        <v>6</v>
      </c>
    </row>
    <row r="646" spans="1:7" x14ac:dyDescent="0.35">
      <c r="A646">
        <v>1001999</v>
      </c>
      <c r="B646" s="2">
        <v>46127</v>
      </c>
      <c r="C646" s="2">
        <v>46129</v>
      </c>
      <c r="D646">
        <v>2</v>
      </c>
      <c r="E646" t="s">
        <v>42</v>
      </c>
      <c r="F646" t="s">
        <v>43</v>
      </c>
      <c r="G646">
        <v>6</v>
      </c>
    </row>
    <row r="647" spans="1:7" x14ac:dyDescent="0.35">
      <c r="A647">
        <v>1001999</v>
      </c>
      <c r="B647" s="2">
        <v>46127</v>
      </c>
      <c r="C647" s="2">
        <v>46129</v>
      </c>
      <c r="D647">
        <v>2</v>
      </c>
      <c r="E647" t="s">
        <v>59</v>
      </c>
      <c r="F647" t="s">
        <v>60</v>
      </c>
      <c r="G647">
        <v>6</v>
      </c>
    </row>
    <row r="648" spans="1:7" x14ac:dyDescent="0.35">
      <c r="A648">
        <v>1001999</v>
      </c>
      <c r="B648" s="2">
        <v>46127</v>
      </c>
      <c r="C648" s="2">
        <v>46129</v>
      </c>
      <c r="D648">
        <v>2</v>
      </c>
      <c r="E648" t="s">
        <v>46</v>
      </c>
      <c r="F648" t="s">
        <v>47</v>
      </c>
      <c r="G648">
        <v>6</v>
      </c>
    </row>
    <row r="649" spans="1:7" x14ac:dyDescent="0.35">
      <c r="A649">
        <v>1001999</v>
      </c>
      <c r="B649" s="2">
        <v>46127</v>
      </c>
      <c r="C649" s="2">
        <v>46129</v>
      </c>
      <c r="D649">
        <v>2</v>
      </c>
      <c r="E649" t="s">
        <v>74</v>
      </c>
      <c r="F649" t="s">
        <v>47</v>
      </c>
      <c r="G649">
        <v>6</v>
      </c>
    </row>
    <row r="650" spans="1:7" x14ac:dyDescent="0.35">
      <c r="A650">
        <v>1001999</v>
      </c>
      <c r="B650" s="2">
        <v>46127</v>
      </c>
      <c r="C650" s="2">
        <v>46129</v>
      </c>
      <c r="D650">
        <v>2</v>
      </c>
      <c r="E650" t="s">
        <v>133</v>
      </c>
      <c r="F650" t="s">
        <v>47</v>
      </c>
      <c r="G650">
        <v>6</v>
      </c>
    </row>
    <row r="651" spans="1:7" x14ac:dyDescent="0.35">
      <c r="A651">
        <v>1001999</v>
      </c>
      <c r="B651" s="2">
        <v>46127</v>
      </c>
      <c r="C651" s="2">
        <v>46142</v>
      </c>
      <c r="D651">
        <v>15</v>
      </c>
      <c r="E651" t="s">
        <v>86</v>
      </c>
      <c r="F651" t="s">
        <v>85</v>
      </c>
      <c r="G651">
        <v>4</v>
      </c>
    </row>
    <row r="652" spans="1:7" x14ac:dyDescent="0.35">
      <c r="A652">
        <v>1001999</v>
      </c>
      <c r="B652" s="2">
        <v>46127</v>
      </c>
      <c r="C652" s="2">
        <v>46142</v>
      </c>
      <c r="D652">
        <v>15</v>
      </c>
      <c r="E652" t="s">
        <v>42</v>
      </c>
      <c r="F652" t="s">
        <v>43</v>
      </c>
      <c r="G652">
        <v>6</v>
      </c>
    </row>
    <row r="653" spans="1:7" x14ac:dyDescent="0.35">
      <c r="A653">
        <v>1001999</v>
      </c>
      <c r="B653" s="2">
        <v>46127</v>
      </c>
      <c r="C653" s="2">
        <v>46142</v>
      </c>
      <c r="D653">
        <v>15</v>
      </c>
      <c r="E653" t="s">
        <v>312</v>
      </c>
      <c r="F653" t="s">
        <v>313</v>
      </c>
      <c r="G653">
        <v>12</v>
      </c>
    </row>
    <row r="654" spans="1:7" x14ac:dyDescent="0.35">
      <c r="A654">
        <v>1001999</v>
      </c>
      <c r="B654" s="2">
        <v>46127</v>
      </c>
      <c r="C654" s="2">
        <v>46142</v>
      </c>
      <c r="D654">
        <v>15</v>
      </c>
      <c r="E654" t="s">
        <v>314</v>
      </c>
      <c r="F654" t="s">
        <v>96</v>
      </c>
      <c r="G654">
        <v>12</v>
      </c>
    </row>
    <row r="655" spans="1:7" x14ac:dyDescent="0.35">
      <c r="A655">
        <v>1001999</v>
      </c>
      <c r="B655" s="2">
        <v>46127</v>
      </c>
      <c r="C655" s="2">
        <v>46142</v>
      </c>
      <c r="D655">
        <v>15</v>
      </c>
      <c r="E655" t="s">
        <v>315</v>
      </c>
      <c r="F655" t="s">
        <v>316</v>
      </c>
      <c r="G655">
        <v>12</v>
      </c>
    </row>
    <row r="656" spans="1:7" x14ac:dyDescent="0.35">
      <c r="A656">
        <v>1001999</v>
      </c>
      <c r="B656" s="2">
        <v>46127</v>
      </c>
      <c r="C656" s="2">
        <v>46142</v>
      </c>
      <c r="D656">
        <v>15</v>
      </c>
      <c r="E656" t="s">
        <v>44</v>
      </c>
      <c r="F656" t="s">
        <v>45</v>
      </c>
      <c r="G656">
        <v>6</v>
      </c>
    </row>
    <row r="657" spans="1:7" x14ac:dyDescent="0.35">
      <c r="A657">
        <v>1001999</v>
      </c>
      <c r="B657" s="2">
        <v>46127</v>
      </c>
      <c r="C657" s="2">
        <v>46142</v>
      </c>
      <c r="D657">
        <v>15</v>
      </c>
      <c r="E657" t="s">
        <v>65</v>
      </c>
      <c r="F657" t="s">
        <v>45</v>
      </c>
      <c r="G657">
        <v>12</v>
      </c>
    </row>
    <row r="658" spans="1:7" x14ac:dyDescent="0.35">
      <c r="A658">
        <v>1001999</v>
      </c>
      <c r="B658" s="2">
        <v>46127</v>
      </c>
      <c r="C658" s="2">
        <v>46142</v>
      </c>
      <c r="D658">
        <v>15</v>
      </c>
      <c r="E658" t="s">
        <v>66</v>
      </c>
      <c r="F658" t="s">
        <v>67</v>
      </c>
      <c r="G658">
        <v>24</v>
      </c>
    </row>
    <row r="659" spans="1:7" x14ac:dyDescent="0.35">
      <c r="A659">
        <v>1001999</v>
      </c>
      <c r="B659" s="2">
        <v>46127</v>
      </c>
      <c r="C659" s="2">
        <v>46142</v>
      </c>
      <c r="D659">
        <v>15</v>
      </c>
      <c r="E659" t="s">
        <v>317</v>
      </c>
      <c r="F659" t="s">
        <v>277</v>
      </c>
      <c r="G659">
        <v>12</v>
      </c>
    </row>
    <row r="660" spans="1:7" x14ac:dyDescent="0.35">
      <c r="A660">
        <v>1001999</v>
      </c>
      <c r="B660" s="2">
        <v>46127</v>
      </c>
      <c r="C660" s="2">
        <v>46142</v>
      </c>
      <c r="D660">
        <v>15</v>
      </c>
      <c r="E660" t="s">
        <v>279</v>
      </c>
      <c r="F660" t="s">
        <v>69</v>
      </c>
      <c r="G660">
        <v>12</v>
      </c>
    </row>
    <row r="661" spans="1:7" x14ac:dyDescent="0.35">
      <c r="A661">
        <v>1001999</v>
      </c>
      <c r="B661" s="2">
        <v>46127</v>
      </c>
      <c r="C661" s="2">
        <v>46142</v>
      </c>
      <c r="D661">
        <v>15</v>
      </c>
      <c r="E661" t="s">
        <v>48</v>
      </c>
      <c r="F661" t="s">
        <v>49</v>
      </c>
      <c r="G661">
        <v>2</v>
      </c>
    </row>
    <row r="662" spans="1:7" x14ac:dyDescent="0.35">
      <c r="A662">
        <v>1001999</v>
      </c>
      <c r="B662" s="2">
        <v>46127</v>
      </c>
      <c r="C662" s="2">
        <v>46142</v>
      </c>
      <c r="D662">
        <v>15</v>
      </c>
      <c r="E662" t="s">
        <v>50</v>
      </c>
      <c r="F662" t="s">
        <v>51</v>
      </c>
      <c r="G662">
        <v>6</v>
      </c>
    </row>
    <row r="663" spans="1:7" x14ac:dyDescent="0.35">
      <c r="A663">
        <v>1001999</v>
      </c>
      <c r="B663" s="2">
        <v>46127</v>
      </c>
      <c r="C663" s="2">
        <v>46142</v>
      </c>
      <c r="D663">
        <v>15</v>
      </c>
      <c r="E663" t="s">
        <v>54</v>
      </c>
      <c r="F663" t="s">
        <v>55</v>
      </c>
      <c r="G663">
        <v>6</v>
      </c>
    </row>
    <row r="664" spans="1:7" x14ac:dyDescent="0.35">
      <c r="A664">
        <v>1001999</v>
      </c>
      <c r="B664" s="2">
        <v>46127</v>
      </c>
      <c r="C664" s="2">
        <v>46156</v>
      </c>
      <c r="D664">
        <v>29</v>
      </c>
      <c r="E664" t="s">
        <v>59</v>
      </c>
      <c r="F664" t="s">
        <v>60</v>
      </c>
      <c r="G664">
        <v>12</v>
      </c>
    </row>
    <row r="665" spans="1:7" x14ac:dyDescent="0.35">
      <c r="A665">
        <v>1001999</v>
      </c>
      <c r="B665" s="2">
        <v>46127</v>
      </c>
      <c r="C665" s="2">
        <v>46156</v>
      </c>
      <c r="D665">
        <v>29</v>
      </c>
      <c r="E665" t="s">
        <v>134</v>
      </c>
      <c r="F665" t="s">
        <v>49</v>
      </c>
      <c r="G665">
        <v>4</v>
      </c>
    </row>
    <row r="666" spans="1:7" x14ac:dyDescent="0.35">
      <c r="A666">
        <v>1001999</v>
      </c>
      <c r="B666" s="2">
        <v>46127</v>
      </c>
      <c r="C666" s="2">
        <v>46156</v>
      </c>
      <c r="D666">
        <v>29</v>
      </c>
      <c r="E666" t="s">
        <v>135</v>
      </c>
      <c r="F666" t="s">
        <v>51</v>
      </c>
      <c r="G666">
        <v>8</v>
      </c>
    </row>
    <row r="667" spans="1:7" x14ac:dyDescent="0.35">
      <c r="A667">
        <v>1002001</v>
      </c>
      <c r="B667" s="2">
        <v>46127</v>
      </c>
      <c r="C667" s="2">
        <v>46142</v>
      </c>
      <c r="D667">
        <v>15</v>
      </c>
      <c r="E667" t="s">
        <v>48</v>
      </c>
      <c r="F667" t="s">
        <v>49</v>
      </c>
      <c r="G667">
        <v>4</v>
      </c>
    </row>
    <row r="668" spans="1:7" x14ac:dyDescent="0.35">
      <c r="A668">
        <v>1002001</v>
      </c>
      <c r="B668" s="2">
        <v>46127</v>
      </c>
      <c r="C668" s="2">
        <v>46142</v>
      </c>
      <c r="D668">
        <v>15</v>
      </c>
      <c r="E668" t="s">
        <v>50</v>
      </c>
      <c r="F668" t="s">
        <v>51</v>
      </c>
      <c r="G668">
        <v>4</v>
      </c>
    </row>
    <row r="669" spans="1:7" x14ac:dyDescent="0.35">
      <c r="A669">
        <v>1002005</v>
      </c>
      <c r="B669" s="2">
        <v>46128</v>
      </c>
      <c r="C669" s="2">
        <v>46141</v>
      </c>
      <c r="D669">
        <v>13</v>
      </c>
      <c r="E669" t="s">
        <v>318</v>
      </c>
      <c r="F669" t="s">
        <v>113</v>
      </c>
      <c r="G669">
        <v>3</v>
      </c>
    </row>
    <row r="670" spans="1:7" x14ac:dyDescent="0.35">
      <c r="A670">
        <v>1002005</v>
      </c>
      <c r="B670" s="2">
        <v>46128</v>
      </c>
      <c r="C670" s="2">
        <v>46141</v>
      </c>
      <c r="D670">
        <v>13</v>
      </c>
      <c r="E670" t="s">
        <v>263</v>
      </c>
      <c r="F670" t="s">
        <v>264</v>
      </c>
      <c r="G670">
        <v>2</v>
      </c>
    </row>
    <row r="671" spans="1:7" x14ac:dyDescent="0.35">
      <c r="A671">
        <v>1002005</v>
      </c>
      <c r="B671" s="2">
        <v>46128</v>
      </c>
      <c r="C671" s="2">
        <v>46141</v>
      </c>
      <c r="D671">
        <v>13</v>
      </c>
      <c r="E671" t="s">
        <v>319</v>
      </c>
      <c r="F671" t="s">
        <v>173</v>
      </c>
      <c r="G671">
        <v>3</v>
      </c>
    </row>
    <row r="672" spans="1:7" x14ac:dyDescent="0.35">
      <c r="A672">
        <v>1002005</v>
      </c>
      <c r="B672" s="2">
        <v>46128</v>
      </c>
      <c r="C672" s="2">
        <v>46141</v>
      </c>
      <c r="D672">
        <v>13</v>
      </c>
      <c r="E672" t="s">
        <v>198</v>
      </c>
      <c r="F672" t="s">
        <v>186</v>
      </c>
      <c r="G672">
        <v>6</v>
      </c>
    </row>
    <row r="673" spans="1:7" x14ac:dyDescent="0.35">
      <c r="A673">
        <v>1002005</v>
      </c>
      <c r="B673" s="2">
        <v>46128</v>
      </c>
      <c r="C673" s="2">
        <v>46141</v>
      </c>
      <c r="D673">
        <v>13</v>
      </c>
      <c r="E673" t="s">
        <v>320</v>
      </c>
      <c r="F673" t="s">
        <v>125</v>
      </c>
      <c r="G673">
        <v>2</v>
      </c>
    </row>
    <row r="674" spans="1:7" x14ac:dyDescent="0.35">
      <c r="A674">
        <v>1002010</v>
      </c>
      <c r="B674" s="2">
        <v>46127</v>
      </c>
      <c r="C674" s="2">
        <v>46128</v>
      </c>
      <c r="D674">
        <v>1</v>
      </c>
      <c r="E674" t="s">
        <v>321</v>
      </c>
      <c r="F674" t="s">
        <v>322</v>
      </c>
      <c r="G674">
        <v>1</v>
      </c>
    </row>
    <row r="675" spans="1:7" x14ac:dyDescent="0.35">
      <c r="A675">
        <v>1002048</v>
      </c>
      <c r="B675" s="2">
        <v>46136</v>
      </c>
      <c r="C675" s="2">
        <v>46141</v>
      </c>
      <c r="D675">
        <v>5</v>
      </c>
      <c r="E675" t="s">
        <v>48</v>
      </c>
      <c r="F675" t="s">
        <v>49</v>
      </c>
      <c r="G675">
        <v>4</v>
      </c>
    </row>
    <row r="676" spans="1:7" x14ac:dyDescent="0.35">
      <c r="A676">
        <v>1002048</v>
      </c>
      <c r="B676" s="2">
        <v>46136</v>
      </c>
      <c r="C676" s="2">
        <v>46141</v>
      </c>
      <c r="D676">
        <v>5</v>
      </c>
      <c r="E676" t="s">
        <v>50</v>
      </c>
      <c r="F676" t="s">
        <v>51</v>
      </c>
      <c r="G676">
        <v>4</v>
      </c>
    </row>
    <row r="677" spans="1:7" x14ac:dyDescent="0.35">
      <c r="A677">
        <v>1002048</v>
      </c>
      <c r="B677" s="2">
        <v>46136</v>
      </c>
      <c r="C677" s="2">
        <v>46141</v>
      </c>
      <c r="D677">
        <v>5</v>
      </c>
      <c r="E677" t="s">
        <v>90</v>
      </c>
      <c r="F677" t="s">
        <v>35</v>
      </c>
      <c r="G677">
        <v>6</v>
      </c>
    </row>
    <row r="678" spans="1:7" x14ac:dyDescent="0.35">
      <c r="A678">
        <v>1002048</v>
      </c>
      <c r="B678" s="2">
        <v>46136</v>
      </c>
      <c r="C678" s="2">
        <v>46141</v>
      </c>
      <c r="D678">
        <v>5</v>
      </c>
      <c r="E678" t="s">
        <v>34</v>
      </c>
      <c r="F678" t="s">
        <v>35</v>
      </c>
      <c r="G678">
        <v>3</v>
      </c>
    </row>
    <row r="679" spans="1:7" x14ac:dyDescent="0.35">
      <c r="A679">
        <v>1002048</v>
      </c>
      <c r="B679" s="2">
        <v>46136</v>
      </c>
      <c r="C679" s="2">
        <v>46141</v>
      </c>
      <c r="D679">
        <v>5</v>
      </c>
      <c r="E679" t="s">
        <v>147</v>
      </c>
      <c r="F679" t="s">
        <v>39</v>
      </c>
      <c r="G679">
        <v>6</v>
      </c>
    </row>
    <row r="680" spans="1:7" x14ac:dyDescent="0.35">
      <c r="A680">
        <v>1002048</v>
      </c>
      <c r="B680" s="2">
        <v>46136</v>
      </c>
      <c r="C680" s="2">
        <v>46141</v>
      </c>
      <c r="D680">
        <v>5</v>
      </c>
      <c r="E680" t="s">
        <v>38</v>
      </c>
      <c r="F680" t="s">
        <v>39</v>
      </c>
      <c r="G680">
        <v>3</v>
      </c>
    </row>
    <row r="681" spans="1:7" x14ac:dyDescent="0.35">
      <c r="A681">
        <v>1002048</v>
      </c>
      <c r="B681" s="2">
        <v>46136</v>
      </c>
      <c r="C681" s="2">
        <v>46142</v>
      </c>
      <c r="D681">
        <v>6</v>
      </c>
      <c r="E681" t="s">
        <v>323</v>
      </c>
      <c r="F681" t="s">
        <v>264</v>
      </c>
      <c r="G681">
        <v>2</v>
      </c>
    </row>
    <row r="682" spans="1:7" x14ac:dyDescent="0.35">
      <c r="A682">
        <v>1002048</v>
      </c>
      <c r="B682" s="2">
        <v>46136</v>
      </c>
      <c r="C682" s="2">
        <v>46142</v>
      </c>
      <c r="D682">
        <v>6</v>
      </c>
      <c r="E682" t="s">
        <v>323</v>
      </c>
      <c r="F682" t="s">
        <v>264</v>
      </c>
      <c r="G682">
        <v>2</v>
      </c>
    </row>
    <row r="683" spans="1:7" x14ac:dyDescent="0.35">
      <c r="A683">
        <v>1002048</v>
      </c>
      <c r="B683" s="2">
        <v>46136</v>
      </c>
      <c r="C683" s="2">
        <v>46142</v>
      </c>
      <c r="D683">
        <v>6</v>
      </c>
      <c r="E683" t="s">
        <v>323</v>
      </c>
      <c r="F683" t="s">
        <v>264</v>
      </c>
      <c r="G683">
        <v>2</v>
      </c>
    </row>
    <row r="684" spans="1:7" x14ac:dyDescent="0.35">
      <c r="A684">
        <v>1002048</v>
      </c>
      <c r="B684" s="2">
        <v>46136</v>
      </c>
      <c r="C684" s="2">
        <v>46142</v>
      </c>
      <c r="D684">
        <v>6</v>
      </c>
      <c r="E684" t="s">
        <v>136</v>
      </c>
      <c r="F684" t="s">
        <v>137</v>
      </c>
      <c r="G684">
        <v>10</v>
      </c>
    </row>
    <row r="685" spans="1:7" x14ac:dyDescent="0.35">
      <c r="A685">
        <v>1002048</v>
      </c>
      <c r="B685" s="2">
        <v>46136</v>
      </c>
      <c r="C685" s="2">
        <v>46142</v>
      </c>
      <c r="D685">
        <v>6</v>
      </c>
      <c r="E685" t="s">
        <v>193</v>
      </c>
      <c r="F685" t="s">
        <v>194</v>
      </c>
      <c r="G685">
        <v>26</v>
      </c>
    </row>
    <row r="686" spans="1:7" x14ac:dyDescent="0.35">
      <c r="A686">
        <v>1002048</v>
      </c>
      <c r="B686" s="2">
        <v>46136</v>
      </c>
      <c r="C686" s="2">
        <v>46155</v>
      </c>
      <c r="D686">
        <v>19</v>
      </c>
      <c r="E686" t="s">
        <v>323</v>
      </c>
      <c r="F686" t="s">
        <v>264</v>
      </c>
      <c r="G686">
        <v>6</v>
      </c>
    </row>
    <row r="687" spans="1:7" x14ac:dyDescent="0.35">
      <c r="A687">
        <v>1002048</v>
      </c>
      <c r="B687" s="2">
        <v>46136</v>
      </c>
      <c r="C687" s="2">
        <v>46163</v>
      </c>
      <c r="D687">
        <v>27</v>
      </c>
      <c r="E687" t="s">
        <v>147</v>
      </c>
      <c r="F687" t="s">
        <v>39</v>
      </c>
      <c r="G687">
        <v>12</v>
      </c>
    </row>
    <row r="688" spans="1:7" x14ac:dyDescent="0.35">
      <c r="A688">
        <v>1002048</v>
      </c>
      <c r="B688" s="2">
        <v>46136</v>
      </c>
      <c r="C688" s="2">
        <v>46163</v>
      </c>
      <c r="D688">
        <v>27</v>
      </c>
      <c r="E688" t="s">
        <v>89</v>
      </c>
      <c r="F688" t="s">
        <v>39</v>
      </c>
      <c r="G688">
        <v>4</v>
      </c>
    </row>
    <row r="689" spans="1:7" x14ac:dyDescent="0.35">
      <c r="A689">
        <v>1002058</v>
      </c>
      <c r="B689" s="2">
        <v>46136</v>
      </c>
      <c r="C689" s="2">
        <v>46142</v>
      </c>
      <c r="D689">
        <v>6</v>
      </c>
      <c r="E689" t="s">
        <v>134</v>
      </c>
      <c r="F689" t="s">
        <v>49</v>
      </c>
      <c r="G689">
        <v>3</v>
      </c>
    </row>
    <row r="690" spans="1:7" x14ac:dyDescent="0.35">
      <c r="A690">
        <v>1002058</v>
      </c>
      <c r="B690" s="2">
        <v>46136</v>
      </c>
      <c r="C690" s="2">
        <v>46142</v>
      </c>
      <c r="D690">
        <v>6</v>
      </c>
      <c r="E690" t="s">
        <v>135</v>
      </c>
      <c r="F690" t="s">
        <v>51</v>
      </c>
      <c r="G690">
        <v>3</v>
      </c>
    </row>
    <row r="691" spans="1:7" x14ac:dyDescent="0.35">
      <c r="A691">
        <v>1002063</v>
      </c>
      <c r="B691" s="2">
        <v>46136</v>
      </c>
      <c r="C691" s="2">
        <v>46140</v>
      </c>
      <c r="D691">
        <v>4</v>
      </c>
      <c r="E691" t="s">
        <v>13</v>
      </c>
      <c r="F691" t="s">
        <v>14</v>
      </c>
      <c r="G691">
        <v>2</v>
      </c>
    </row>
    <row r="692" spans="1:7" x14ac:dyDescent="0.35">
      <c r="A692">
        <v>1002063</v>
      </c>
      <c r="B692" s="2">
        <v>46136</v>
      </c>
      <c r="C692" s="2">
        <v>46140</v>
      </c>
      <c r="D692">
        <v>4</v>
      </c>
      <c r="E692" t="s">
        <v>15</v>
      </c>
      <c r="F692" t="s">
        <v>16</v>
      </c>
      <c r="G692">
        <v>2</v>
      </c>
    </row>
    <row r="693" spans="1:7" x14ac:dyDescent="0.35">
      <c r="A693">
        <v>1002063</v>
      </c>
      <c r="B693" s="2">
        <v>46136</v>
      </c>
      <c r="C693" s="2">
        <v>46140</v>
      </c>
      <c r="D693">
        <v>4</v>
      </c>
      <c r="E693" t="s">
        <v>42</v>
      </c>
      <c r="F693" t="s">
        <v>43</v>
      </c>
      <c r="G693">
        <v>3</v>
      </c>
    </row>
    <row r="694" spans="1:7" x14ac:dyDescent="0.35">
      <c r="A694">
        <v>1002063</v>
      </c>
      <c r="B694" s="2">
        <v>46136</v>
      </c>
      <c r="C694" s="2">
        <v>46140</v>
      </c>
      <c r="D694">
        <v>4</v>
      </c>
      <c r="E694" t="s">
        <v>79</v>
      </c>
      <c r="F694" t="s">
        <v>60</v>
      </c>
      <c r="G694">
        <v>6</v>
      </c>
    </row>
    <row r="695" spans="1:7" x14ac:dyDescent="0.35">
      <c r="A695">
        <v>1002063</v>
      </c>
      <c r="B695" s="2">
        <v>46136</v>
      </c>
      <c r="C695" s="2">
        <v>46140</v>
      </c>
      <c r="D695">
        <v>4</v>
      </c>
      <c r="E695" t="s">
        <v>46</v>
      </c>
      <c r="F695" t="s">
        <v>47</v>
      </c>
      <c r="G695">
        <v>3</v>
      </c>
    </row>
    <row r="696" spans="1:7" x14ac:dyDescent="0.35">
      <c r="A696">
        <v>1002063</v>
      </c>
      <c r="B696" s="2">
        <v>46136</v>
      </c>
      <c r="C696" s="2">
        <v>46140</v>
      </c>
      <c r="D696">
        <v>4</v>
      </c>
      <c r="E696" t="s">
        <v>167</v>
      </c>
      <c r="F696" t="s">
        <v>55</v>
      </c>
      <c r="G696">
        <v>1</v>
      </c>
    </row>
    <row r="697" spans="1:7" x14ac:dyDescent="0.35">
      <c r="A697">
        <v>1002063</v>
      </c>
      <c r="B697" s="2">
        <v>46136</v>
      </c>
      <c r="C697" s="2">
        <v>46140</v>
      </c>
      <c r="D697">
        <v>4</v>
      </c>
      <c r="E697" t="s">
        <v>134</v>
      </c>
      <c r="F697" t="s">
        <v>49</v>
      </c>
      <c r="G697">
        <v>3</v>
      </c>
    </row>
    <row r="698" spans="1:7" x14ac:dyDescent="0.35">
      <c r="A698">
        <v>1002063</v>
      </c>
      <c r="B698" s="2">
        <v>46136</v>
      </c>
      <c r="C698" s="2">
        <v>46140</v>
      </c>
      <c r="D698">
        <v>4</v>
      </c>
      <c r="E698" t="s">
        <v>135</v>
      </c>
      <c r="F698" t="s">
        <v>51</v>
      </c>
      <c r="G698">
        <v>3</v>
      </c>
    </row>
    <row r="699" spans="1:7" x14ac:dyDescent="0.35">
      <c r="A699">
        <v>1002093</v>
      </c>
      <c r="B699" s="2">
        <v>46142</v>
      </c>
      <c r="C699" s="2">
        <v>46164</v>
      </c>
      <c r="D699">
        <v>22</v>
      </c>
      <c r="E699" t="s">
        <v>189</v>
      </c>
      <c r="F699" t="s">
        <v>190</v>
      </c>
      <c r="G699">
        <v>6</v>
      </c>
    </row>
    <row r="700" spans="1:7" x14ac:dyDescent="0.35">
      <c r="A700">
        <v>1002093</v>
      </c>
      <c r="B700" s="2">
        <v>46142</v>
      </c>
      <c r="C700" s="2">
        <v>46164</v>
      </c>
      <c r="D700">
        <v>22</v>
      </c>
      <c r="E700" t="s">
        <v>42</v>
      </c>
      <c r="F700" t="s">
        <v>43</v>
      </c>
      <c r="G700">
        <v>6</v>
      </c>
    </row>
    <row r="701" spans="1:7" x14ac:dyDescent="0.35">
      <c r="A701">
        <v>1002093</v>
      </c>
      <c r="B701" s="2">
        <v>46142</v>
      </c>
      <c r="C701" s="2">
        <v>46164</v>
      </c>
      <c r="D701">
        <v>22</v>
      </c>
      <c r="E701" t="s">
        <v>59</v>
      </c>
      <c r="F701" t="s">
        <v>60</v>
      </c>
      <c r="G701">
        <v>6</v>
      </c>
    </row>
    <row r="702" spans="1:7" x14ac:dyDescent="0.35">
      <c r="A702">
        <v>1002093</v>
      </c>
      <c r="B702" s="2">
        <v>46142</v>
      </c>
      <c r="C702" s="2">
        <v>46164</v>
      </c>
      <c r="D702">
        <v>22</v>
      </c>
      <c r="E702" t="s">
        <v>46</v>
      </c>
      <c r="F702" t="s">
        <v>47</v>
      </c>
      <c r="G702">
        <v>6</v>
      </c>
    </row>
    <row r="703" spans="1:7" x14ac:dyDescent="0.35">
      <c r="A703">
        <v>1002093</v>
      </c>
      <c r="B703" s="2">
        <v>46142</v>
      </c>
      <c r="C703" s="2">
        <v>46168</v>
      </c>
      <c r="D703">
        <v>26</v>
      </c>
      <c r="E703" t="s">
        <v>74</v>
      </c>
      <c r="F703" t="s">
        <v>47</v>
      </c>
      <c r="G703">
        <v>6</v>
      </c>
    </row>
    <row r="704" spans="1:7" x14ac:dyDescent="0.35">
      <c r="A704">
        <v>1002093</v>
      </c>
      <c r="B704" s="2">
        <v>46142</v>
      </c>
      <c r="C704" s="2">
        <v>46172</v>
      </c>
      <c r="D704">
        <v>30</v>
      </c>
      <c r="E704" t="s">
        <v>79</v>
      </c>
      <c r="F704" t="s">
        <v>60</v>
      </c>
      <c r="G704">
        <v>6</v>
      </c>
    </row>
    <row r="705" spans="1:7" x14ac:dyDescent="0.35">
      <c r="A705">
        <v>1002093</v>
      </c>
      <c r="B705" s="2">
        <v>46142</v>
      </c>
      <c r="C705" s="2">
        <v>46172</v>
      </c>
      <c r="D705">
        <v>30</v>
      </c>
      <c r="E705" t="s">
        <v>133</v>
      </c>
      <c r="F705" t="s">
        <v>47</v>
      </c>
      <c r="G705">
        <v>6</v>
      </c>
    </row>
    <row r="706" spans="1:7" x14ac:dyDescent="0.35">
      <c r="A706">
        <v>1002093</v>
      </c>
      <c r="B706" s="2">
        <v>46142</v>
      </c>
      <c r="C706" s="2">
        <v>46172</v>
      </c>
      <c r="D706">
        <v>30</v>
      </c>
      <c r="E706" t="s">
        <v>135</v>
      </c>
      <c r="F706" t="s">
        <v>51</v>
      </c>
      <c r="G706">
        <v>5</v>
      </c>
    </row>
    <row r="707" spans="1:7" x14ac:dyDescent="0.35">
      <c r="A707">
        <v>1002093</v>
      </c>
      <c r="B707" s="2">
        <v>46142</v>
      </c>
      <c r="C707" s="2">
        <v>46172</v>
      </c>
      <c r="D707">
        <v>30</v>
      </c>
      <c r="E707" t="s">
        <v>134</v>
      </c>
      <c r="F707" t="s">
        <v>49</v>
      </c>
      <c r="G707">
        <v>1</v>
      </c>
    </row>
    <row r="708" spans="1:7" x14ac:dyDescent="0.35">
      <c r="A708">
        <v>1002094</v>
      </c>
      <c r="B708" s="2">
        <v>46142</v>
      </c>
      <c r="C708" s="2">
        <v>46148</v>
      </c>
      <c r="D708">
        <v>6</v>
      </c>
      <c r="E708" t="s">
        <v>126</v>
      </c>
      <c r="F708" t="s">
        <v>127</v>
      </c>
      <c r="G708">
        <v>6</v>
      </c>
    </row>
    <row r="709" spans="1:7" x14ac:dyDescent="0.35">
      <c r="A709">
        <v>1002094</v>
      </c>
      <c r="B709" s="2">
        <v>46142</v>
      </c>
      <c r="C709" s="2">
        <v>46148</v>
      </c>
      <c r="D709">
        <v>6</v>
      </c>
      <c r="E709" t="s">
        <v>110</v>
      </c>
      <c r="F709" t="s">
        <v>111</v>
      </c>
      <c r="G709">
        <v>3</v>
      </c>
    </row>
    <row r="710" spans="1:7" x14ac:dyDescent="0.35">
      <c r="A710">
        <v>1002094</v>
      </c>
      <c r="B710" s="2">
        <v>46142</v>
      </c>
      <c r="C710" s="2">
        <v>46148</v>
      </c>
      <c r="D710">
        <v>6</v>
      </c>
      <c r="E710" t="s">
        <v>112</v>
      </c>
      <c r="F710" t="s">
        <v>113</v>
      </c>
      <c r="G710">
        <v>3</v>
      </c>
    </row>
    <row r="711" spans="1:7" x14ac:dyDescent="0.35">
      <c r="A711">
        <v>1002094</v>
      </c>
      <c r="B711" s="2">
        <v>46142</v>
      </c>
      <c r="C711" s="2">
        <v>46149</v>
      </c>
      <c r="D711">
        <v>7</v>
      </c>
      <c r="E711" t="s">
        <v>229</v>
      </c>
      <c r="F711" t="s">
        <v>230</v>
      </c>
      <c r="G711">
        <v>0</v>
      </c>
    </row>
    <row r="712" spans="1:7" x14ac:dyDescent="0.35">
      <c r="A712">
        <v>1002094</v>
      </c>
      <c r="B712" s="2">
        <v>46142</v>
      </c>
      <c r="C712" s="2">
        <v>46149</v>
      </c>
      <c r="D712">
        <v>7</v>
      </c>
      <c r="E712" t="s">
        <v>42</v>
      </c>
      <c r="F712" t="s">
        <v>43</v>
      </c>
      <c r="G712">
        <v>3</v>
      </c>
    </row>
    <row r="713" spans="1:7" x14ac:dyDescent="0.35">
      <c r="A713">
        <v>1002094</v>
      </c>
      <c r="B713" s="2">
        <v>46142</v>
      </c>
      <c r="C713" s="2">
        <v>46149</v>
      </c>
      <c r="D713">
        <v>7</v>
      </c>
      <c r="E713" t="s">
        <v>59</v>
      </c>
      <c r="F713" t="s">
        <v>60</v>
      </c>
      <c r="G713">
        <v>3</v>
      </c>
    </row>
    <row r="714" spans="1:7" x14ac:dyDescent="0.35">
      <c r="A714">
        <v>1002094</v>
      </c>
      <c r="B714" s="2">
        <v>46142</v>
      </c>
      <c r="C714" s="2">
        <v>46149</v>
      </c>
      <c r="D714">
        <v>7</v>
      </c>
      <c r="E714" t="s">
        <v>79</v>
      </c>
      <c r="F714" t="s">
        <v>60</v>
      </c>
      <c r="G714">
        <v>6</v>
      </c>
    </row>
    <row r="715" spans="1:7" x14ac:dyDescent="0.35">
      <c r="A715">
        <v>1002094</v>
      </c>
      <c r="B715" s="2">
        <v>46142</v>
      </c>
      <c r="C715" s="2">
        <v>46149</v>
      </c>
      <c r="D715">
        <v>7</v>
      </c>
      <c r="E715" t="s">
        <v>72</v>
      </c>
      <c r="F715" t="s">
        <v>71</v>
      </c>
      <c r="G715">
        <v>3</v>
      </c>
    </row>
    <row r="716" spans="1:7" x14ac:dyDescent="0.35">
      <c r="A716">
        <v>1002094</v>
      </c>
      <c r="B716" s="2">
        <v>46142</v>
      </c>
      <c r="C716" s="2">
        <v>46149</v>
      </c>
      <c r="D716">
        <v>7</v>
      </c>
      <c r="E716" t="s">
        <v>46</v>
      </c>
      <c r="F716" t="s">
        <v>47</v>
      </c>
      <c r="G716">
        <v>3</v>
      </c>
    </row>
    <row r="717" spans="1:7" x14ac:dyDescent="0.35">
      <c r="A717">
        <v>1002094</v>
      </c>
      <c r="B717" s="2">
        <v>46142</v>
      </c>
      <c r="C717" s="2">
        <v>46149</v>
      </c>
      <c r="D717">
        <v>7</v>
      </c>
      <c r="E717" t="s">
        <v>133</v>
      </c>
      <c r="F717" t="s">
        <v>47</v>
      </c>
      <c r="G717">
        <v>6</v>
      </c>
    </row>
    <row r="718" spans="1:7" x14ac:dyDescent="0.35">
      <c r="A718">
        <v>1002094</v>
      </c>
      <c r="B718" s="2">
        <v>46142</v>
      </c>
      <c r="C718" s="2">
        <v>46149</v>
      </c>
      <c r="D718">
        <v>7</v>
      </c>
      <c r="E718" t="s">
        <v>324</v>
      </c>
      <c r="F718" t="s">
        <v>171</v>
      </c>
      <c r="G718">
        <v>1</v>
      </c>
    </row>
    <row r="719" spans="1:7" x14ac:dyDescent="0.35">
      <c r="A719">
        <v>1002094</v>
      </c>
      <c r="B719" s="2">
        <v>46142</v>
      </c>
      <c r="C719" s="2">
        <v>46149</v>
      </c>
      <c r="D719">
        <v>7</v>
      </c>
      <c r="E719" t="s">
        <v>198</v>
      </c>
      <c r="F719" t="s">
        <v>186</v>
      </c>
      <c r="G719">
        <v>3</v>
      </c>
    </row>
    <row r="720" spans="1:7" x14ac:dyDescent="0.35">
      <c r="A720">
        <v>1002094</v>
      </c>
      <c r="B720" s="2">
        <v>46142</v>
      </c>
      <c r="C720" s="2">
        <v>46155</v>
      </c>
      <c r="D720">
        <v>13</v>
      </c>
      <c r="E720" t="s">
        <v>325</v>
      </c>
      <c r="F720" t="s">
        <v>326</v>
      </c>
      <c r="G720">
        <v>6</v>
      </c>
    </row>
    <row r="721" spans="1:7" x14ac:dyDescent="0.35">
      <c r="A721">
        <v>1002094</v>
      </c>
      <c r="B721" s="2">
        <v>46142</v>
      </c>
      <c r="C721" s="2">
        <v>46156</v>
      </c>
      <c r="D721">
        <v>14</v>
      </c>
      <c r="E721" t="s">
        <v>229</v>
      </c>
      <c r="F721" t="s">
        <v>230</v>
      </c>
      <c r="G721">
        <v>0</v>
      </c>
    </row>
    <row r="722" spans="1:7" x14ac:dyDescent="0.35">
      <c r="A722">
        <v>1002094</v>
      </c>
      <c r="B722" s="2">
        <v>46142</v>
      </c>
      <c r="C722" s="2">
        <v>46165</v>
      </c>
      <c r="D722">
        <v>23</v>
      </c>
      <c r="E722" t="s">
        <v>7</v>
      </c>
      <c r="F722" t="s">
        <v>8</v>
      </c>
      <c r="G722">
        <v>6</v>
      </c>
    </row>
    <row r="723" spans="1:7" x14ac:dyDescent="0.35">
      <c r="A723">
        <v>1002094</v>
      </c>
      <c r="B723" s="2">
        <v>46142</v>
      </c>
      <c r="C723" s="2">
        <v>46168</v>
      </c>
      <c r="D723">
        <v>26</v>
      </c>
      <c r="E723" t="s">
        <v>74</v>
      </c>
      <c r="F723" t="s">
        <v>47</v>
      </c>
      <c r="G723">
        <v>3</v>
      </c>
    </row>
    <row r="724" spans="1:7" x14ac:dyDescent="0.35">
      <c r="A724">
        <v>1002094</v>
      </c>
      <c r="B724" s="2">
        <v>46142</v>
      </c>
      <c r="C724" s="2">
        <v>46170</v>
      </c>
      <c r="D724">
        <v>28</v>
      </c>
      <c r="E724" t="s">
        <v>229</v>
      </c>
      <c r="F724" t="s">
        <v>230</v>
      </c>
      <c r="G724">
        <v>0</v>
      </c>
    </row>
    <row r="725" spans="1:7" x14ac:dyDescent="0.35">
      <c r="A725">
        <v>1002103</v>
      </c>
      <c r="B725" s="2">
        <v>46147</v>
      </c>
      <c r="C725" s="2">
        <v>46150</v>
      </c>
      <c r="D725">
        <v>3</v>
      </c>
      <c r="E725" t="s">
        <v>52</v>
      </c>
      <c r="F725" t="s">
        <v>53</v>
      </c>
      <c r="G725">
        <v>5</v>
      </c>
    </row>
    <row r="726" spans="1:7" x14ac:dyDescent="0.35">
      <c r="A726">
        <v>1002103</v>
      </c>
      <c r="B726" s="2">
        <v>46147</v>
      </c>
      <c r="C726" s="2">
        <v>46150</v>
      </c>
      <c r="D726">
        <v>3</v>
      </c>
      <c r="E726" t="s">
        <v>135</v>
      </c>
      <c r="F726" t="s">
        <v>51</v>
      </c>
      <c r="G726">
        <v>6</v>
      </c>
    </row>
    <row r="727" spans="1:7" x14ac:dyDescent="0.35">
      <c r="A727">
        <v>1002103</v>
      </c>
      <c r="B727" s="2">
        <v>46147</v>
      </c>
      <c r="C727" s="2">
        <v>46150</v>
      </c>
      <c r="D727">
        <v>3</v>
      </c>
      <c r="E727" t="s">
        <v>52</v>
      </c>
      <c r="F727" t="s">
        <v>53</v>
      </c>
      <c r="G727">
        <v>1</v>
      </c>
    </row>
    <row r="728" spans="1:7" x14ac:dyDescent="0.35">
      <c r="A728">
        <v>1002105</v>
      </c>
      <c r="B728" s="2">
        <v>46147</v>
      </c>
      <c r="C728" s="2">
        <v>46161</v>
      </c>
      <c r="D728">
        <v>14</v>
      </c>
      <c r="E728" t="s">
        <v>134</v>
      </c>
      <c r="F728" t="s">
        <v>49</v>
      </c>
      <c r="G728">
        <v>12</v>
      </c>
    </row>
    <row r="729" spans="1:7" x14ac:dyDescent="0.35">
      <c r="A729">
        <v>1002105</v>
      </c>
      <c r="B729" s="2">
        <v>46147</v>
      </c>
      <c r="C729" s="2">
        <v>46161</v>
      </c>
      <c r="D729">
        <v>14</v>
      </c>
      <c r="E729" t="s">
        <v>135</v>
      </c>
      <c r="F729" t="s">
        <v>51</v>
      </c>
      <c r="G729">
        <v>6</v>
      </c>
    </row>
    <row r="730" spans="1:7" x14ac:dyDescent="0.35">
      <c r="A730">
        <v>1002105</v>
      </c>
      <c r="B730" s="2">
        <v>46147</v>
      </c>
      <c r="C730" s="2">
        <v>46161</v>
      </c>
      <c r="D730">
        <v>14</v>
      </c>
      <c r="E730" t="s">
        <v>138</v>
      </c>
      <c r="F730" t="s">
        <v>139</v>
      </c>
      <c r="G730">
        <v>12</v>
      </c>
    </row>
    <row r="731" spans="1:7" x14ac:dyDescent="0.35">
      <c r="A731">
        <v>1002105</v>
      </c>
      <c r="B731" s="2">
        <v>46147</v>
      </c>
      <c r="C731" s="2">
        <v>46161</v>
      </c>
      <c r="D731">
        <v>14</v>
      </c>
      <c r="E731" t="s">
        <v>52</v>
      </c>
      <c r="F731" t="s">
        <v>53</v>
      </c>
      <c r="G731">
        <v>6</v>
      </c>
    </row>
    <row r="732" spans="1:7" x14ac:dyDescent="0.35">
      <c r="A732">
        <v>1002105</v>
      </c>
      <c r="B732" s="2">
        <v>46147</v>
      </c>
      <c r="C732" s="2">
        <v>46162</v>
      </c>
      <c r="D732">
        <v>15</v>
      </c>
      <c r="E732" t="s">
        <v>52</v>
      </c>
      <c r="F732" t="s">
        <v>53</v>
      </c>
      <c r="G732">
        <v>-6</v>
      </c>
    </row>
    <row r="733" spans="1:7" x14ac:dyDescent="0.35">
      <c r="A733">
        <v>1002105</v>
      </c>
      <c r="B733" s="2">
        <v>46147</v>
      </c>
      <c r="C733" s="2">
        <v>46164</v>
      </c>
      <c r="D733">
        <v>17</v>
      </c>
      <c r="E733" t="s">
        <v>52</v>
      </c>
      <c r="F733" t="s">
        <v>53</v>
      </c>
      <c r="G733">
        <v>1</v>
      </c>
    </row>
    <row r="734" spans="1:7" x14ac:dyDescent="0.35">
      <c r="A734">
        <v>1002105</v>
      </c>
      <c r="B734" s="2">
        <v>46147</v>
      </c>
      <c r="C734" s="2">
        <v>46164</v>
      </c>
      <c r="D734">
        <v>17</v>
      </c>
      <c r="E734" t="s">
        <v>52</v>
      </c>
      <c r="F734" t="s">
        <v>53</v>
      </c>
      <c r="G734">
        <v>5</v>
      </c>
    </row>
    <row r="735" spans="1:7" x14ac:dyDescent="0.35">
      <c r="A735">
        <v>1002105</v>
      </c>
      <c r="B735" s="2">
        <v>46147</v>
      </c>
      <c r="C735" s="2">
        <v>46171</v>
      </c>
      <c r="D735">
        <v>24</v>
      </c>
      <c r="E735" t="s">
        <v>135</v>
      </c>
      <c r="F735" t="s">
        <v>51</v>
      </c>
      <c r="G735">
        <v>5</v>
      </c>
    </row>
    <row r="736" spans="1:7" x14ac:dyDescent="0.35">
      <c r="A736">
        <v>1002105</v>
      </c>
      <c r="B736" s="2">
        <v>46147</v>
      </c>
      <c r="C736" s="2">
        <v>46172</v>
      </c>
      <c r="D736">
        <v>25</v>
      </c>
      <c r="E736" t="s">
        <v>138</v>
      </c>
      <c r="F736" t="s">
        <v>139</v>
      </c>
      <c r="G736">
        <v>40</v>
      </c>
    </row>
    <row r="737" spans="1:7" x14ac:dyDescent="0.35">
      <c r="A737">
        <v>1002105</v>
      </c>
      <c r="B737" s="2">
        <v>46147</v>
      </c>
      <c r="C737" s="2">
        <v>46172</v>
      </c>
      <c r="D737">
        <v>25</v>
      </c>
      <c r="E737" t="s">
        <v>52</v>
      </c>
      <c r="F737" t="s">
        <v>53</v>
      </c>
      <c r="G737">
        <v>10</v>
      </c>
    </row>
    <row r="738" spans="1:7" x14ac:dyDescent="0.35">
      <c r="A738">
        <v>1002105</v>
      </c>
      <c r="B738" s="2">
        <v>46147</v>
      </c>
      <c r="C738" s="2">
        <v>46172</v>
      </c>
      <c r="D738">
        <v>25</v>
      </c>
      <c r="E738" t="s">
        <v>134</v>
      </c>
      <c r="F738" t="s">
        <v>49</v>
      </c>
      <c r="G738">
        <v>40</v>
      </c>
    </row>
    <row r="739" spans="1:7" x14ac:dyDescent="0.35">
      <c r="A739">
        <v>1002105</v>
      </c>
      <c r="B739" s="2">
        <v>46147</v>
      </c>
      <c r="C739" s="2">
        <v>46172</v>
      </c>
      <c r="D739">
        <v>25</v>
      </c>
      <c r="E739" t="s">
        <v>135</v>
      </c>
      <c r="F739" t="s">
        <v>51</v>
      </c>
      <c r="G739">
        <v>10</v>
      </c>
    </row>
    <row r="740" spans="1:7" x14ac:dyDescent="0.35">
      <c r="A740">
        <v>1002105</v>
      </c>
      <c r="B740" s="2">
        <v>46147</v>
      </c>
      <c r="C740" s="2">
        <v>46172</v>
      </c>
      <c r="D740">
        <v>25</v>
      </c>
      <c r="E740" t="s">
        <v>134</v>
      </c>
      <c r="F740" t="s">
        <v>49</v>
      </c>
      <c r="G740">
        <v>5</v>
      </c>
    </row>
    <row r="741" spans="1:7" x14ac:dyDescent="0.35">
      <c r="A741">
        <v>1002105</v>
      </c>
      <c r="B741" s="2">
        <v>46147</v>
      </c>
      <c r="C741" s="2">
        <v>46172</v>
      </c>
      <c r="D741">
        <v>25</v>
      </c>
      <c r="E741" t="s">
        <v>138</v>
      </c>
      <c r="F741" t="s">
        <v>139</v>
      </c>
      <c r="G741">
        <v>5</v>
      </c>
    </row>
    <row r="742" spans="1:7" x14ac:dyDescent="0.35">
      <c r="A742">
        <v>1002105</v>
      </c>
      <c r="B742" s="2">
        <v>46147</v>
      </c>
      <c r="C742" s="2">
        <v>46172</v>
      </c>
      <c r="D742">
        <v>25</v>
      </c>
      <c r="E742" t="s">
        <v>52</v>
      </c>
      <c r="F742" t="s">
        <v>53</v>
      </c>
      <c r="G742">
        <v>5</v>
      </c>
    </row>
    <row r="743" spans="1:7" x14ac:dyDescent="0.35">
      <c r="A743">
        <v>1002105</v>
      </c>
      <c r="B743" s="2">
        <v>46147</v>
      </c>
      <c r="C743" s="2">
        <v>46175</v>
      </c>
      <c r="D743">
        <v>28</v>
      </c>
      <c r="E743" t="s">
        <v>134</v>
      </c>
      <c r="F743" t="s">
        <v>49</v>
      </c>
      <c r="G743">
        <v>-5</v>
      </c>
    </row>
    <row r="744" spans="1:7" x14ac:dyDescent="0.35">
      <c r="A744">
        <v>1002105</v>
      </c>
      <c r="B744" s="2">
        <v>46147</v>
      </c>
      <c r="C744" s="2">
        <v>46175</v>
      </c>
      <c r="D744">
        <v>28</v>
      </c>
      <c r="E744" t="s">
        <v>327</v>
      </c>
      <c r="F744" t="s">
        <v>328</v>
      </c>
      <c r="G744">
        <v>-1</v>
      </c>
    </row>
    <row r="745" spans="1:7" x14ac:dyDescent="0.35">
      <c r="A745">
        <v>1002109</v>
      </c>
      <c r="B745" s="2">
        <v>46148</v>
      </c>
      <c r="C745" s="2">
        <v>46153</v>
      </c>
      <c r="D745">
        <v>5</v>
      </c>
      <c r="E745" t="s">
        <v>135</v>
      </c>
      <c r="F745" t="s">
        <v>51</v>
      </c>
      <c r="G745">
        <v>1</v>
      </c>
    </row>
    <row r="746" spans="1:7" x14ac:dyDescent="0.35">
      <c r="A746">
        <v>1002109</v>
      </c>
      <c r="B746" s="2">
        <v>46148</v>
      </c>
      <c r="C746" s="2">
        <v>46153</v>
      </c>
      <c r="D746">
        <v>5</v>
      </c>
      <c r="E746" t="s">
        <v>329</v>
      </c>
      <c r="F746" t="s">
        <v>326</v>
      </c>
      <c r="G746">
        <v>1</v>
      </c>
    </row>
    <row r="747" spans="1:7" x14ac:dyDescent="0.35">
      <c r="A747">
        <v>1002109</v>
      </c>
      <c r="B747" s="2">
        <v>46148</v>
      </c>
      <c r="C747" s="2">
        <v>46153</v>
      </c>
      <c r="D747">
        <v>5</v>
      </c>
      <c r="E747" t="s">
        <v>135</v>
      </c>
      <c r="F747" t="s">
        <v>51</v>
      </c>
      <c r="G747">
        <v>1</v>
      </c>
    </row>
    <row r="748" spans="1:7" x14ac:dyDescent="0.35">
      <c r="A748">
        <v>1002109</v>
      </c>
      <c r="B748" s="2">
        <v>46148</v>
      </c>
      <c r="C748" s="2">
        <v>46153</v>
      </c>
      <c r="D748">
        <v>5</v>
      </c>
      <c r="E748" t="s">
        <v>52</v>
      </c>
      <c r="F748" t="s">
        <v>53</v>
      </c>
      <c r="G748">
        <v>1</v>
      </c>
    </row>
    <row r="749" spans="1:7" x14ac:dyDescent="0.35">
      <c r="A749">
        <v>1002109</v>
      </c>
      <c r="B749" s="2">
        <v>46148</v>
      </c>
      <c r="C749" s="2">
        <v>46153</v>
      </c>
      <c r="D749">
        <v>5</v>
      </c>
      <c r="E749" t="s">
        <v>135</v>
      </c>
      <c r="F749" t="s">
        <v>51</v>
      </c>
      <c r="G749">
        <v>1</v>
      </c>
    </row>
    <row r="750" spans="1:7" x14ac:dyDescent="0.35">
      <c r="A750">
        <v>1002109</v>
      </c>
      <c r="B750" s="2">
        <v>46148</v>
      </c>
      <c r="C750" s="2">
        <v>46153</v>
      </c>
      <c r="D750">
        <v>5</v>
      </c>
      <c r="E750" t="s">
        <v>52</v>
      </c>
      <c r="F750" t="s">
        <v>53</v>
      </c>
      <c r="G750">
        <v>2</v>
      </c>
    </row>
    <row r="751" spans="1:7" x14ac:dyDescent="0.35">
      <c r="A751">
        <v>1002109</v>
      </c>
      <c r="B751" s="2">
        <v>46148</v>
      </c>
      <c r="C751" s="2">
        <v>46171</v>
      </c>
      <c r="D751">
        <v>23</v>
      </c>
      <c r="E751" t="s">
        <v>50</v>
      </c>
      <c r="F751" t="s">
        <v>51</v>
      </c>
      <c r="G751">
        <v>3</v>
      </c>
    </row>
    <row r="752" spans="1:7" x14ac:dyDescent="0.35">
      <c r="A752">
        <v>1002109</v>
      </c>
      <c r="B752" s="2">
        <v>46148</v>
      </c>
      <c r="C752" s="2">
        <v>46171</v>
      </c>
      <c r="D752">
        <v>23</v>
      </c>
      <c r="E752" t="s">
        <v>330</v>
      </c>
      <c r="F752" t="s">
        <v>326</v>
      </c>
      <c r="G752">
        <v>2</v>
      </c>
    </row>
    <row r="753" spans="1:7" x14ac:dyDescent="0.35">
      <c r="A753">
        <v>1002109</v>
      </c>
      <c r="B753" s="2">
        <v>46148</v>
      </c>
      <c r="C753" s="2">
        <v>46171</v>
      </c>
      <c r="D753">
        <v>23</v>
      </c>
      <c r="E753" t="s">
        <v>52</v>
      </c>
      <c r="F753" t="s">
        <v>53</v>
      </c>
      <c r="G753">
        <v>2</v>
      </c>
    </row>
    <row r="754" spans="1:7" x14ac:dyDescent="0.35">
      <c r="A754">
        <v>1002125</v>
      </c>
      <c r="B754" s="2">
        <v>46151</v>
      </c>
      <c r="C754" s="2">
        <v>46156</v>
      </c>
      <c r="D754">
        <v>5</v>
      </c>
      <c r="E754" t="s">
        <v>134</v>
      </c>
      <c r="F754" t="s">
        <v>49</v>
      </c>
      <c r="G754">
        <v>3</v>
      </c>
    </row>
    <row r="755" spans="1:7" x14ac:dyDescent="0.35">
      <c r="A755">
        <v>1002125</v>
      </c>
      <c r="B755" s="2">
        <v>46151</v>
      </c>
      <c r="C755" s="2">
        <v>46156</v>
      </c>
      <c r="D755">
        <v>5</v>
      </c>
      <c r="E755" t="s">
        <v>135</v>
      </c>
      <c r="F755" t="s">
        <v>51</v>
      </c>
      <c r="G755">
        <v>3</v>
      </c>
    </row>
    <row r="756" spans="1:7" x14ac:dyDescent="0.35">
      <c r="A756">
        <v>1002129</v>
      </c>
      <c r="B756" s="2">
        <v>46153</v>
      </c>
      <c r="C756" s="2">
        <v>46155</v>
      </c>
      <c r="D756">
        <v>2</v>
      </c>
      <c r="E756" t="s">
        <v>90</v>
      </c>
      <c r="F756" t="s">
        <v>35</v>
      </c>
      <c r="G756">
        <v>6</v>
      </c>
    </row>
    <row r="757" spans="1:7" x14ac:dyDescent="0.35">
      <c r="A757">
        <v>1002129</v>
      </c>
      <c r="B757" s="2">
        <v>46153</v>
      </c>
      <c r="C757" s="2">
        <v>46155</v>
      </c>
      <c r="D757">
        <v>2</v>
      </c>
      <c r="E757" t="s">
        <v>331</v>
      </c>
      <c r="F757" t="s">
        <v>332</v>
      </c>
      <c r="G757">
        <v>6</v>
      </c>
    </row>
    <row r="758" spans="1:7" x14ac:dyDescent="0.35">
      <c r="A758">
        <v>1002129</v>
      </c>
      <c r="B758" s="2">
        <v>46153</v>
      </c>
      <c r="C758" s="2">
        <v>46155</v>
      </c>
      <c r="D758">
        <v>2</v>
      </c>
      <c r="E758" t="s">
        <v>333</v>
      </c>
      <c r="F758" t="s">
        <v>334</v>
      </c>
      <c r="G758">
        <v>6</v>
      </c>
    </row>
    <row r="759" spans="1:7" x14ac:dyDescent="0.35">
      <c r="A759">
        <v>1002129</v>
      </c>
      <c r="B759" s="2">
        <v>46153</v>
      </c>
      <c r="C759" s="2">
        <v>46155</v>
      </c>
      <c r="D759">
        <v>2</v>
      </c>
      <c r="E759" t="s">
        <v>147</v>
      </c>
      <c r="F759" t="s">
        <v>39</v>
      </c>
      <c r="G759">
        <v>6</v>
      </c>
    </row>
    <row r="760" spans="1:7" x14ac:dyDescent="0.35">
      <c r="A760">
        <v>1002134</v>
      </c>
      <c r="B760" s="2">
        <v>46154</v>
      </c>
      <c r="C760" s="2">
        <v>46172</v>
      </c>
      <c r="D760">
        <v>18</v>
      </c>
      <c r="E760" t="s">
        <v>42</v>
      </c>
      <c r="F760" t="s">
        <v>43</v>
      </c>
      <c r="G760">
        <v>3</v>
      </c>
    </row>
    <row r="761" spans="1:7" x14ac:dyDescent="0.35">
      <c r="A761">
        <v>1002134</v>
      </c>
      <c r="B761" s="2">
        <v>46154</v>
      </c>
      <c r="C761" s="2">
        <v>46172</v>
      </c>
      <c r="D761">
        <v>18</v>
      </c>
      <c r="E761" t="s">
        <v>59</v>
      </c>
      <c r="F761" t="s">
        <v>60</v>
      </c>
      <c r="G761">
        <v>3</v>
      </c>
    </row>
    <row r="762" spans="1:7" x14ac:dyDescent="0.35">
      <c r="A762">
        <v>1002134</v>
      </c>
      <c r="B762" s="2">
        <v>46154</v>
      </c>
      <c r="C762" s="2">
        <v>46172</v>
      </c>
      <c r="D762">
        <v>18</v>
      </c>
      <c r="E762" t="s">
        <v>233</v>
      </c>
      <c r="F762" t="s">
        <v>188</v>
      </c>
      <c r="G762">
        <v>3</v>
      </c>
    </row>
    <row r="763" spans="1:7" x14ac:dyDescent="0.35">
      <c r="A763">
        <v>1002134</v>
      </c>
      <c r="B763" s="2">
        <v>46154</v>
      </c>
      <c r="C763" s="2">
        <v>46172</v>
      </c>
      <c r="D763">
        <v>18</v>
      </c>
      <c r="E763" t="s">
        <v>44</v>
      </c>
      <c r="F763" t="s">
        <v>45</v>
      </c>
      <c r="G763">
        <v>3</v>
      </c>
    </row>
    <row r="764" spans="1:7" x14ac:dyDescent="0.35">
      <c r="A764">
        <v>1002134</v>
      </c>
      <c r="B764" s="2">
        <v>46154</v>
      </c>
      <c r="C764" s="2">
        <v>46172</v>
      </c>
      <c r="D764">
        <v>18</v>
      </c>
      <c r="E764" t="s">
        <v>335</v>
      </c>
      <c r="F764" t="s">
        <v>67</v>
      </c>
      <c r="G764">
        <v>3</v>
      </c>
    </row>
    <row r="765" spans="1:7" x14ac:dyDescent="0.35">
      <c r="A765">
        <v>1002134</v>
      </c>
      <c r="B765" s="2">
        <v>46154</v>
      </c>
      <c r="C765" s="2">
        <v>46172</v>
      </c>
      <c r="D765">
        <v>18</v>
      </c>
      <c r="E765" t="s">
        <v>46</v>
      </c>
      <c r="F765" t="s">
        <v>47</v>
      </c>
      <c r="G765">
        <v>3</v>
      </c>
    </row>
    <row r="766" spans="1:7" x14ac:dyDescent="0.35">
      <c r="A766">
        <v>1002134</v>
      </c>
      <c r="B766" s="2">
        <v>46154</v>
      </c>
      <c r="C766" s="2">
        <v>46172</v>
      </c>
      <c r="D766">
        <v>18</v>
      </c>
      <c r="E766" t="s">
        <v>74</v>
      </c>
      <c r="F766" t="s">
        <v>47</v>
      </c>
      <c r="G766">
        <v>3</v>
      </c>
    </row>
    <row r="767" spans="1:7" x14ac:dyDescent="0.35">
      <c r="A767">
        <v>1002134</v>
      </c>
      <c r="B767" s="2">
        <v>46154</v>
      </c>
      <c r="C767" s="2">
        <v>46172</v>
      </c>
      <c r="D767">
        <v>18</v>
      </c>
      <c r="E767" t="s">
        <v>336</v>
      </c>
      <c r="F767" t="s">
        <v>127</v>
      </c>
      <c r="G767">
        <v>3</v>
      </c>
    </row>
    <row r="768" spans="1:7" x14ac:dyDescent="0.35">
      <c r="A768">
        <v>1002136</v>
      </c>
      <c r="B768" s="2">
        <v>46154</v>
      </c>
      <c r="C768" s="2">
        <v>46163</v>
      </c>
      <c r="D768">
        <v>9</v>
      </c>
      <c r="E768" t="s">
        <v>90</v>
      </c>
      <c r="F768" t="s">
        <v>35</v>
      </c>
      <c r="G768">
        <v>3</v>
      </c>
    </row>
    <row r="769" spans="1:7" x14ac:dyDescent="0.35">
      <c r="A769">
        <v>1002136</v>
      </c>
      <c r="B769" s="2">
        <v>46154</v>
      </c>
      <c r="C769" s="2">
        <v>46163</v>
      </c>
      <c r="D769">
        <v>9</v>
      </c>
      <c r="E769" t="s">
        <v>34</v>
      </c>
      <c r="F769" t="s">
        <v>35</v>
      </c>
      <c r="G769">
        <v>3</v>
      </c>
    </row>
    <row r="770" spans="1:7" x14ac:dyDescent="0.35">
      <c r="A770">
        <v>1002136</v>
      </c>
      <c r="B770" s="2">
        <v>46154</v>
      </c>
      <c r="C770" s="2">
        <v>46163</v>
      </c>
      <c r="D770">
        <v>9</v>
      </c>
      <c r="E770" t="s">
        <v>257</v>
      </c>
      <c r="F770" t="s">
        <v>35</v>
      </c>
      <c r="G770">
        <v>6</v>
      </c>
    </row>
    <row r="771" spans="1:7" x14ac:dyDescent="0.35">
      <c r="A771">
        <v>1002136</v>
      </c>
      <c r="B771" s="2">
        <v>46154</v>
      </c>
      <c r="C771" s="2">
        <v>46163</v>
      </c>
      <c r="D771">
        <v>9</v>
      </c>
      <c r="E771" t="s">
        <v>147</v>
      </c>
      <c r="F771" t="s">
        <v>39</v>
      </c>
      <c r="G771">
        <v>3</v>
      </c>
    </row>
    <row r="772" spans="1:7" x14ac:dyDescent="0.35">
      <c r="A772">
        <v>1002136</v>
      </c>
      <c r="B772" s="2">
        <v>46154</v>
      </c>
      <c r="C772" s="2">
        <v>46163</v>
      </c>
      <c r="D772">
        <v>9</v>
      </c>
      <c r="E772" t="s">
        <v>38</v>
      </c>
      <c r="F772" t="s">
        <v>39</v>
      </c>
      <c r="G772">
        <v>3</v>
      </c>
    </row>
    <row r="773" spans="1:7" x14ac:dyDescent="0.35">
      <c r="A773">
        <v>1002136</v>
      </c>
      <c r="B773" s="2">
        <v>46154</v>
      </c>
      <c r="C773" s="2">
        <v>46163</v>
      </c>
      <c r="D773">
        <v>9</v>
      </c>
      <c r="E773" t="s">
        <v>145</v>
      </c>
      <c r="F773" t="s">
        <v>39</v>
      </c>
      <c r="G773">
        <v>6</v>
      </c>
    </row>
    <row r="774" spans="1:7" x14ac:dyDescent="0.35">
      <c r="A774">
        <v>1002136</v>
      </c>
      <c r="B774" s="2">
        <v>46154</v>
      </c>
      <c r="C774" s="2">
        <v>46171</v>
      </c>
      <c r="D774">
        <v>17</v>
      </c>
      <c r="E774" t="s">
        <v>135</v>
      </c>
      <c r="F774" t="s">
        <v>51</v>
      </c>
      <c r="G774">
        <v>2</v>
      </c>
    </row>
    <row r="775" spans="1:7" x14ac:dyDescent="0.35">
      <c r="A775">
        <v>1002136</v>
      </c>
      <c r="B775" s="2">
        <v>46154</v>
      </c>
      <c r="C775" s="2">
        <v>46172</v>
      </c>
      <c r="D775">
        <v>18</v>
      </c>
      <c r="E775" t="s">
        <v>134</v>
      </c>
      <c r="F775" t="s">
        <v>49</v>
      </c>
      <c r="G775">
        <v>1</v>
      </c>
    </row>
    <row r="776" spans="1:7" x14ac:dyDescent="0.35">
      <c r="A776">
        <v>1002136</v>
      </c>
      <c r="B776" s="2">
        <v>46154</v>
      </c>
      <c r="C776" s="2">
        <v>46172</v>
      </c>
      <c r="D776">
        <v>18</v>
      </c>
      <c r="E776" t="s">
        <v>134</v>
      </c>
      <c r="F776" t="s">
        <v>49</v>
      </c>
      <c r="G776">
        <v>3</v>
      </c>
    </row>
    <row r="777" spans="1:7" x14ac:dyDescent="0.35">
      <c r="A777">
        <v>1002136</v>
      </c>
      <c r="B777" s="2">
        <v>46154</v>
      </c>
      <c r="C777" s="2">
        <v>46172</v>
      </c>
      <c r="D777">
        <v>18</v>
      </c>
      <c r="E777" t="s">
        <v>138</v>
      </c>
      <c r="F777" t="s">
        <v>139</v>
      </c>
      <c r="G777">
        <v>2</v>
      </c>
    </row>
    <row r="778" spans="1:7" x14ac:dyDescent="0.35">
      <c r="A778">
        <v>1002136</v>
      </c>
      <c r="B778" s="2">
        <v>46154</v>
      </c>
      <c r="C778" s="2">
        <v>46172</v>
      </c>
      <c r="D778">
        <v>18</v>
      </c>
      <c r="E778" t="s">
        <v>120</v>
      </c>
      <c r="F778" t="s">
        <v>115</v>
      </c>
      <c r="G778">
        <v>4</v>
      </c>
    </row>
    <row r="779" spans="1:7" x14ac:dyDescent="0.35">
      <c r="A779">
        <v>1002136</v>
      </c>
      <c r="B779" s="2">
        <v>46154</v>
      </c>
      <c r="C779" s="2">
        <v>46181</v>
      </c>
      <c r="D779">
        <v>27</v>
      </c>
      <c r="E779" t="s">
        <v>114</v>
      </c>
      <c r="F779" t="s">
        <v>115</v>
      </c>
      <c r="G779">
        <v>4</v>
      </c>
    </row>
    <row r="780" spans="1:7" x14ac:dyDescent="0.35">
      <c r="A780">
        <v>1002146</v>
      </c>
      <c r="B780" s="2">
        <v>46154</v>
      </c>
      <c r="C780" s="2">
        <v>46155</v>
      </c>
      <c r="D780">
        <v>1</v>
      </c>
      <c r="E780" t="s">
        <v>42</v>
      </c>
      <c r="F780" t="s">
        <v>43</v>
      </c>
      <c r="G780">
        <v>6</v>
      </c>
    </row>
    <row r="781" spans="1:7" x14ac:dyDescent="0.35">
      <c r="A781">
        <v>1002146</v>
      </c>
      <c r="B781" s="2">
        <v>46154</v>
      </c>
      <c r="C781" s="2">
        <v>46155</v>
      </c>
      <c r="D781">
        <v>1</v>
      </c>
      <c r="E781" t="s">
        <v>79</v>
      </c>
      <c r="F781" t="s">
        <v>60</v>
      </c>
      <c r="G781">
        <v>6</v>
      </c>
    </row>
    <row r="782" spans="1:7" x14ac:dyDescent="0.35">
      <c r="A782">
        <v>1002146</v>
      </c>
      <c r="B782" s="2">
        <v>46154</v>
      </c>
      <c r="C782" s="2">
        <v>46155</v>
      </c>
      <c r="D782">
        <v>1</v>
      </c>
      <c r="E782" t="s">
        <v>133</v>
      </c>
      <c r="F782" t="s">
        <v>47</v>
      </c>
      <c r="G782">
        <v>6</v>
      </c>
    </row>
    <row r="783" spans="1:7" x14ac:dyDescent="0.35">
      <c r="A783">
        <v>1002146</v>
      </c>
      <c r="B783" s="2">
        <v>46154</v>
      </c>
      <c r="C783" s="2">
        <v>46155</v>
      </c>
      <c r="D783">
        <v>1</v>
      </c>
      <c r="E783" t="s">
        <v>103</v>
      </c>
      <c r="F783" t="s">
        <v>94</v>
      </c>
      <c r="G783">
        <v>4</v>
      </c>
    </row>
    <row r="784" spans="1:7" x14ac:dyDescent="0.35">
      <c r="A784">
        <v>1002146</v>
      </c>
      <c r="B784" s="2">
        <v>46154</v>
      </c>
      <c r="C784" s="2">
        <v>46155</v>
      </c>
      <c r="D784">
        <v>1</v>
      </c>
      <c r="E784" t="s">
        <v>330</v>
      </c>
      <c r="F784" t="s">
        <v>326</v>
      </c>
      <c r="G784">
        <v>4</v>
      </c>
    </row>
    <row r="785" spans="1:7" x14ac:dyDescent="0.35">
      <c r="A785">
        <v>1002148</v>
      </c>
      <c r="B785" s="2">
        <v>46154</v>
      </c>
      <c r="C785" s="2">
        <v>46162</v>
      </c>
      <c r="D785">
        <v>8</v>
      </c>
      <c r="E785" t="s">
        <v>337</v>
      </c>
      <c r="F785" t="s">
        <v>143</v>
      </c>
      <c r="G785">
        <v>6</v>
      </c>
    </row>
    <row r="786" spans="1:7" x14ac:dyDescent="0.35">
      <c r="A786">
        <v>1002148</v>
      </c>
      <c r="B786" s="2">
        <v>46154</v>
      </c>
      <c r="C786" s="2">
        <v>46162</v>
      </c>
      <c r="D786">
        <v>8</v>
      </c>
      <c r="E786" t="s">
        <v>123</v>
      </c>
      <c r="F786" t="s">
        <v>35</v>
      </c>
      <c r="G786">
        <v>2</v>
      </c>
    </row>
    <row r="787" spans="1:7" x14ac:dyDescent="0.35">
      <c r="A787">
        <v>1002148</v>
      </c>
      <c r="B787" s="2">
        <v>46154</v>
      </c>
      <c r="C787" s="2">
        <v>46162</v>
      </c>
      <c r="D787">
        <v>8</v>
      </c>
      <c r="E787" t="s">
        <v>89</v>
      </c>
      <c r="F787" t="s">
        <v>39</v>
      </c>
      <c r="G787">
        <v>2</v>
      </c>
    </row>
    <row r="788" spans="1:7" x14ac:dyDescent="0.35">
      <c r="A788">
        <v>1002148</v>
      </c>
      <c r="B788" s="2">
        <v>46154</v>
      </c>
      <c r="C788" s="2">
        <v>46162</v>
      </c>
      <c r="D788">
        <v>8</v>
      </c>
      <c r="E788" t="s">
        <v>329</v>
      </c>
      <c r="F788" t="s">
        <v>326</v>
      </c>
      <c r="G788">
        <v>4</v>
      </c>
    </row>
    <row r="789" spans="1:7" x14ac:dyDescent="0.35">
      <c r="A789">
        <v>1002148</v>
      </c>
      <c r="B789" s="2">
        <v>46154</v>
      </c>
      <c r="C789" s="2">
        <v>46162</v>
      </c>
      <c r="D789">
        <v>8</v>
      </c>
      <c r="E789" t="s">
        <v>323</v>
      </c>
      <c r="F789" t="s">
        <v>264</v>
      </c>
      <c r="G789">
        <v>1</v>
      </c>
    </row>
    <row r="790" spans="1:7" x14ac:dyDescent="0.35">
      <c r="A790">
        <v>1002148</v>
      </c>
      <c r="B790" s="2">
        <v>46154</v>
      </c>
      <c r="C790" s="2">
        <v>46169</v>
      </c>
      <c r="D790">
        <v>15</v>
      </c>
      <c r="E790" t="s">
        <v>229</v>
      </c>
      <c r="F790" t="s">
        <v>230</v>
      </c>
      <c r="G790">
        <v>0</v>
      </c>
    </row>
    <row r="791" spans="1:7" x14ac:dyDescent="0.35">
      <c r="A791">
        <v>1002150</v>
      </c>
      <c r="B791" s="2">
        <v>46154</v>
      </c>
      <c r="C791" s="2">
        <v>46162</v>
      </c>
      <c r="D791">
        <v>8</v>
      </c>
      <c r="E791" t="s">
        <v>42</v>
      </c>
      <c r="F791" t="s">
        <v>43</v>
      </c>
      <c r="G791">
        <v>6</v>
      </c>
    </row>
    <row r="792" spans="1:7" x14ac:dyDescent="0.35">
      <c r="A792">
        <v>1002150</v>
      </c>
      <c r="B792" s="2">
        <v>46154</v>
      </c>
      <c r="C792" s="2">
        <v>46162</v>
      </c>
      <c r="D792">
        <v>8</v>
      </c>
      <c r="E792" t="s">
        <v>79</v>
      </c>
      <c r="F792" t="s">
        <v>60</v>
      </c>
      <c r="G792">
        <v>12</v>
      </c>
    </row>
    <row r="793" spans="1:7" x14ac:dyDescent="0.35">
      <c r="A793">
        <v>1002150</v>
      </c>
      <c r="B793" s="2">
        <v>46154</v>
      </c>
      <c r="C793" s="2">
        <v>46162</v>
      </c>
      <c r="D793">
        <v>8</v>
      </c>
      <c r="E793" t="s">
        <v>133</v>
      </c>
      <c r="F793" t="s">
        <v>47</v>
      </c>
      <c r="G793">
        <v>12</v>
      </c>
    </row>
    <row r="794" spans="1:7" x14ac:dyDescent="0.35">
      <c r="A794">
        <v>1002150</v>
      </c>
      <c r="B794" s="2">
        <v>46154</v>
      </c>
      <c r="C794" s="2">
        <v>46162</v>
      </c>
      <c r="D794">
        <v>8</v>
      </c>
      <c r="E794" t="s">
        <v>42</v>
      </c>
      <c r="F794" t="s">
        <v>43</v>
      </c>
      <c r="G794">
        <v>6</v>
      </c>
    </row>
    <row r="795" spans="1:7" x14ac:dyDescent="0.35">
      <c r="A795">
        <v>1002150</v>
      </c>
      <c r="B795" s="2">
        <v>46154</v>
      </c>
      <c r="C795" s="2">
        <v>46162</v>
      </c>
      <c r="D795">
        <v>8</v>
      </c>
      <c r="E795" t="s">
        <v>79</v>
      </c>
      <c r="F795" t="s">
        <v>60</v>
      </c>
      <c r="G795">
        <v>12</v>
      </c>
    </row>
    <row r="796" spans="1:7" x14ac:dyDescent="0.35">
      <c r="A796">
        <v>1002150</v>
      </c>
      <c r="B796" s="2">
        <v>46154</v>
      </c>
      <c r="C796" s="2">
        <v>46162</v>
      </c>
      <c r="D796">
        <v>8</v>
      </c>
      <c r="E796" t="s">
        <v>68</v>
      </c>
      <c r="F796" t="s">
        <v>69</v>
      </c>
      <c r="G796">
        <v>6</v>
      </c>
    </row>
    <row r="797" spans="1:7" x14ac:dyDescent="0.35">
      <c r="A797">
        <v>1002150</v>
      </c>
      <c r="B797" s="2">
        <v>46154</v>
      </c>
      <c r="C797" s="2">
        <v>46162</v>
      </c>
      <c r="D797">
        <v>8</v>
      </c>
      <c r="E797" t="s">
        <v>46</v>
      </c>
      <c r="F797" t="s">
        <v>47</v>
      </c>
      <c r="G797">
        <v>6</v>
      </c>
    </row>
    <row r="798" spans="1:7" x14ac:dyDescent="0.35">
      <c r="A798">
        <v>1002150</v>
      </c>
      <c r="B798" s="2">
        <v>46154</v>
      </c>
      <c r="C798" s="2">
        <v>46162</v>
      </c>
      <c r="D798">
        <v>8</v>
      </c>
      <c r="E798" t="s">
        <v>133</v>
      </c>
      <c r="F798" t="s">
        <v>47</v>
      </c>
      <c r="G798">
        <v>12</v>
      </c>
    </row>
    <row r="799" spans="1:7" x14ac:dyDescent="0.35">
      <c r="A799">
        <v>1002150</v>
      </c>
      <c r="B799" s="2">
        <v>46154</v>
      </c>
      <c r="C799" s="2">
        <v>46162</v>
      </c>
      <c r="D799">
        <v>8</v>
      </c>
      <c r="E799" t="s">
        <v>330</v>
      </c>
      <c r="F799" t="s">
        <v>326</v>
      </c>
      <c r="G799">
        <v>2</v>
      </c>
    </row>
    <row r="800" spans="1:7" x14ac:dyDescent="0.35">
      <c r="A800">
        <v>1002150</v>
      </c>
      <c r="B800" s="2">
        <v>46154</v>
      </c>
      <c r="C800" s="2">
        <v>46162</v>
      </c>
      <c r="D800">
        <v>8</v>
      </c>
      <c r="E800" t="s">
        <v>325</v>
      </c>
      <c r="F800" t="s">
        <v>326</v>
      </c>
      <c r="G800">
        <v>6</v>
      </c>
    </row>
    <row r="801" spans="1:7" x14ac:dyDescent="0.35">
      <c r="A801">
        <v>1002150</v>
      </c>
      <c r="B801" s="2">
        <v>46154</v>
      </c>
      <c r="C801" s="2">
        <v>46169</v>
      </c>
      <c r="D801">
        <v>15</v>
      </c>
      <c r="E801" t="s">
        <v>42</v>
      </c>
      <c r="F801" t="s">
        <v>43</v>
      </c>
      <c r="G801">
        <v>-6</v>
      </c>
    </row>
    <row r="802" spans="1:7" x14ac:dyDescent="0.35">
      <c r="A802">
        <v>1002150</v>
      </c>
      <c r="B802" s="2">
        <v>46154</v>
      </c>
      <c r="C802" s="2">
        <v>46169</v>
      </c>
      <c r="D802">
        <v>15</v>
      </c>
      <c r="E802" t="s">
        <v>79</v>
      </c>
      <c r="F802" t="s">
        <v>60</v>
      </c>
      <c r="G802">
        <v>-12</v>
      </c>
    </row>
    <row r="803" spans="1:7" x14ac:dyDescent="0.35">
      <c r="A803">
        <v>1002150</v>
      </c>
      <c r="B803" s="2">
        <v>46154</v>
      </c>
      <c r="C803" s="2">
        <v>46169</v>
      </c>
      <c r="D803">
        <v>15</v>
      </c>
      <c r="E803" t="s">
        <v>133</v>
      </c>
      <c r="F803" t="s">
        <v>47</v>
      </c>
      <c r="G803">
        <v>-12</v>
      </c>
    </row>
    <row r="804" spans="1:7" x14ac:dyDescent="0.35">
      <c r="A804">
        <v>1002154</v>
      </c>
      <c r="B804" s="2">
        <v>46156</v>
      </c>
      <c r="C804" s="2">
        <v>46163</v>
      </c>
      <c r="D804">
        <v>7</v>
      </c>
      <c r="E804" t="s">
        <v>338</v>
      </c>
      <c r="F804" t="s">
        <v>339</v>
      </c>
      <c r="G804">
        <v>1</v>
      </c>
    </row>
    <row r="805" spans="1:7" x14ac:dyDescent="0.35">
      <c r="A805">
        <v>1002154</v>
      </c>
      <c r="B805" s="2">
        <v>46156</v>
      </c>
      <c r="C805" s="2">
        <v>46163</v>
      </c>
      <c r="D805">
        <v>7</v>
      </c>
      <c r="E805" t="s">
        <v>134</v>
      </c>
      <c r="F805" t="s">
        <v>49</v>
      </c>
      <c r="G805">
        <v>2</v>
      </c>
    </row>
    <row r="806" spans="1:7" x14ac:dyDescent="0.35">
      <c r="A806">
        <v>1002154</v>
      </c>
      <c r="B806" s="2">
        <v>46156</v>
      </c>
      <c r="C806" s="2">
        <v>46163</v>
      </c>
      <c r="D806">
        <v>7</v>
      </c>
      <c r="E806" t="s">
        <v>340</v>
      </c>
      <c r="F806" t="s">
        <v>341</v>
      </c>
      <c r="G806">
        <v>6</v>
      </c>
    </row>
    <row r="807" spans="1:7" x14ac:dyDescent="0.35">
      <c r="A807">
        <v>1002154</v>
      </c>
      <c r="B807" s="2">
        <v>46156</v>
      </c>
      <c r="C807" s="2">
        <v>46163</v>
      </c>
      <c r="D807">
        <v>7</v>
      </c>
      <c r="E807" t="s">
        <v>342</v>
      </c>
      <c r="F807" t="s">
        <v>343</v>
      </c>
      <c r="G807">
        <v>3</v>
      </c>
    </row>
    <row r="808" spans="1:7" x14ac:dyDescent="0.35">
      <c r="A808">
        <v>1002154</v>
      </c>
      <c r="B808" s="2">
        <v>46156</v>
      </c>
      <c r="C808" s="2">
        <v>46163</v>
      </c>
      <c r="D808">
        <v>7</v>
      </c>
      <c r="E808" t="s">
        <v>344</v>
      </c>
      <c r="F808" t="s">
        <v>345</v>
      </c>
      <c r="G808">
        <v>6</v>
      </c>
    </row>
    <row r="809" spans="1:7" x14ac:dyDescent="0.35">
      <c r="A809">
        <v>1002154</v>
      </c>
      <c r="B809" s="2">
        <v>46156</v>
      </c>
      <c r="C809" s="2">
        <v>46163</v>
      </c>
      <c r="D809">
        <v>7</v>
      </c>
      <c r="E809" t="s">
        <v>207</v>
      </c>
      <c r="F809" t="s">
        <v>109</v>
      </c>
      <c r="G809">
        <v>6</v>
      </c>
    </row>
    <row r="810" spans="1:7" x14ac:dyDescent="0.35">
      <c r="A810">
        <v>1002154</v>
      </c>
      <c r="B810" s="2">
        <v>46156</v>
      </c>
      <c r="C810" s="2">
        <v>46163</v>
      </c>
      <c r="D810">
        <v>7</v>
      </c>
      <c r="E810" t="s">
        <v>346</v>
      </c>
      <c r="F810" t="s">
        <v>339</v>
      </c>
      <c r="G810">
        <v>1</v>
      </c>
    </row>
    <row r="811" spans="1:7" x14ac:dyDescent="0.35">
      <c r="A811">
        <v>1002154</v>
      </c>
      <c r="B811" s="2">
        <v>46156</v>
      </c>
      <c r="C811" s="2">
        <v>46163</v>
      </c>
      <c r="D811">
        <v>7</v>
      </c>
      <c r="E811" t="s">
        <v>261</v>
      </c>
      <c r="F811" t="s">
        <v>262</v>
      </c>
      <c r="G811">
        <v>1</v>
      </c>
    </row>
    <row r="812" spans="1:7" x14ac:dyDescent="0.35">
      <c r="A812">
        <v>1002154</v>
      </c>
      <c r="B812" s="2">
        <v>46156</v>
      </c>
      <c r="C812" s="2">
        <v>46163</v>
      </c>
      <c r="D812">
        <v>7</v>
      </c>
      <c r="E812" t="s">
        <v>347</v>
      </c>
      <c r="F812" t="s">
        <v>348</v>
      </c>
      <c r="G812">
        <v>1</v>
      </c>
    </row>
    <row r="813" spans="1:7" x14ac:dyDescent="0.35">
      <c r="A813">
        <v>1002154</v>
      </c>
      <c r="B813" s="2">
        <v>46156</v>
      </c>
      <c r="C813" s="2">
        <v>46163</v>
      </c>
      <c r="D813">
        <v>7</v>
      </c>
      <c r="E813" t="s">
        <v>336</v>
      </c>
      <c r="F813" t="s">
        <v>127</v>
      </c>
      <c r="G813">
        <v>3</v>
      </c>
    </row>
    <row r="814" spans="1:7" x14ac:dyDescent="0.35">
      <c r="A814">
        <v>1002154</v>
      </c>
      <c r="B814" s="2">
        <v>46156</v>
      </c>
      <c r="C814" s="2">
        <v>46163</v>
      </c>
      <c r="D814">
        <v>7</v>
      </c>
      <c r="E814" t="s">
        <v>349</v>
      </c>
      <c r="F814" t="s">
        <v>111</v>
      </c>
      <c r="G814">
        <v>3</v>
      </c>
    </row>
    <row r="815" spans="1:7" x14ac:dyDescent="0.35">
      <c r="A815">
        <v>1002154</v>
      </c>
      <c r="B815" s="2">
        <v>46156</v>
      </c>
      <c r="C815" s="2">
        <v>46163</v>
      </c>
      <c r="D815">
        <v>7</v>
      </c>
      <c r="E815" t="s">
        <v>318</v>
      </c>
      <c r="F815" t="s">
        <v>113</v>
      </c>
      <c r="G815">
        <v>3</v>
      </c>
    </row>
    <row r="816" spans="1:7" x14ac:dyDescent="0.35">
      <c r="A816">
        <v>1002154</v>
      </c>
      <c r="B816" s="2">
        <v>46156</v>
      </c>
      <c r="C816" s="2">
        <v>46163</v>
      </c>
      <c r="D816">
        <v>7</v>
      </c>
      <c r="E816" t="s">
        <v>48</v>
      </c>
      <c r="F816" t="s">
        <v>49</v>
      </c>
      <c r="G816">
        <v>2</v>
      </c>
    </row>
    <row r="817" spans="1:7" x14ac:dyDescent="0.35">
      <c r="A817">
        <v>1002154</v>
      </c>
      <c r="B817" s="2">
        <v>46156</v>
      </c>
      <c r="C817" s="2">
        <v>46163</v>
      </c>
      <c r="D817">
        <v>7</v>
      </c>
      <c r="E817" t="s">
        <v>350</v>
      </c>
      <c r="F817" t="s">
        <v>351</v>
      </c>
      <c r="G817">
        <v>1</v>
      </c>
    </row>
    <row r="818" spans="1:7" x14ac:dyDescent="0.35">
      <c r="A818">
        <v>1002154</v>
      </c>
      <c r="B818" s="2">
        <v>46156</v>
      </c>
      <c r="C818" s="2">
        <v>46163</v>
      </c>
      <c r="D818">
        <v>7</v>
      </c>
      <c r="E818" t="s">
        <v>352</v>
      </c>
      <c r="F818" t="s">
        <v>351</v>
      </c>
      <c r="G818">
        <v>3</v>
      </c>
    </row>
    <row r="819" spans="1:7" x14ac:dyDescent="0.35">
      <c r="A819">
        <v>1002154</v>
      </c>
      <c r="B819" s="2">
        <v>46156</v>
      </c>
      <c r="C819" s="2">
        <v>46163</v>
      </c>
      <c r="D819">
        <v>7</v>
      </c>
      <c r="E819" t="s">
        <v>353</v>
      </c>
      <c r="F819" t="s">
        <v>183</v>
      </c>
      <c r="G819">
        <v>1</v>
      </c>
    </row>
    <row r="820" spans="1:7" x14ac:dyDescent="0.35">
      <c r="A820">
        <v>1002154</v>
      </c>
      <c r="B820" s="2">
        <v>46156</v>
      </c>
      <c r="C820" s="2">
        <v>46163</v>
      </c>
      <c r="D820">
        <v>7</v>
      </c>
      <c r="E820" t="s">
        <v>248</v>
      </c>
      <c r="F820" t="s">
        <v>183</v>
      </c>
      <c r="G820">
        <v>3</v>
      </c>
    </row>
    <row r="821" spans="1:7" x14ac:dyDescent="0.35">
      <c r="A821">
        <v>1002154</v>
      </c>
      <c r="B821" s="2">
        <v>46156</v>
      </c>
      <c r="C821" s="2">
        <v>46163</v>
      </c>
      <c r="D821">
        <v>7</v>
      </c>
      <c r="E821" t="s">
        <v>123</v>
      </c>
      <c r="F821" t="s">
        <v>35</v>
      </c>
      <c r="G821">
        <v>1</v>
      </c>
    </row>
    <row r="822" spans="1:7" x14ac:dyDescent="0.35">
      <c r="A822">
        <v>1002154</v>
      </c>
      <c r="B822" s="2">
        <v>46156</v>
      </c>
      <c r="C822" s="2">
        <v>46163</v>
      </c>
      <c r="D822">
        <v>7</v>
      </c>
      <c r="E822" t="s">
        <v>90</v>
      </c>
      <c r="F822" t="s">
        <v>35</v>
      </c>
      <c r="G822">
        <v>6</v>
      </c>
    </row>
    <row r="823" spans="1:7" x14ac:dyDescent="0.35">
      <c r="A823">
        <v>1002154</v>
      </c>
      <c r="B823" s="2">
        <v>46156</v>
      </c>
      <c r="C823" s="2">
        <v>46163</v>
      </c>
      <c r="D823">
        <v>7</v>
      </c>
      <c r="E823" t="s">
        <v>34</v>
      </c>
      <c r="F823" t="s">
        <v>35</v>
      </c>
      <c r="G823">
        <v>6</v>
      </c>
    </row>
    <row r="824" spans="1:7" x14ac:dyDescent="0.35">
      <c r="A824">
        <v>1002154</v>
      </c>
      <c r="B824" s="2">
        <v>46156</v>
      </c>
      <c r="C824" s="2">
        <v>46163</v>
      </c>
      <c r="D824">
        <v>7</v>
      </c>
      <c r="E824" t="s">
        <v>89</v>
      </c>
      <c r="F824" t="s">
        <v>39</v>
      </c>
      <c r="G824">
        <v>1</v>
      </c>
    </row>
    <row r="825" spans="1:7" x14ac:dyDescent="0.35">
      <c r="A825">
        <v>1002154</v>
      </c>
      <c r="B825" s="2">
        <v>46156</v>
      </c>
      <c r="C825" s="2">
        <v>46163</v>
      </c>
      <c r="D825">
        <v>7</v>
      </c>
      <c r="E825" t="s">
        <v>147</v>
      </c>
      <c r="F825" t="s">
        <v>39</v>
      </c>
      <c r="G825">
        <v>6</v>
      </c>
    </row>
    <row r="826" spans="1:7" x14ac:dyDescent="0.35">
      <c r="A826">
        <v>1002154</v>
      </c>
      <c r="B826" s="2">
        <v>46156</v>
      </c>
      <c r="C826" s="2">
        <v>46163</v>
      </c>
      <c r="D826">
        <v>7</v>
      </c>
      <c r="E826" t="s">
        <v>38</v>
      </c>
      <c r="F826" t="s">
        <v>39</v>
      </c>
      <c r="G826">
        <v>6</v>
      </c>
    </row>
    <row r="827" spans="1:7" x14ac:dyDescent="0.35">
      <c r="A827">
        <v>1002154</v>
      </c>
      <c r="B827" s="2">
        <v>46156</v>
      </c>
      <c r="C827" s="2">
        <v>46163</v>
      </c>
      <c r="D827">
        <v>7</v>
      </c>
      <c r="E827" t="s">
        <v>329</v>
      </c>
      <c r="F827" t="s">
        <v>326</v>
      </c>
      <c r="G827">
        <v>2</v>
      </c>
    </row>
    <row r="828" spans="1:7" x14ac:dyDescent="0.35">
      <c r="A828">
        <v>1002154</v>
      </c>
      <c r="B828" s="2">
        <v>46156</v>
      </c>
      <c r="C828" s="2">
        <v>46163</v>
      </c>
      <c r="D828">
        <v>7</v>
      </c>
      <c r="E828" t="s">
        <v>330</v>
      </c>
      <c r="F828" t="s">
        <v>326</v>
      </c>
      <c r="G828">
        <v>2</v>
      </c>
    </row>
    <row r="829" spans="1:7" x14ac:dyDescent="0.35">
      <c r="A829">
        <v>1002154</v>
      </c>
      <c r="B829" s="2">
        <v>46156</v>
      </c>
      <c r="C829" s="2">
        <v>46163</v>
      </c>
      <c r="D829">
        <v>7</v>
      </c>
      <c r="E829" t="s">
        <v>323</v>
      </c>
      <c r="F829" t="s">
        <v>264</v>
      </c>
      <c r="G829">
        <v>2</v>
      </c>
    </row>
    <row r="830" spans="1:7" x14ac:dyDescent="0.35">
      <c r="A830">
        <v>1002154</v>
      </c>
      <c r="B830" s="2">
        <v>46156</v>
      </c>
      <c r="C830" s="2">
        <v>46163</v>
      </c>
      <c r="D830">
        <v>7</v>
      </c>
      <c r="E830" t="s">
        <v>263</v>
      </c>
      <c r="F830" t="s">
        <v>264</v>
      </c>
      <c r="G830">
        <v>2</v>
      </c>
    </row>
    <row r="831" spans="1:7" x14ac:dyDescent="0.35">
      <c r="A831">
        <v>1002154</v>
      </c>
      <c r="B831" s="2">
        <v>46156</v>
      </c>
      <c r="C831" s="2">
        <v>46163</v>
      </c>
      <c r="D831">
        <v>7</v>
      </c>
      <c r="E831" t="s">
        <v>280</v>
      </c>
      <c r="F831" t="s">
        <v>264</v>
      </c>
      <c r="G831">
        <v>6</v>
      </c>
    </row>
    <row r="832" spans="1:7" x14ac:dyDescent="0.35">
      <c r="A832">
        <v>1002154</v>
      </c>
      <c r="B832" s="2">
        <v>46156</v>
      </c>
      <c r="C832" s="2">
        <v>46169</v>
      </c>
      <c r="D832">
        <v>13</v>
      </c>
      <c r="E832" t="s">
        <v>354</v>
      </c>
      <c r="F832" t="s">
        <v>355</v>
      </c>
      <c r="G832">
        <v>2</v>
      </c>
    </row>
    <row r="833" spans="1:7" x14ac:dyDescent="0.35">
      <c r="A833">
        <v>1002154</v>
      </c>
      <c r="B833" s="2">
        <v>46156</v>
      </c>
      <c r="C833" s="2">
        <v>46171</v>
      </c>
      <c r="D833">
        <v>15</v>
      </c>
      <c r="E833" t="s">
        <v>103</v>
      </c>
      <c r="F833" t="s">
        <v>94</v>
      </c>
      <c r="G833">
        <v>3</v>
      </c>
    </row>
    <row r="834" spans="1:7" x14ac:dyDescent="0.35">
      <c r="A834">
        <v>1002154</v>
      </c>
      <c r="B834" s="2">
        <v>46156</v>
      </c>
      <c r="C834" s="2">
        <v>46172</v>
      </c>
      <c r="D834">
        <v>16</v>
      </c>
      <c r="E834" t="s">
        <v>356</v>
      </c>
      <c r="F834" t="s">
        <v>355</v>
      </c>
      <c r="G834">
        <v>1</v>
      </c>
    </row>
    <row r="835" spans="1:7" x14ac:dyDescent="0.35">
      <c r="A835">
        <v>1002159</v>
      </c>
      <c r="B835" s="2">
        <v>46157</v>
      </c>
      <c r="C835" s="2">
        <v>46162</v>
      </c>
      <c r="D835">
        <v>5</v>
      </c>
      <c r="E835" t="s">
        <v>337</v>
      </c>
      <c r="F835" t="s">
        <v>143</v>
      </c>
      <c r="G835">
        <v>3</v>
      </c>
    </row>
    <row r="836" spans="1:7" x14ac:dyDescent="0.35">
      <c r="A836">
        <v>1002159</v>
      </c>
      <c r="B836" s="2">
        <v>46157</v>
      </c>
      <c r="C836" s="2">
        <v>46162</v>
      </c>
      <c r="D836">
        <v>5</v>
      </c>
      <c r="E836" t="s">
        <v>142</v>
      </c>
      <c r="F836" t="s">
        <v>143</v>
      </c>
      <c r="G836">
        <v>6</v>
      </c>
    </row>
    <row r="837" spans="1:7" x14ac:dyDescent="0.35">
      <c r="A837">
        <v>1002159</v>
      </c>
      <c r="B837" s="2">
        <v>46157</v>
      </c>
      <c r="C837" s="2">
        <v>46162</v>
      </c>
      <c r="D837">
        <v>5</v>
      </c>
      <c r="E837" t="s">
        <v>112</v>
      </c>
      <c r="F837" t="s">
        <v>113</v>
      </c>
      <c r="G837">
        <v>3</v>
      </c>
    </row>
    <row r="838" spans="1:7" x14ac:dyDescent="0.35">
      <c r="A838">
        <v>1002159</v>
      </c>
      <c r="B838" s="2">
        <v>46157</v>
      </c>
      <c r="C838" s="2">
        <v>46162</v>
      </c>
      <c r="D838">
        <v>5</v>
      </c>
      <c r="E838" t="s">
        <v>357</v>
      </c>
      <c r="F838" t="s">
        <v>358</v>
      </c>
      <c r="G838">
        <v>1</v>
      </c>
    </row>
    <row r="839" spans="1:7" x14ac:dyDescent="0.35">
      <c r="A839">
        <v>1002161</v>
      </c>
      <c r="B839" s="2">
        <v>46155</v>
      </c>
      <c r="C839" s="2">
        <v>46162</v>
      </c>
      <c r="D839">
        <v>7</v>
      </c>
      <c r="E839" t="s">
        <v>134</v>
      </c>
      <c r="F839" t="s">
        <v>49</v>
      </c>
      <c r="G839">
        <v>5</v>
      </c>
    </row>
    <row r="840" spans="1:7" x14ac:dyDescent="0.35">
      <c r="A840">
        <v>1002161</v>
      </c>
      <c r="B840" s="2">
        <v>46155</v>
      </c>
      <c r="C840" s="2">
        <v>46162</v>
      </c>
      <c r="D840">
        <v>7</v>
      </c>
      <c r="E840" t="s">
        <v>135</v>
      </c>
      <c r="F840" t="s">
        <v>51</v>
      </c>
      <c r="G840">
        <v>1</v>
      </c>
    </row>
    <row r="841" spans="1:7" x14ac:dyDescent="0.35">
      <c r="A841">
        <v>1002161</v>
      </c>
      <c r="B841" s="2">
        <v>46155</v>
      </c>
      <c r="C841" s="2">
        <v>46171</v>
      </c>
      <c r="D841">
        <v>16</v>
      </c>
      <c r="E841" t="s">
        <v>134</v>
      </c>
      <c r="F841" t="s">
        <v>49</v>
      </c>
      <c r="G841">
        <v>3</v>
      </c>
    </row>
    <row r="842" spans="1:7" x14ac:dyDescent="0.35">
      <c r="A842">
        <v>1002161</v>
      </c>
      <c r="B842" s="2">
        <v>46155</v>
      </c>
      <c r="C842" s="2">
        <v>46171</v>
      </c>
      <c r="D842">
        <v>16</v>
      </c>
      <c r="E842" t="s">
        <v>135</v>
      </c>
      <c r="F842" t="s">
        <v>51</v>
      </c>
      <c r="G842">
        <v>2</v>
      </c>
    </row>
    <row r="843" spans="1:7" x14ac:dyDescent="0.35">
      <c r="A843">
        <v>1002161</v>
      </c>
      <c r="B843" s="2">
        <v>46155</v>
      </c>
      <c r="C843" s="2">
        <v>46172</v>
      </c>
      <c r="D843">
        <v>17</v>
      </c>
      <c r="E843" t="s">
        <v>135</v>
      </c>
      <c r="F843" t="s">
        <v>51</v>
      </c>
      <c r="G843">
        <v>1</v>
      </c>
    </row>
    <row r="844" spans="1:7" x14ac:dyDescent="0.35">
      <c r="A844">
        <v>1002161</v>
      </c>
      <c r="B844" s="2">
        <v>46155</v>
      </c>
      <c r="C844" s="2">
        <v>46184</v>
      </c>
      <c r="D844">
        <v>29</v>
      </c>
      <c r="E844" t="s">
        <v>134</v>
      </c>
      <c r="F844" t="s">
        <v>49</v>
      </c>
      <c r="G844">
        <v>1</v>
      </c>
    </row>
    <row r="845" spans="1:7" x14ac:dyDescent="0.35">
      <c r="A845">
        <v>1002161</v>
      </c>
      <c r="B845" s="2">
        <v>46155</v>
      </c>
      <c r="C845" s="2">
        <v>46184</v>
      </c>
      <c r="D845">
        <v>29</v>
      </c>
      <c r="E845" t="s">
        <v>134</v>
      </c>
      <c r="F845" t="s">
        <v>49</v>
      </c>
      <c r="G845">
        <v>2</v>
      </c>
    </row>
    <row r="846" spans="1:7" x14ac:dyDescent="0.35">
      <c r="A846">
        <v>1002161</v>
      </c>
      <c r="B846" s="2">
        <v>46155</v>
      </c>
      <c r="C846" s="2">
        <v>46184</v>
      </c>
      <c r="D846">
        <v>29</v>
      </c>
      <c r="E846" t="s">
        <v>135</v>
      </c>
      <c r="F846" t="s">
        <v>51</v>
      </c>
      <c r="G846">
        <v>3</v>
      </c>
    </row>
    <row r="847" spans="1:7" x14ac:dyDescent="0.35">
      <c r="A847">
        <v>1002162</v>
      </c>
      <c r="B847" s="2">
        <v>46156</v>
      </c>
      <c r="C847" s="2">
        <v>46157</v>
      </c>
      <c r="D847">
        <v>1</v>
      </c>
      <c r="E847" t="s">
        <v>347</v>
      </c>
      <c r="F847" t="s">
        <v>348</v>
      </c>
      <c r="G847">
        <v>2</v>
      </c>
    </row>
    <row r="848" spans="1:7" x14ac:dyDescent="0.35">
      <c r="A848">
        <v>1002162</v>
      </c>
      <c r="B848" s="2">
        <v>46156</v>
      </c>
      <c r="C848" s="2">
        <v>46157</v>
      </c>
      <c r="D848">
        <v>1</v>
      </c>
      <c r="E848" t="s">
        <v>134</v>
      </c>
      <c r="F848" t="s">
        <v>49</v>
      </c>
      <c r="G848">
        <v>6</v>
      </c>
    </row>
    <row r="849" spans="1:7" x14ac:dyDescent="0.35">
      <c r="A849">
        <v>1002162</v>
      </c>
      <c r="B849" s="2">
        <v>46156</v>
      </c>
      <c r="C849" s="2">
        <v>46157</v>
      </c>
      <c r="D849">
        <v>1</v>
      </c>
      <c r="E849" t="s">
        <v>135</v>
      </c>
      <c r="F849" t="s">
        <v>51</v>
      </c>
      <c r="G849">
        <v>6</v>
      </c>
    </row>
    <row r="850" spans="1:7" x14ac:dyDescent="0.35">
      <c r="A850">
        <v>1002162</v>
      </c>
      <c r="B850" s="2">
        <v>46156</v>
      </c>
      <c r="C850" s="2">
        <v>46172</v>
      </c>
      <c r="D850">
        <v>16</v>
      </c>
      <c r="E850" t="s">
        <v>50</v>
      </c>
      <c r="F850" t="s">
        <v>51</v>
      </c>
      <c r="G850">
        <v>3</v>
      </c>
    </row>
    <row r="851" spans="1:7" x14ac:dyDescent="0.35">
      <c r="A851">
        <v>1002162</v>
      </c>
      <c r="B851" s="2">
        <v>46156</v>
      </c>
      <c r="C851" s="2">
        <v>46172</v>
      </c>
      <c r="D851">
        <v>16</v>
      </c>
      <c r="E851" t="s">
        <v>134</v>
      </c>
      <c r="F851" t="s">
        <v>49</v>
      </c>
      <c r="G851">
        <v>1</v>
      </c>
    </row>
    <row r="852" spans="1:7" x14ac:dyDescent="0.35">
      <c r="A852">
        <v>1002162</v>
      </c>
      <c r="B852" s="2">
        <v>46156</v>
      </c>
      <c r="C852" s="2">
        <v>46172</v>
      </c>
      <c r="D852">
        <v>16</v>
      </c>
      <c r="E852" t="s">
        <v>134</v>
      </c>
      <c r="F852" t="s">
        <v>49</v>
      </c>
      <c r="G852">
        <v>5</v>
      </c>
    </row>
    <row r="853" spans="1:7" x14ac:dyDescent="0.35">
      <c r="A853">
        <v>1002162</v>
      </c>
      <c r="B853" s="2">
        <v>46156</v>
      </c>
      <c r="C853" s="2">
        <v>46172</v>
      </c>
      <c r="D853">
        <v>16</v>
      </c>
      <c r="E853" t="s">
        <v>48</v>
      </c>
      <c r="F853" t="s">
        <v>49</v>
      </c>
      <c r="G853">
        <v>3</v>
      </c>
    </row>
    <row r="854" spans="1:7" x14ac:dyDescent="0.35">
      <c r="A854">
        <v>1002162</v>
      </c>
      <c r="B854" s="2">
        <v>46156</v>
      </c>
      <c r="C854" s="2">
        <v>46172</v>
      </c>
      <c r="D854">
        <v>16</v>
      </c>
      <c r="E854" t="s">
        <v>134</v>
      </c>
      <c r="F854" t="s">
        <v>49</v>
      </c>
      <c r="G854">
        <v>1</v>
      </c>
    </row>
    <row r="855" spans="1:7" x14ac:dyDescent="0.35">
      <c r="A855">
        <v>1002162</v>
      </c>
      <c r="B855" s="2">
        <v>46156</v>
      </c>
      <c r="C855" s="2">
        <v>46172</v>
      </c>
      <c r="D855">
        <v>16</v>
      </c>
      <c r="E855" t="s">
        <v>134</v>
      </c>
      <c r="F855" t="s">
        <v>49</v>
      </c>
      <c r="G855">
        <v>5</v>
      </c>
    </row>
    <row r="856" spans="1:7" x14ac:dyDescent="0.35">
      <c r="A856">
        <v>1002162</v>
      </c>
      <c r="B856" s="2">
        <v>46156</v>
      </c>
      <c r="C856" s="2">
        <v>46172</v>
      </c>
      <c r="D856">
        <v>16</v>
      </c>
      <c r="E856" t="s">
        <v>42</v>
      </c>
      <c r="F856" t="s">
        <v>43</v>
      </c>
      <c r="G856">
        <v>6</v>
      </c>
    </row>
    <row r="857" spans="1:7" x14ac:dyDescent="0.35">
      <c r="A857">
        <v>1002162</v>
      </c>
      <c r="B857" s="2">
        <v>46156</v>
      </c>
      <c r="C857" s="2">
        <v>46172</v>
      </c>
      <c r="D857">
        <v>16</v>
      </c>
      <c r="E857" t="s">
        <v>359</v>
      </c>
      <c r="F857" t="s">
        <v>360</v>
      </c>
      <c r="G857">
        <v>1</v>
      </c>
    </row>
    <row r="858" spans="1:7" x14ac:dyDescent="0.35">
      <c r="A858">
        <v>1002162</v>
      </c>
      <c r="B858" s="2">
        <v>46156</v>
      </c>
      <c r="C858" s="2">
        <v>46172</v>
      </c>
      <c r="D858">
        <v>16</v>
      </c>
      <c r="E858" t="s">
        <v>361</v>
      </c>
      <c r="F858" t="s">
        <v>255</v>
      </c>
      <c r="G858">
        <v>2</v>
      </c>
    </row>
    <row r="859" spans="1:7" x14ac:dyDescent="0.35">
      <c r="A859">
        <v>1002162</v>
      </c>
      <c r="B859" s="2">
        <v>46156</v>
      </c>
      <c r="C859" s="2">
        <v>46172</v>
      </c>
      <c r="D859">
        <v>16</v>
      </c>
      <c r="E859" t="s">
        <v>362</v>
      </c>
      <c r="F859" t="s">
        <v>363</v>
      </c>
      <c r="G859">
        <v>1</v>
      </c>
    </row>
    <row r="860" spans="1:7" x14ac:dyDescent="0.35">
      <c r="A860">
        <v>1002162</v>
      </c>
      <c r="B860" s="2">
        <v>46156</v>
      </c>
      <c r="C860" s="2">
        <v>46172</v>
      </c>
      <c r="D860">
        <v>16</v>
      </c>
      <c r="E860" t="s">
        <v>364</v>
      </c>
      <c r="F860" t="s">
        <v>365</v>
      </c>
      <c r="G860">
        <v>2</v>
      </c>
    </row>
    <row r="861" spans="1:7" x14ac:dyDescent="0.35">
      <c r="A861">
        <v>1002162</v>
      </c>
      <c r="B861" s="2">
        <v>46156</v>
      </c>
      <c r="C861" s="2">
        <v>46172</v>
      </c>
      <c r="D861">
        <v>16</v>
      </c>
      <c r="E861" t="s">
        <v>366</v>
      </c>
      <c r="F861" t="s">
        <v>367</v>
      </c>
      <c r="G861">
        <v>1</v>
      </c>
    </row>
    <row r="862" spans="1:7" x14ac:dyDescent="0.35">
      <c r="A862">
        <v>1002162</v>
      </c>
      <c r="B862" s="2">
        <v>46156</v>
      </c>
      <c r="C862" s="2">
        <v>46172</v>
      </c>
      <c r="D862">
        <v>16</v>
      </c>
      <c r="E862" t="s">
        <v>368</v>
      </c>
      <c r="F862" t="s">
        <v>369</v>
      </c>
      <c r="G862">
        <v>1</v>
      </c>
    </row>
    <row r="863" spans="1:7" x14ac:dyDescent="0.35">
      <c r="A863">
        <v>1002162</v>
      </c>
      <c r="B863" s="2">
        <v>46156</v>
      </c>
      <c r="C863" s="2">
        <v>46172</v>
      </c>
      <c r="D863">
        <v>16</v>
      </c>
      <c r="E863" t="s">
        <v>48</v>
      </c>
      <c r="F863" t="s">
        <v>49</v>
      </c>
      <c r="G863">
        <v>6</v>
      </c>
    </row>
    <row r="864" spans="1:7" x14ac:dyDescent="0.35">
      <c r="A864">
        <v>1002162</v>
      </c>
      <c r="B864" s="2">
        <v>46156</v>
      </c>
      <c r="C864" s="2">
        <v>46172</v>
      </c>
      <c r="D864">
        <v>16</v>
      </c>
      <c r="E864" t="s">
        <v>248</v>
      </c>
      <c r="F864" t="s">
        <v>183</v>
      </c>
      <c r="G864">
        <v>6</v>
      </c>
    </row>
    <row r="865" spans="1:7" x14ac:dyDescent="0.35">
      <c r="A865">
        <v>1002162</v>
      </c>
      <c r="B865" s="2">
        <v>46156</v>
      </c>
      <c r="C865" s="2">
        <v>46172</v>
      </c>
      <c r="D865">
        <v>16</v>
      </c>
      <c r="E865" t="s">
        <v>123</v>
      </c>
      <c r="F865" t="s">
        <v>35</v>
      </c>
      <c r="G865">
        <v>2</v>
      </c>
    </row>
    <row r="866" spans="1:7" x14ac:dyDescent="0.35">
      <c r="A866">
        <v>1002162</v>
      </c>
      <c r="B866" s="2">
        <v>46156</v>
      </c>
      <c r="C866" s="2">
        <v>46174</v>
      </c>
      <c r="D866">
        <v>18</v>
      </c>
      <c r="E866" t="s">
        <v>134</v>
      </c>
      <c r="F866" t="s">
        <v>49</v>
      </c>
      <c r="G866">
        <v>-1</v>
      </c>
    </row>
    <row r="867" spans="1:7" x14ac:dyDescent="0.35">
      <c r="A867">
        <v>1002162</v>
      </c>
      <c r="B867" s="2">
        <v>46156</v>
      </c>
      <c r="C867" s="2">
        <v>46174</v>
      </c>
      <c r="D867">
        <v>18</v>
      </c>
      <c r="E867" t="s">
        <v>50</v>
      </c>
      <c r="F867" t="s">
        <v>51</v>
      </c>
      <c r="G867">
        <v>-3</v>
      </c>
    </row>
    <row r="868" spans="1:7" x14ac:dyDescent="0.35">
      <c r="A868">
        <v>1002162</v>
      </c>
      <c r="B868" s="2">
        <v>46156</v>
      </c>
      <c r="C868" s="2">
        <v>46174</v>
      </c>
      <c r="D868">
        <v>18</v>
      </c>
      <c r="E868" t="s">
        <v>134</v>
      </c>
      <c r="F868" t="s">
        <v>49</v>
      </c>
      <c r="G868">
        <v>-5</v>
      </c>
    </row>
    <row r="869" spans="1:7" x14ac:dyDescent="0.35">
      <c r="A869">
        <v>1002162</v>
      </c>
      <c r="B869" s="2">
        <v>46156</v>
      </c>
      <c r="C869" s="2">
        <v>46183</v>
      </c>
      <c r="D869">
        <v>27</v>
      </c>
      <c r="E869" t="s">
        <v>364</v>
      </c>
      <c r="F869" t="s">
        <v>365</v>
      </c>
      <c r="G869">
        <v>-2</v>
      </c>
    </row>
    <row r="870" spans="1:7" x14ac:dyDescent="0.35">
      <c r="A870">
        <v>1002170</v>
      </c>
      <c r="B870" s="2">
        <v>46157</v>
      </c>
      <c r="C870" s="2">
        <v>46172</v>
      </c>
      <c r="D870">
        <v>15</v>
      </c>
      <c r="E870" t="s">
        <v>135</v>
      </c>
      <c r="F870" t="s">
        <v>51</v>
      </c>
      <c r="G870">
        <v>2</v>
      </c>
    </row>
    <row r="871" spans="1:7" x14ac:dyDescent="0.35">
      <c r="A871">
        <v>1002170</v>
      </c>
      <c r="B871" s="2">
        <v>46157</v>
      </c>
      <c r="C871" s="2">
        <v>46182</v>
      </c>
      <c r="D871">
        <v>25</v>
      </c>
      <c r="E871" t="s">
        <v>135</v>
      </c>
      <c r="F871" t="s">
        <v>51</v>
      </c>
      <c r="G871">
        <v>-2</v>
      </c>
    </row>
    <row r="872" spans="1:7" x14ac:dyDescent="0.35">
      <c r="A872">
        <v>1002170</v>
      </c>
      <c r="B872" s="2">
        <v>46157</v>
      </c>
      <c r="C872" s="2">
        <v>46185</v>
      </c>
      <c r="D872">
        <v>28</v>
      </c>
      <c r="E872" t="s">
        <v>135</v>
      </c>
      <c r="F872" t="s">
        <v>51</v>
      </c>
      <c r="G872">
        <v>2</v>
      </c>
    </row>
    <row r="873" spans="1:7" x14ac:dyDescent="0.35">
      <c r="A873">
        <v>1002189</v>
      </c>
      <c r="B873" s="2">
        <v>46164</v>
      </c>
      <c r="C873" s="2">
        <v>46170</v>
      </c>
      <c r="D873">
        <v>6</v>
      </c>
      <c r="E873" t="s">
        <v>370</v>
      </c>
      <c r="F873" t="s">
        <v>371</v>
      </c>
      <c r="G873">
        <v>1</v>
      </c>
    </row>
    <row r="874" spans="1:7" x14ac:dyDescent="0.35">
      <c r="A874">
        <v>1002189</v>
      </c>
      <c r="B874" s="2">
        <v>46164</v>
      </c>
      <c r="C874" s="2">
        <v>46170</v>
      </c>
      <c r="D874">
        <v>6</v>
      </c>
      <c r="E874" t="s">
        <v>227</v>
      </c>
      <c r="F874" t="s">
        <v>228</v>
      </c>
      <c r="G874">
        <v>1</v>
      </c>
    </row>
    <row r="875" spans="1:7" x14ac:dyDescent="0.35">
      <c r="A875">
        <v>1002196</v>
      </c>
      <c r="B875" s="2">
        <v>46162</v>
      </c>
      <c r="C875" s="2">
        <v>46171</v>
      </c>
      <c r="D875">
        <v>9</v>
      </c>
      <c r="E875" t="s">
        <v>135</v>
      </c>
      <c r="F875" t="s">
        <v>51</v>
      </c>
      <c r="G875">
        <v>1</v>
      </c>
    </row>
    <row r="876" spans="1:7" x14ac:dyDescent="0.35">
      <c r="A876">
        <v>1002196</v>
      </c>
      <c r="B876" s="2">
        <v>46162</v>
      </c>
      <c r="C876" s="2">
        <v>46171</v>
      </c>
      <c r="D876">
        <v>9</v>
      </c>
      <c r="E876" t="s">
        <v>135</v>
      </c>
      <c r="F876" t="s">
        <v>51</v>
      </c>
      <c r="G876">
        <v>2</v>
      </c>
    </row>
    <row r="877" spans="1:7" x14ac:dyDescent="0.35">
      <c r="A877">
        <v>1002196</v>
      </c>
      <c r="B877" s="2">
        <v>46162</v>
      </c>
      <c r="C877" s="2">
        <v>46171</v>
      </c>
      <c r="D877">
        <v>9</v>
      </c>
      <c r="E877" t="s">
        <v>134</v>
      </c>
      <c r="F877" t="s">
        <v>49</v>
      </c>
      <c r="G877">
        <v>3</v>
      </c>
    </row>
    <row r="878" spans="1:7" x14ac:dyDescent="0.35">
      <c r="A878">
        <v>1002196</v>
      </c>
      <c r="B878" s="2">
        <v>46162</v>
      </c>
      <c r="C878" s="2">
        <v>46189</v>
      </c>
      <c r="D878">
        <v>27</v>
      </c>
      <c r="E878" t="s">
        <v>327</v>
      </c>
      <c r="F878" t="s">
        <v>328</v>
      </c>
      <c r="G878">
        <v>-1</v>
      </c>
    </row>
    <row r="879" spans="1:7" x14ac:dyDescent="0.35">
      <c r="A879">
        <v>1002201</v>
      </c>
      <c r="B879" s="2">
        <v>46162</v>
      </c>
      <c r="C879" s="2">
        <v>46168</v>
      </c>
      <c r="D879">
        <v>6</v>
      </c>
      <c r="E879" t="s">
        <v>13</v>
      </c>
      <c r="F879" t="s">
        <v>14</v>
      </c>
      <c r="G879">
        <v>12</v>
      </c>
    </row>
    <row r="880" spans="1:7" x14ac:dyDescent="0.35">
      <c r="A880">
        <v>1002201</v>
      </c>
      <c r="B880" s="2">
        <v>46162</v>
      </c>
      <c r="C880" s="2">
        <v>46168</v>
      </c>
      <c r="D880">
        <v>6</v>
      </c>
      <c r="E880" t="s">
        <v>7</v>
      </c>
      <c r="F880" t="s">
        <v>8</v>
      </c>
      <c r="G880">
        <v>6</v>
      </c>
    </row>
    <row r="881" spans="1:7" x14ac:dyDescent="0.35">
      <c r="A881">
        <v>1002201</v>
      </c>
      <c r="B881" s="2">
        <v>46162</v>
      </c>
      <c r="C881" s="2">
        <v>46168</v>
      </c>
      <c r="D881">
        <v>6</v>
      </c>
      <c r="E881" t="s">
        <v>9</v>
      </c>
      <c r="F881" t="s">
        <v>10</v>
      </c>
      <c r="G881">
        <v>6</v>
      </c>
    </row>
    <row r="882" spans="1:7" x14ac:dyDescent="0.35">
      <c r="A882">
        <v>1002201</v>
      </c>
      <c r="B882" s="2">
        <v>46162</v>
      </c>
      <c r="C882" s="2">
        <v>46168</v>
      </c>
      <c r="D882">
        <v>6</v>
      </c>
      <c r="E882" t="s">
        <v>42</v>
      </c>
      <c r="F882" t="s">
        <v>43</v>
      </c>
      <c r="G882">
        <v>3</v>
      </c>
    </row>
    <row r="883" spans="1:7" x14ac:dyDescent="0.35">
      <c r="A883">
        <v>1002201</v>
      </c>
      <c r="B883" s="2">
        <v>46162</v>
      </c>
      <c r="C883" s="2">
        <v>46168</v>
      </c>
      <c r="D883">
        <v>6</v>
      </c>
      <c r="E883" t="s">
        <v>82</v>
      </c>
      <c r="F883" t="s">
        <v>83</v>
      </c>
      <c r="G883">
        <v>3</v>
      </c>
    </row>
    <row r="884" spans="1:7" x14ac:dyDescent="0.35">
      <c r="A884">
        <v>1002201</v>
      </c>
      <c r="B884" s="2">
        <v>46162</v>
      </c>
      <c r="C884" s="2">
        <v>46168</v>
      </c>
      <c r="D884">
        <v>6</v>
      </c>
      <c r="E884" t="s">
        <v>335</v>
      </c>
      <c r="F884" t="s">
        <v>67</v>
      </c>
      <c r="G884">
        <v>3</v>
      </c>
    </row>
    <row r="885" spans="1:7" x14ac:dyDescent="0.35">
      <c r="A885">
        <v>1002201</v>
      </c>
      <c r="B885" s="2">
        <v>46162</v>
      </c>
      <c r="C885" s="2">
        <v>46168</v>
      </c>
      <c r="D885">
        <v>6</v>
      </c>
      <c r="E885" t="s">
        <v>68</v>
      </c>
      <c r="F885" t="s">
        <v>69</v>
      </c>
      <c r="G885">
        <v>3</v>
      </c>
    </row>
    <row r="886" spans="1:7" x14ac:dyDescent="0.35">
      <c r="A886">
        <v>1002201</v>
      </c>
      <c r="B886" s="2">
        <v>46162</v>
      </c>
      <c r="C886" s="2">
        <v>46168</v>
      </c>
      <c r="D886">
        <v>6</v>
      </c>
      <c r="E886" t="s">
        <v>46</v>
      </c>
      <c r="F886" t="s">
        <v>47</v>
      </c>
      <c r="G886">
        <v>3</v>
      </c>
    </row>
    <row r="887" spans="1:7" x14ac:dyDescent="0.35">
      <c r="A887">
        <v>1002201</v>
      </c>
      <c r="B887" s="2">
        <v>46162</v>
      </c>
      <c r="C887" s="2">
        <v>46168</v>
      </c>
      <c r="D887">
        <v>6</v>
      </c>
      <c r="E887" t="s">
        <v>325</v>
      </c>
      <c r="F887" t="s">
        <v>326</v>
      </c>
      <c r="G887">
        <v>3</v>
      </c>
    </row>
    <row r="888" spans="1:7" x14ac:dyDescent="0.35">
      <c r="A888">
        <v>1002201</v>
      </c>
      <c r="B888" s="2">
        <v>46162</v>
      </c>
      <c r="C888" s="2">
        <v>46168</v>
      </c>
      <c r="D888">
        <v>6</v>
      </c>
      <c r="E888" t="s">
        <v>128</v>
      </c>
      <c r="F888" t="s">
        <v>125</v>
      </c>
      <c r="G888">
        <v>3</v>
      </c>
    </row>
    <row r="889" spans="1:7" x14ac:dyDescent="0.35">
      <c r="A889">
        <v>1002201</v>
      </c>
      <c r="B889" s="2">
        <v>46162</v>
      </c>
      <c r="C889" s="2">
        <v>46168</v>
      </c>
      <c r="D889">
        <v>6</v>
      </c>
      <c r="E889" t="s">
        <v>134</v>
      </c>
      <c r="F889" t="s">
        <v>49</v>
      </c>
      <c r="G889">
        <v>1</v>
      </c>
    </row>
    <row r="890" spans="1:7" x14ac:dyDescent="0.35">
      <c r="A890">
        <v>1002201</v>
      </c>
      <c r="B890" s="2">
        <v>46162</v>
      </c>
      <c r="C890" s="2">
        <v>46168</v>
      </c>
      <c r="D890">
        <v>6</v>
      </c>
      <c r="E890" t="s">
        <v>134</v>
      </c>
      <c r="F890" t="s">
        <v>49</v>
      </c>
      <c r="G890">
        <v>2</v>
      </c>
    </row>
    <row r="891" spans="1:7" x14ac:dyDescent="0.35">
      <c r="A891">
        <v>1002201</v>
      </c>
      <c r="B891" s="2">
        <v>46162</v>
      </c>
      <c r="C891" s="2">
        <v>46168</v>
      </c>
      <c r="D891">
        <v>6</v>
      </c>
      <c r="E891" t="s">
        <v>135</v>
      </c>
      <c r="F891" t="s">
        <v>51</v>
      </c>
      <c r="G891">
        <v>3</v>
      </c>
    </row>
    <row r="892" spans="1:7" x14ac:dyDescent="0.35">
      <c r="A892">
        <v>1002201</v>
      </c>
      <c r="B892" s="2">
        <v>46162</v>
      </c>
      <c r="C892" s="2">
        <v>46170</v>
      </c>
      <c r="D892">
        <v>8</v>
      </c>
      <c r="E892" t="s">
        <v>82</v>
      </c>
      <c r="F892" t="s">
        <v>83</v>
      </c>
      <c r="G892">
        <v>-3</v>
      </c>
    </row>
    <row r="893" spans="1:7" x14ac:dyDescent="0.35">
      <c r="A893">
        <v>1002208</v>
      </c>
      <c r="B893" s="2">
        <v>46164</v>
      </c>
      <c r="C893" s="2">
        <v>46184</v>
      </c>
      <c r="D893">
        <v>20</v>
      </c>
      <c r="E893" t="s">
        <v>82</v>
      </c>
      <c r="F893" t="s">
        <v>83</v>
      </c>
      <c r="G893">
        <v>3</v>
      </c>
    </row>
    <row r="894" spans="1:7" x14ac:dyDescent="0.35">
      <c r="A894">
        <v>1002208</v>
      </c>
      <c r="B894" s="2">
        <v>46164</v>
      </c>
      <c r="C894" s="2">
        <v>46184</v>
      </c>
      <c r="D894">
        <v>20</v>
      </c>
      <c r="E894" t="s">
        <v>207</v>
      </c>
      <c r="F894" t="s">
        <v>109</v>
      </c>
      <c r="G894">
        <v>3</v>
      </c>
    </row>
    <row r="895" spans="1:7" x14ac:dyDescent="0.35">
      <c r="A895">
        <v>1002208</v>
      </c>
      <c r="B895" s="2">
        <v>46164</v>
      </c>
      <c r="C895" s="2">
        <v>46184</v>
      </c>
      <c r="D895">
        <v>20</v>
      </c>
      <c r="E895" t="s">
        <v>68</v>
      </c>
      <c r="F895" t="s">
        <v>69</v>
      </c>
      <c r="G895">
        <v>3</v>
      </c>
    </row>
    <row r="896" spans="1:7" x14ac:dyDescent="0.35">
      <c r="A896">
        <v>1002209</v>
      </c>
      <c r="B896" s="2">
        <v>46164</v>
      </c>
      <c r="C896" s="2">
        <v>46171</v>
      </c>
      <c r="D896">
        <v>7</v>
      </c>
      <c r="E896" t="s">
        <v>134</v>
      </c>
      <c r="F896" t="s">
        <v>49</v>
      </c>
      <c r="G896">
        <v>1</v>
      </c>
    </row>
    <row r="897" spans="1:7" x14ac:dyDescent="0.35">
      <c r="A897">
        <v>1002209</v>
      </c>
      <c r="B897" s="2">
        <v>46164</v>
      </c>
      <c r="C897" s="2">
        <v>46171</v>
      </c>
      <c r="D897">
        <v>7</v>
      </c>
      <c r="E897" t="s">
        <v>134</v>
      </c>
      <c r="F897" t="s">
        <v>49</v>
      </c>
      <c r="G897">
        <v>5</v>
      </c>
    </row>
    <row r="898" spans="1:7" x14ac:dyDescent="0.35">
      <c r="A898">
        <v>1002209</v>
      </c>
      <c r="B898" s="2">
        <v>46164</v>
      </c>
      <c r="C898" s="2">
        <v>46171</v>
      </c>
      <c r="D898">
        <v>7</v>
      </c>
      <c r="E898" t="s">
        <v>50</v>
      </c>
      <c r="F898" t="s">
        <v>51</v>
      </c>
      <c r="G898">
        <v>4</v>
      </c>
    </row>
    <row r="899" spans="1:7" x14ac:dyDescent="0.35">
      <c r="A899">
        <v>1002232</v>
      </c>
      <c r="B899" s="2">
        <v>46168</v>
      </c>
      <c r="C899" s="2">
        <v>46172</v>
      </c>
      <c r="D899">
        <v>4</v>
      </c>
      <c r="E899" t="s">
        <v>134</v>
      </c>
      <c r="F899" t="s">
        <v>49</v>
      </c>
      <c r="G899">
        <v>1</v>
      </c>
    </row>
    <row r="900" spans="1:7" x14ac:dyDescent="0.35">
      <c r="A900">
        <v>1002232</v>
      </c>
      <c r="B900" s="2">
        <v>46168</v>
      </c>
      <c r="C900" s="2">
        <v>46172</v>
      </c>
      <c r="D900">
        <v>4</v>
      </c>
      <c r="E900" t="s">
        <v>134</v>
      </c>
      <c r="F900" t="s">
        <v>49</v>
      </c>
      <c r="G900">
        <v>2</v>
      </c>
    </row>
    <row r="901" spans="1:7" x14ac:dyDescent="0.35">
      <c r="A901">
        <v>1002232</v>
      </c>
      <c r="B901" s="2">
        <v>46168</v>
      </c>
      <c r="C901" s="2">
        <v>46172</v>
      </c>
      <c r="D901">
        <v>4</v>
      </c>
      <c r="E901" t="s">
        <v>135</v>
      </c>
      <c r="F901" t="s">
        <v>51</v>
      </c>
      <c r="G901">
        <v>3</v>
      </c>
    </row>
    <row r="902" spans="1:7" x14ac:dyDescent="0.35">
      <c r="A902">
        <v>1002232</v>
      </c>
      <c r="B902" s="2">
        <v>46168</v>
      </c>
      <c r="C902" s="2">
        <v>46182</v>
      </c>
      <c r="D902">
        <v>14</v>
      </c>
      <c r="E902" t="s">
        <v>134</v>
      </c>
      <c r="F902" t="s">
        <v>49</v>
      </c>
      <c r="G902">
        <v>-1</v>
      </c>
    </row>
    <row r="903" spans="1:7" x14ac:dyDescent="0.35">
      <c r="A903">
        <v>1002232</v>
      </c>
      <c r="B903" s="2">
        <v>46168</v>
      </c>
      <c r="C903" s="2">
        <v>46182</v>
      </c>
      <c r="D903">
        <v>14</v>
      </c>
      <c r="E903" t="s">
        <v>134</v>
      </c>
      <c r="F903" t="s">
        <v>49</v>
      </c>
      <c r="G903">
        <v>-2</v>
      </c>
    </row>
    <row r="904" spans="1:7" x14ac:dyDescent="0.35">
      <c r="A904">
        <v>1002232</v>
      </c>
      <c r="B904" s="2">
        <v>46168</v>
      </c>
      <c r="C904" s="2">
        <v>46182</v>
      </c>
      <c r="D904">
        <v>14</v>
      </c>
      <c r="E904" t="s">
        <v>135</v>
      </c>
      <c r="F904" t="s">
        <v>51</v>
      </c>
      <c r="G904">
        <v>-3</v>
      </c>
    </row>
    <row r="905" spans="1:7" x14ac:dyDescent="0.35">
      <c r="A905">
        <v>1002239</v>
      </c>
      <c r="B905" s="2">
        <v>46170</v>
      </c>
      <c r="C905" s="2">
        <v>46172</v>
      </c>
      <c r="D905">
        <v>2</v>
      </c>
      <c r="E905" t="s">
        <v>329</v>
      </c>
      <c r="F905" t="s">
        <v>326</v>
      </c>
      <c r="G905">
        <v>1</v>
      </c>
    </row>
    <row r="906" spans="1:7" x14ac:dyDescent="0.35">
      <c r="A906">
        <v>1002239</v>
      </c>
      <c r="B906" s="2">
        <v>46170</v>
      </c>
      <c r="C906" s="2">
        <v>46172</v>
      </c>
      <c r="D906">
        <v>2</v>
      </c>
      <c r="E906" t="s">
        <v>330</v>
      </c>
      <c r="F906" t="s">
        <v>326</v>
      </c>
      <c r="G906">
        <v>4</v>
      </c>
    </row>
    <row r="907" spans="1:7" x14ac:dyDescent="0.35">
      <c r="A907">
        <v>1002239</v>
      </c>
      <c r="B907" s="2">
        <v>46170</v>
      </c>
      <c r="C907" s="2">
        <v>46172</v>
      </c>
      <c r="D907">
        <v>2</v>
      </c>
      <c r="E907" t="s">
        <v>323</v>
      </c>
      <c r="F907" t="s">
        <v>264</v>
      </c>
      <c r="G907">
        <v>1</v>
      </c>
    </row>
    <row r="908" spans="1:7" x14ac:dyDescent="0.35">
      <c r="A908">
        <v>1002239</v>
      </c>
      <c r="B908" s="2">
        <v>46170</v>
      </c>
      <c r="C908" s="2">
        <v>46189</v>
      </c>
      <c r="D908">
        <v>19</v>
      </c>
      <c r="E908" t="s">
        <v>134</v>
      </c>
      <c r="F908" t="s">
        <v>49</v>
      </c>
      <c r="G908">
        <v>2</v>
      </c>
    </row>
    <row r="909" spans="1:7" x14ac:dyDescent="0.35">
      <c r="A909">
        <v>1002239</v>
      </c>
      <c r="B909" s="2">
        <v>46170</v>
      </c>
      <c r="C909" s="2">
        <v>46190</v>
      </c>
      <c r="D909">
        <v>20</v>
      </c>
      <c r="E909" t="s">
        <v>134</v>
      </c>
      <c r="F909" t="s">
        <v>49</v>
      </c>
      <c r="G909">
        <v>3</v>
      </c>
    </row>
    <row r="910" spans="1:7" x14ac:dyDescent="0.35">
      <c r="A910">
        <v>1002239</v>
      </c>
      <c r="B910" s="2">
        <v>46170</v>
      </c>
      <c r="C910" s="2">
        <v>46190</v>
      </c>
      <c r="D910">
        <v>20</v>
      </c>
      <c r="E910" t="s">
        <v>135</v>
      </c>
      <c r="F910" t="s">
        <v>51</v>
      </c>
      <c r="G910">
        <v>7</v>
      </c>
    </row>
    <row r="911" spans="1:7" x14ac:dyDescent="0.35">
      <c r="A911">
        <v>1002239</v>
      </c>
      <c r="B911" s="2">
        <v>46170</v>
      </c>
      <c r="C911" s="2">
        <v>46191</v>
      </c>
      <c r="D911">
        <v>21</v>
      </c>
      <c r="E911" t="s">
        <v>29</v>
      </c>
      <c r="F911" t="s">
        <v>30</v>
      </c>
      <c r="G911">
        <v>6</v>
      </c>
    </row>
    <row r="912" spans="1:7" x14ac:dyDescent="0.35">
      <c r="A912">
        <v>1002239</v>
      </c>
      <c r="B912" s="2">
        <v>46170</v>
      </c>
      <c r="C912" s="2">
        <v>46191</v>
      </c>
      <c r="D912">
        <v>21</v>
      </c>
      <c r="E912" t="s">
        <v>42</v>
      </c>
      <c r="F912" t="s">
        <v>43</v>
      </c>
      <c r="G912">
        <v>3</v>
      </c>
    </row>
    <row r="913" spans="1:7" x14ac:dyDescent="0.35">
      <c r="A913">
        <v>1002239</v>
      </c>
      <c r="B913" s="2">
        <v>46170</v>
      </c>
      <c r="C913" s="2">
        <v>46191</v>
      </c>
      <c r="D913">
        <v>21</v>
      </c>
      <c r="E913" t="s">
        <v>59</v>
      </c>
      <c r="F913" t="s">
        <v>60</v>
      </c>
      <c r="G913">
        <v>3</v>
      </c>
    </row>
    <row r="914" spans="1:7" x14ac:dyDescent="0.35">
      <c r="A914">
        <v>1002239</v>
      </c>
      <c r="B914" s="2">
        <v>46170</v>
      </c>
      <c r="C914" s="2">
        <v>46191</v>
      </c>
      <c r="D914">
        <v>21</v>
      </c>
      <c r="E914" t="s">
        <v>46</v>
      </c>
      <c r="F914" t="s">
        <v>47</v>
      </c>
      <c r="G914">
        <v>3</v>
      </c>
    </row>
    <row r="915" spans="1:7" x14ac:dyDescent="0.35">
      <c r="A915">
        <v>1002239</v>
      </c>
      <c r="B915" s="2">
        <v>46170</v>
      </c>
      <c r="C915" s="2">
        <v>46191</v>
      </c>
      <c r="D915">
        <v>21</v>
      </c>
      <c r="E915" t="s">
        <v>74</v>
      </c>
      <c r="F915" t="s">
        <v>47</v>
      </c>
      <c r="G915">
        <v>3</v>
      </c>
    </row>
    <row r="916" spans="1:7" x14ac:dyDescent="0.35">
      <c r="A916">
        <v>1002241</v>
      </c>
      <c r="B916" s="2">
        <v>46167</v>
      </c>
      <c r="C916" s="2">
        <v>46171</v>
      </c>
      <c r="D916">
        <v>4</v>
      </c>
      <c r="E916" t="s">
        <v>91</v>
      </c>
      <c r="F916" t="s">
        <v>92</v>
      </c>
      <c r="G916">
        <v>10</v>
      </c>
    </row>
    <row r="917" spans="1:7" x14ac:dyDescent="0.35">
      <c r="A917">
        <v>1002241</v>
      </c>
      <c r="B917" s="2">
        <v>46167</v>
      </c>
      <c r="C917" s="2">
        <v>46171</v>
      </c>
      <c r="D917">
        <v>4</v>
      </c>
      <c r="E917" t="s">
        <v>372</v>
      </c>
      <c r="F917" t="s">
        <v>373</v>
      </c>
      <c r="G917">
        <v>2</v>
      </c>
    </row>
    <row r="918" spans="1:7" x14ac:dyDescent="0.35">
      <c r="A918">
        <v>1002246</v>
      </c>
      <c r="B918" s="2">
        <v>46170</v>
      </c>
      <c r="C918" s="2">
        <v>46172</v>
      </c>
      <c r="D918">
        <v>2</v>
      </c>
      <c r="E918" t="s">
        <v>13</v>
      </c>
      <c r="F918" t="s">
        <v>14</v>
      </c>
      <c r="G918">
        <v>12</v>
      </c>
    </row>
    <row r="919" spans="1:7" x14ac:dyDescent="0.35">
      <c r="A919">
        <v>1002246</v>
      </c>
      <c r="B919" s="2">
        <v>46170</v>
      </c>
      <c r="C919" s="2">
        <v>46172</v>
      </c>
      <c r="D919">
        <v>2</v>
      </c>
      <c r="E919" t="s">
        <v>19</v>
      </c>
      <c r="F919" t="s">
        <v>20</v>
      </c>
      <c r="G919">
        <v>6</v>
      </c>
    </row>
    <row r="920" spans="1:7" x14ac:dyDescent="0.35">
      <c r="A920">
        <v>1002246</v>
      </c>
      <c r="B920" s="2">
        <v>46170</v>
      </c>
      <c r="C920" s="2">
        <v>46172</v>
      </c>
      <c r="D920">
        <v>2</v>
      </c>
      <c r="E920" t="s">
        <v>238</v>
      </c>
      <c r="F920" t="s">
        <v>239</v>
      </c>
      <c r="G920">
        <v>6</v>
      </c>
    </row>
    <row r="921" spans="1:7" x14ac:dyDescent="0.35">
      <c r="A921">
        <v>1002246</v>
      </c>
      <c r="B921" s="2">
        <v>46170</v>
      </c>
      <c r="C921" s="2">
        <v>46172</v>
      </c>
      <c r="D921">
        <v>2</v>
      </c>
      <c r="E921" t="s">
        <v>23</v>
      </c>
      <c r="F921" t="s">
        <v>24</v>
      </c>
      <c r="G921">
        <v>6</v>
      </c>
    </row>
    <row r="922" spans="1:7" x14ac:dyDescent="0.35">
      <c r="A922">
        <v>1002246</v>
      </c>
      <c r="B922" s="2">
        <v>46170</v>
      </c>
      <c r="C922" s="2">
        <v>46172</v>
      </c>
      <c r="D922">
        <v>2</v>
      </c>
      <c r="E922" t="s">
        <v>25</v>
      </c>
      <c r="F922" t="s">
        <v>26</v>
      </c>
      <c r="G922">
        <v>6</v>
      </c>
    </row>
    <row r="923" spans="1:7" x14ac:dyDescent="0.35">
      <c r="A923">
        <v>1002246</v>
      </c>
      <c r="B923" s="2">
        <v>46170</v>
      </c>
      <c r="C923" s="2">
        <v>46172</v>
      </c>
      <c r="D923">
        <v>2</v>
      </c>
      <c r="E923" t="s">
        <v>7</v>
      </c>
      <c r="F923" t="s">
        <v>8</v>
      </c>
      <c r="G923">
        <v>6</v>
      </c>
    </row>
    <row r="924" spans="1:7" x14ac:dyDescent="0.35">
      <c r="A924">
        <v>1002246</v>
      </c>
      <c r="B924" s="2">
        <v>46170</v>
      </c>
      <c r="C924" s="2">
        <v>46172</v>
      </c>
      <c r="D924">
        <v>2</v>
      </c>
      <c r="E924" t="s">
        <v>9</v>
      </c>
      <c r="F924" t="s">
        <v>10</v>
      </c>
      <c r="G924">
        <v>12</v>
      </c>
    </row>
    <row r="925" spans="1:7" x14ac:dyDescent="0.35">
      <c r="A925">
        <v>1002262</v>
      </c>
      <c r="B925" s="2">
        <v>46171</v>
      </c>
      <c r="C925" s="2">
        <v>46172</v>
      </c>
      <c r="D925">
        <v>1</v>
      </c>
      <c r="E925" t="s">
        <v>135</v>
      </c>
      <c r="F925" t="s">
        <v>51</v>
      </c>
      <c r="G925">
        <v>1</v>
      </c>
    </row>
    <row r="926" spans="1:7" x14ac:dyDescent="0.35">
      <c r="A926">
        <v>1002262</v>
      </c>
      <c r="B926" s="2">
        <v>46171</v>
      </c>
      <c r="C926" s="2">
        <v>46172</v>
      </c>
      <c r="D926">
        <v>1</v>
      </c>
      <c r="E926" t="s">
        <v>135</v>
      </c>
      <c r="F926" t="s">
        <v>51</v>
      </c>
      <c r="G926">
        <v>5</v>
      </c>
    </row>
    <row r="927" spans="1:7" x14ac:dyDescent="0.35">
      <c r="A927">
        <v>1002262</v>
      </c>
      <c r="B927" s="2">
        <v>46171</v>
      </c>
      <c r="C927" s="2">
        <v>46172</v>
      </c>
      <c r="D927">
        <v>1</v>
      </c>
      <c r="E927" t="s">
        <v>134</v>
      </c>
      <c r="F927" t="s">
        <v>49</v>
      </c>
      <c r="G927">
        <v>1</v>
      </c>
    </row>
    <row r="928" spans="1:7" x14ac:dyDescent="0.35">
      <c r="A928">
        <v>1002262</v>
      </c>
      <c r="B928" s="2">
        <v>46171</v>
      </c>
      <c r="C928" s="2">
        <v>46172</v>
      </c>
      <c r="D928">
        <v>1</v>
      </c>
      <c r="E928" t="s">
        <v>134</v>
      </c>
      <c r="F928" t="s">
        <v>49</v>
      </c>
      <c r="G928">
        <v>5</v>
      </c>
    </row>
    <row r="929" spans="1:7" x14ac:dyDescent="0.35">
      <c r="A929">
        <v>1002262</v>
      </c>
      <c r="B929" s="2">
        <v>46171</v>
      </c>
      <c r="C929" s="2">
        <v>46182</v>
      </c>
      <c r="D929">
        <v>11</v>
      </c>
      <c r="E929" t="s">
        <v>134</v>
      </c>
      <c r="F929" t="s">
        <v>49</v>
      </c>
      <c r="G929">
        <v>-5</v>
      </c>
    </row>
    <row r="930" spans="1:7" x14ac:dyDescent="0.35">
      <c r="A930">
        <v>1002262</v>
      </c>
      <c r="B930" s="2">
        <v>46171</v>
      </c>
      <c r="C930" s="2">
        <v>46183</v>
      </c>
      <c r="D930">
        <v>12</v>
      </c>
      <c r="E930" t="s">
        <v>134</v>
      </c>
      <c r="F930" t="s">
        <v>49</v>
      </c>
      <c r="G930">
        <v>-1</v>
      </c>
    </row>
    <row r="931" spans="1:7" x14ac:dyDescent="0.35">
      <c r="A931">
        <v>1002262</v>
      </c>
      <c r="B931" s="2">
        <v>46171</v>
      </c>
      <c r="C931" s="2">
        <v>46195</v>
      </c>
      <c r="D931">
        <v>24</v>
      </c>
      <c r="E931" t="s">
        <v>327</v>
      </c>
      <c r="F931" t="s">
        <v>328</v>
      </c>
      <c r="G931">
        <v>-1</v>
      </c>
    </row>
    <row r="932" spans="1:7" x14ac:dyDescent="0.35">
      <c r="A932">
        <v>1002283</v>
      </c>
      <c r="B932" s="2">
        <v>46176</v>
      </c>
      <c r="C932" s="2">
        <v>46184</v>
      </c>
      <c r="D932">
        <v>8</v>
      </c>
      <c r="E932" t="s">
        <v>42</v>
      </c>
      <c r="F932" t="s">
        <v>43</v>
      </c>
      <c r="G932">
        <v>6</v>
      </c>
    </row>
    <row r="933" spans="1:7" x14ac:dyDescent="0.35">
      <c r="A933">
        <v>1002283</v>
      </c>
      <c r="B933" s="2">
        <v>46176</v>
      </c>
      <c r="C933" s="2">
        <v>46184</v>
      </c>
      <c r="D933">
        <v>8</v>
      </c>
      <c r="E933" t="s">
        <v>59</v>
      </c>
      <c r="F933" t="s">
        <v>60</v>
      </c>
      <c r="G933">
        <v>6</v>
      </c>
    </row>
    <row r="934" spans="1:7" x14ac:dyDescent="0.35">
      <c r="A934">
        <v>1002283</v>
      </c>
      <c r="B934" s="2">
        <v>46176</v>
      </c>
      <c r="C934" s="2">
        <v>46184</v>
      </c>
      <c r="D934">
        <v>8</v>
      </c>
      <c r="E934" t="s">
        <v>79</v>
      </c>
      <c r="F934" t="s">
        <v>60</v>
      </c>
      <c r="G934">
        <v>12</v>
      </c>
    </row>
    <row r="935" spans="1:7" x14ac:dyDescent="0.35">
      <c r="A935">
        <v>1002283</v>
      </c>
      <c r="B935" s="2">
        <v>46176</v>
      </c>
      <c r="C935" s="2">
        <v>46184</v>
      </c>
      <c r="D935">
        <v>8</v>
      </c>
      <c r="E935" t="s">
        <v>87</v>
      </c>
      <c r="F935" t="s">
        <v>64</v>
      </c>
      <c r="G935">
        <v>3</v>
      </c>
    </row>
    <row r="936" spans="1:7" x14ac:dyDescent="0.35">
      <c r="A936">
        <v>1002283</v>
      </c>
      <c r="B936" s="2">
        <v>46176</v>
      </c>
      <c r="C936" s="2">
        <v>46184</v>
      </c>
      <c r="D936">
        <v>8</v>
      </c>
      <c r="E936" t="s">
        <v>278</v>
      </c>
      <c r="F936" t="s">
        <v>64</v>
      </c>
      <c r="G936">
        <v>6</v>
      </c>
    </row>
    <row r="937" spans="1:7" x14ac:dyDescent="0.35">
      <c r="A937">
        <v>1002283</v>
      </c>
      <c r="B937" s="2">
        <v>46176</v>
      </c>
      <c r="C937" s="2">
        <v>46184</v>
      </c>
      <c r="D937">
        <v>8</v>
      </c>
      <c r="E937" t="s">
        <v>276</v>
      </c>
      <c r="F937" t="s">
        <v>277</v>
      </c>
      <c r="G937">
        <v>3</v>
      </c>
    </row>
    <row r="938" spans="1:7" x14ac:dyDescent="0.35">
      <c r="A938">
        <v>1002283</v>
      </c>
      <c r="B938" s="2">
        <v>46176</v>
      </c>
      <c r="C938" s="2">
        <v>46184</v>
      </c>
      <c r="D938">
        <v>8</v>
      </c>
      <c r="E938" t="s">
        <v>374</v>
      </c>
      <c r="F938" t="s">
        <v>277</v>
      </c>
      <c r="G938">
        <v>3</v>
      </c>
    </row>
    <row r="939" spans="1:7" x14ac:dyDescent="0.35">
      <c r="A939">
        <v>1002283</v>
      </c>
      <c r="B939" s="2">
        <v>46176</v>
      </c>
      <c r="C939" s="2">
        <v>46184</v>
      </c>
      <c r="D939">
        <v>8</v>
      </c>
      <c r="E939" t="s">
        <v>317</v>
      </c>
      <c r="F939" t="s">
        <v>277</v>
      </c>
      <c r="G939">
        <v>6</v>
      </c>
    </row>
    <row r="940" spans="1:7" x14ac:dyDescent="0.35">
      <c r="A940">
        <v>1002283</v>
      </c>
      <c r="B940" s="2">
        <v>46176</v>
      </c>
      <c r="C940" s="2">
        <v>46184</v>
      </c>
      <c r="D940">
        <v>8</v>
      </c>
      <c r="E940" t="s">
        <v>108</v>
      </c>
      <c r="F940" t="s">
        <v>109</v>
      </c>
      <c r="G940">
        <v>6</v>
      </c>
    </row>
    <row r="941" spans="1:7" x14ac:dyDescent="0.35">
      <c r="A941">
        <v>1002283</v>
      </c>
      <c r="B941" s="2">
        <v>46176</v>
      </c>
      <c r="C941" s="2">
        <v>46184</v>
      </c>
      <c r="D941">
        <v>8</v>
      </c>
      <c r="E941" t="s">
        <v>68</v>
      </c>
      <c r="F941" t="s">
        <v>69</v>
      </c>
      <c r="G941">
        <v>6</v>
      </c>
    </row>
    <row r="942" spans="1:7" x14ac:dyDescent="0.35">
      <c r="A942">
        <v>1002283</v>
      </c>
      <c r="B942" s="2">
        <v>46176</v>
      </c>
      <c r="C942" s="2">
        <v>46184</v>
      </c>
      <c r="D942">
        <v>8</v>
      </c>
      <c r="E942" t="s">
        <v>107</v>
      </c>
      <c r="F942" t="s">
        <v>69</v>
      </c>
      <c r="G942">
        <v>6</v>
      </c>
    </row>
    <row r="943" spans="1:7" x14ac:dyDescent="0.35">
      <c r="A943">
        <v>1002283</v>
      </c>
      <c r="B943" s="2">
        <v>46176</v>
      </c>
      <c r="C943" s="2">
        <v>46184</v>
      </c>
      <c r="D943">
        <v>8</v>
      </c>
      <c r="E943" t="s">
        <v>46</v>
      </c>
      <c r="F943" t="s">
        <v>47</v>
      </c>
      <c r="G943">
        <v>12</v>
      </c>
    </row>
    <row r="944" spans="1:7" x14ac:dyDescent="0.35">
      <c r="A944">
        <v>1002283</v>
      </c>
      <c r="B944" s="2">
        <v>46176</v>
      </c>
      <c r="C944" s="2">
        <v>46184</v>
      </c>
      <c r="D944">
        <v>8</v>
      </c>
      <c r="E944" t="s">
        <v>74</v>
      </c>
      <c r="F944" t="s">
        <v>47</v>
      </c>
      <c r="G944">
        <v>12</v>
      </c>
    </row>
    <row r="945" spans="1:7" x14ac:dyDescent="0.35">
      <c r="A945">
        <v>1002283</v>
      </c>
      <c r="B945" s="2">
        <v>46176</v>
      </c>
      <c r="C945" s="2">
        <v>46184</v>
      </c>
      <c r="D945">
        <v>8</v>
      </c>
      <c r="E945" t="s">
        <v>133</v>
      </c>
      <c r="F945" t="s">
        <v>47</v>
      </c>
      <c r="G945">
        <v>12</v>
      </c>
    </row>
    <row r="946" spans="1:7" x14ac:dyDescent="0.35">
      <c r="A946">
        <v>1002283</v>
      </c>
      <c r="B946" s="2">
        <v>46176</v>
      </c>
      <c r="C946" s="2">
        <v>46186</v>
      </c>
      <c r="D946">
        <v>10</v>
      </c>
      <c r="E946" t="s">
        <v>91</v>
      </c>
      <c r="F946" t="s">
        <v>92</v>
      </c>
      <c r="G946">
        <v>10</v>
      </c>
    </row>
    <row r="947" spans="1:7" x14ac:dyDescent="0.35">
      <c r="A947">
        <v>1002283</v>
      </c>
      <c r="B947" s="2">
        <v>46176</v>
      </c>
      <c r="C947" s="2">
        <v>46199</v>
      </c>
      <c r="D947">
        <v>23</v>
      </c>
      <c r="E947" t="s">
        <v>276</v>
      </c>
      <c r="F947" t="s">
        <v>277</v>
      </c>
      <c r="G947">
        <v>-3</v>
      </c>
    </row>
    <row r="948" spans="1:7" x14ac:dyDescent="0.35">
      <c r="A948">
        <v>1002309</v>
      </c>
      <c r="B948" s="2">
        <v>46184</v>
      </c>
      <c r="C948" s="2">
        <v>46198</v>
      </c>
      <c r="D948">
        <v>14</v>
      </c>
      <c r="E948" t="s">
        <v>42</v>
      </c>
      <c r="F948" t="s">
        <v>43</v>
      </c>
      <c r="G948">
        <v>3</v>
      </c>
    </row>
    <row r="949" spans="1:7" x14ac:dyDescent="0.35">
      <c r="A949">
        <v>1002309</v>
      </c>
      <c r="B949" s="2">
        <v>46184</v>
      </c>
      <c r="C949" s="2">
        <v>46198</v>
      </c>
      <c r="D949">
        <v>14</v>
      </c>
      <c r="E949" t="s">
        <v>59</v>
      </c>
      <c r="F949" t="s">
        <v>60</v>
      </c>
      <c r="G949">
        <v>3</v>
      </c>
    </row>
    <row r="950" spans="1:7" x14ac:dyDescent="0.35">
      <c r="A950">
        <v>1002309</v>
      </c>
      <c r="B950" s="2">
        <v>46184</v>
      </c>
      <c r="C950" s="2">
        <v>46198</v>
      </c>
      <c r="D950">
        <v>14</v>
      </c>
      <c r="E950" t="s">
        <v>79</v>
      </c>
      <c r="F950" t="s">
        <v>60</v>
      </c>
      <c r="G950">
        <v>6</v>
      </c>
    </row>
    <row r="951" spans="1:7" x14ac:dyDescent="0.35">
      <c r="A951">
        <v>1002309</v>
      </c>
      <c r="B951" s="2">
        <v>46184</v>
      </c>
      <c r="C951" s="2">
        <v>46198</v>
      </c>
      <c r="D951">
        <v>14</v>
      </c>
      <c r="E951" t="s">
        <v>46</v>
      </c>
      <c r="F951" t="s">
        <v>47</v>
      </c>
      <c r="G951">
        <v>3</v>
      </c>
    </row>
    <row r="952" spans="1:7" x14ac:dyDescent="0.35">
      <c r="A952">
        <v>1002309</v>
      </c>
      <c r="B952" s="2">
        <v>46184</v>
      </c>
      <c r="C952" s="2">
        <v>46198</v>
      </c>
      <c r="D952">
        <v>14</v>
      </c>
      <c r="E952" t="s">
        <v>74</v>
      </c>
      <c r="F952" t="s">
        <v>47</v>
      </c>
      <c r="G952">
        <v>3</v>
      </c>
    </row>
    <row r="953" spans="1:7" x14ac:dyDescent="0.35">
      <c r="A953">
        <v>1002309</v>
      </c>
      <c r="B953" s="2">
        <v>46184</v>
      </c>
      <c r="C953" s="2">
        <v>46198</v>
      </c>
      <c r="D953">
        <v>14</v>
      </c>
      <c r="E953" t="s">
        <v>133</v>
      </c>
      <c r="F953" t="s">
        <v>47</v>
      </c>
      <c r="G953">
        <v>6</v>
      </c>
    </row>
    <row r="954" spans="1:7" x14ac:dyDescent="0.35">
      <c r="A954">
        <v>1002309</v>
      </c>
      <c r="B954" s="2">
        <v>46184</v>
      </c>
      <c r="C954" s="2">
        <v>46198</v>
      </c>
      <c r="D954">
        <v>14</v>
      </c>
      <c r="E954" t="s">
        <v>126</v>
      </c>
      <c r="F954" t="s">
        <v>127</v>
      </c>
      <c r="G954">
        <v>6</v>
      </c>
    </row>
    <row r="955" spans="1:7" x14ac:dyDescent="0.35">
      <c r="A955">
        <v>1002309</v>
      </c>
      <c r="B955" s="2">
        <v>46184</v>
      </c>
      <c r="C955" s="2">
        <v>46198</v>
      </c>
      <c r="D955">
        <v>14</v>
      </c>
      <c r="E955" t="s">
        <v>166</v>
      </c>
      <c r="F955" t="s">
        <v>111</v>
      </c>
      <c r="G955">
        <v>3</v>
      </c>
    </row>
    <row r="956" spans="1:7" x14ac:dyDescent="0.35">
      <c r="A956">
        <v>1002309</v>
      </c>
      <c r="B956" s="2">
        <v>46184</v>
      </c>
      <c r="C956" s="2">
        <v>46198</v>
      </c>
      <c r="D956">
        <v>14</v>
      </c>
      <c r="E956" t="s">
        <v>281</v>
      </c>
      <c r="F956" t="s">
        <v>113</v>
      </c>
      <c r="G956">
        <v>3</v>
      </c>
    </row>
    <row r="957" spans="1:7" x14ac:dyDescent="0.35">
      <c r="A957">
        <v>1002309</v>
      </c>
      <c r="B957" s="2">
        <v>46184</v>
      </c>
      <c r="C957" s="2">
        <v>46198</v>
      </c>
      <c r="D957">
        <v>14</v>
      </c>
      <c r="E957" t="s">
        <v>112</v>
      </c>
      <c r="F957" t="s">
        <v>113</v>
      </c>
      <c r="G957">
        <v>3</v>
      </c>
    </row>
    <row r="958" spans="1:7" x14ac:dyDescent="0.35">
      <c r="A958">
        <v>1002309</v>
      </c>
      <c r="B958" s="2">
        <v>46184</v>
      </c>
      <c r="C958" s="2">
        <v>46198</v>
      </c>
      <c r="D958">
        <v>14</v>
      </c>
      <c r="E958" t="s">
        <v>263</v>
      </c>
      <c r="F958" t="s">
        <v>264</v>
      </c>
      <c r="G958">
        <v>2</v>
      </c>
    </row>
    <row r="959" spans="1:7" x14ac:dyDescent="0.35">
      <c r="A959">
        <v>1002309</v>
      </c>
      <c r="B959" s="2">
        <v>46184</v>
      </c>
      <c r="C959" s="2">
        <v>46198</v>
      </c>
      <c r="D959">
        <v>14</v>
      </c>
      <c r="E959" t="s">
        <v>280</v>
      </c>
      <c r="F959" t="s">
        <v>264</v>
      </c>
      <c r="G959">
        <v>6</v>
      </c>
    </row>
    <row r="960" spans="1:7" x14ac:dyDescent="0.35">
      <c r="A960">
        <v>1002309</v>
      </c>
      <c r="B960" s="2">
        <v>46184</v>
      </c>
      <c r="C960" s="2">
        <v>46203</v>
      </c>
      <c r="D960">
        <v>19</v>
      </c>
      <c r="E960" t="s">
        <v>110</v>
      </c>
      <c r="F960" t="s">
        <v>111</v>
      </c>
      <c r="G960">
        <v>3</v>
      </c>
    </row>
    <row r="961" spans="1:7" x14ac:dyDescent="0.35">
      <c r="A961">
        <v>1002309</v>
      </c>
      <c r="B961" s="2">
        <v>46184</v>
      </c>
      <c r="C961" s="2">
        <v>46203</v>
      </c>
      <c r="D961">
        <v>19</v>
      </c>
      <c r="E961" t="s">
        <v>165</v>
      </c>
      <c r="F961" t="s">
        <v>127</v>
      </c>
      <c r="G961">
        <v>3</v>
      </c>
    </row>
    <row r="962" spans="1:7" x14ac:dyDescent="0.35">
      <c r="A962">
        <v>1002309</v>
      </c>
      <c r="B962" s="2">
        <v>46184</v>
      </c>
      <c r="C962" s="2">
        <v>46210</v>
      </c>
      <c r="D962">
        <v>26</v>
      </c>
      <c r="E962" t="s">
        <v>165</v>
      </c>
      <c r="F962" t="s">
        <v>127</v>
      </c>
      <c r="G962">
        <v>3</v>
      </c>
    </row>
    <row r="963" spans="1:7" x14ac:dyDescent="0.35">
      <c r="A963">
        <v>1002309</v>
      </c>
      <c r="B963" s="2">
        <v>46184</v>
      </c>
      <c r="C963" s="2">
        <v>46210</v>
      </c>
      <c r="D963">
        <v>26</v>
      </c>
      <c r="E963" t="s">
        <v>165</v>
      </c>
      <c r="F963" t="s">
        <v>127</v>
      </c>
      <c r="G963">
        <v>-3</v>
      </c>
    </row>
    <row r="964" spans="1:7" x14ac:dyDescent="0.35">
      <c r="A964">
        <v>1002309</v>
      </c>
      <c r="B964" s="2">
        <v>46184</v>
      </c>
      <c r="C964" s="2">
        <v>46210</v>
      </c>
      <c r="D964">
        <v>26</v>
      </c>
      <c r="E964" t="s">
        <v>165</v>
      </c>
      <c r="F964" t="s">
        <v>127</v>
      </c>
      <c r="G964">
        <v>3</v>
      </c>
    </row>
    <row r="965" spans="1:7" x14ac:dyDescent="0.35">
      <c r="A965">
        <v>1002309</v>
      </c>
      <c r="B965" s="2">
        <v>46184</v>
      </c>
      <c r="C965" s="2">
        <v>46210</v>
      </c>
      <c r="D965">
        <v>26</v>
      </c>
      <c r="E965" t="s">
        <v>165</v>
      </c>
      <c r="F965" t="s">
        <v>127</v>
      </c>
      <c r="G965">
        <v>-3</v>
      </c>
    </row>
    <row r="966" spans="1:7" x14ac:dyDescent="0.35">
      <c r="A966">
        <v>1002309</v>
      </c>
      <c r="B966" s="2">
        <v>46184</v>
      </c>
      <c r="C966" s="2">
        <v>46210</v>
      </c>
      <c r="D966">
        <v>26</v>
      </c>
      <c r="E966" t="s">
        <v>263</v>
      </c>
      <c r="F966" t="s">
        <v>264</v>
      </c>
      <c r="G966">
        <v>2</v>
      </c>
    </row>
    <row r="967" spans="1:7" x14ac:dyDescent="0.35">
      <c r="A967">
        <v>1002309</v>
      </c>
      <c r="B967" s="2">
        <v>46184</v>
      </c>
      <c r="C967" s="2">
        <v>46210</v>
      </c>
      <c r="D967">
        <v>26</v>
      </c>
      <c r="E967" t="s">
        <v>280</v>
      </c>
      <c r="F967" t="s">
        <v>264</v>
      </c>
      <c r="G967">
        <v>6</v>
      </c>
    </row>
    <row r="968" spans="1:7" x14ac:dyDescent="0.35">
      <c r="A968">
        <v>1002309</v>
      </c>
      <c r="B968" s="2">
        <v>46184</v>
      </c>
      <c r="C968" s="2">
        <v>46210</v>
      </c>
      <c r="D968">
        <v>26</v>
      </c>
      <c r="E968" t="s">
        <v>263</v>
      </c>
      <c r="F968" t="s">
        <v>264</v>
      </c>
      <c r="G968">
        <v>-2</v>
      </c>
    </row>
    <row r="969" spans="1:7" x14ac:dyDescent="0.35">
      <c r="A969">
        <v>1002309</v>
      </c>
      <c r="B969" s="2">
        <v>46184</v>
      </c>
      <c r="C969" s="2">
        <v>46210</v>
      </c>
      <c r="D969">
        <v>26</v>
      </c>
      <c r="E969" t="s">
        <v>280</v>
      </c>
      <c r="F969" t="s">
        <v>264</v>
      </c>
      <c r="G969">
        <v>-6</v>
      </c>
    </row>
    <row r="970" spans="1:7" x14ac:dyDescent="0.35">
      <c r="A970">
        <v>1002309</v>
      </c>
      <c r="B970" s="2">
        <v>46184</v>
      </c>
      <c r="C970" s="2">
        <v>46210</v>
      </c>
      <c r="D970">
        <v>26</v>
      </c>
      <c r="E970" t="s">
        <v>126</v>
      </c>
      <c r="F970" t="s">
        <v>127</v>
      </c>
      <c r="G970">
        <v>6</v>
      </c>
    </row>
    <row r="971" spans="1:7" x14ac:dyDescent="0.35">
      <c r="A971">
        <v>1002309</v>
      </c>
      <c r="B971" s="2">
        <v>46184</v>
      </c>
      <c r="C971" s="2">
        <v>46210</v>
      </c>
      <c r="D971">
        <v>26</v>
      </c>
      <c r="E971" t="s">
        <v>166</v>
      </c>
      <c r="F971" t="s">
        <v>111</v>
      </c>
      <c r="G971">
        <v>3</v>
      </c>
    </row>
    <row r="972" spans="1:7" x14ac:dyDescent="0.35">
      <c r="A972">
        <v>1002309</v>
      </c>
      <c r="B972" s="2">
        <v>46184</v>
      </c>
      <c r="C972" s="2">
        <v>46210</v>
      </c>
      <c r="D972">
        <v>26</v>
      </c>
      <c r="E972" t="s">
        <v>281</v>
      </c>
      <c r="F972" t="s">
        <v>113</v>
      </c>
      <c r="G972">
        <v>3</v>
      </c>
    </row>
    <row r="973" spans="1:7" x14ac:dyDescent="0.35">
      <c r="A973">
        <v>1002309</v>
      </c>
      <c r="B973" s="2">
        <v>46184</v>
      </c>
      <c r="C973" s="2">
        <v>46210</v>
      </c>
      <c r="D973">
        <v>26</v>
      </c>
      <c r="E973" t="s">
        <v>112</v>
      </c>
      <c r="F973" t="s">
        <v>113</v>
      </c>
      <c r="G973">
        <v>3</v>
      </c>
    </row>
    <row r="974" spans="1:7" x14ac:dyDescent="0.35">
      <c r="A974">
        <v>1002309</v>
      </c>
      <c r="B974" s="2">
        <v>46184</v>
      </c>
      <c r="C974" s="2">
        <v>46210</v>
      </c>
      <c r="D974">
        <v>26</v>
      </c>
      <c r="E974" t="s">
        <v>126</v>
      </c>
      <c r="F974" t="s">
        <v>127</v>
      </c>
      <c r="G974">
        <v>-6</v>
      </c>
    </row>
    <row r="975" spans="1:7" x14ac:dyDescent="0.35">
      <c r="A975">
        <v>1002309</v>
      </c>
      <c r="B975" s="2">
        <v>46184</v>
      </c>
      <c r="C975" s="2">
        <v>46210</v>
      </c>
      <c r="D975">
        <v>26</v>
      </c>
      <c r="E975" t="s">
        <v>166</v>
      </c>
      <c r="F975" t="s">
        <v>111</v>
      </c>
      <c r="G975">
        <v>-3</v>
      </c>
    </row>
    <row r="976" spans="1:7" x14ac:dyDescent="0.35">
      <c r="A976">
        <v>1002309</v>
      </c>
      <c r="B976" s="2">
        <v>46184</v>
      </c>
      <c r="C976" s="2">
        <v>46210</v>
      </c>
      <c r="D976">
        <v>26</v>
      </c>
      <c r="E976" t="s">
        <v>281</v>
      </c>
      <c r="F976" t="s">
        <v>113</v>
      </c>
      <c r="G976">
        <v>-3</v>
      </c>
    </row>
    <row r="977" spans="1:7" x14ac:dyDescent="0.35">
      <c r="A977">
        <v>1002309</v>
      </c>
      <c r="B977" s="2">
        <v>46184</v>
      </c>
      <c r="C977" s="2">
        <v>46210</v>
      </c>
      <c r="D977">
        <v>26</v>
      </c>
      <c r="E977" t="s">
        <v>112</v>
      </c>
      <c r="F977" t="s">
        <v>113</v>
      </c>
      <c r="G977">
        <v>-3</v>
      </c>
    </row>
    <row r="978" spans="1:7" x14ac:dyDescent="0.35">
      <c r="A978">
        <v>1002309</v>
      </c>
      <c r="B978" s="2">
        <v>46184</v>
      </c>
      <c r="C978" s="2">
        <v>46210</v>
      </c>
      <c r="D978">
        <v>26</v>
      </c>
      <c r="E978" t="s">
        <v>110</v>
      </c>
      <c r="F978" t="s">
        <v>111</v>
      </c>
      <c r="G978">
        <v>3</v>
      </c>
    </row>
    <row r="979" spans="1:7" x14ac:dyDescent="0.35">
      <c r="A979">
        <v>1002309</v>
      </c>
      <c r="B979" s="2">
        <v>46184</v>
      </c>
      <c r="C979" s="2">
        <v>46210</v>
      </c>
      <c r="D979">
        <v>26</v>
      </c>
      <c r="E979" t="s">
        <v>110</v>
      </c>
      <c r="F979" t="s">
        <v>111</v>
      </c>
      <c r="G979">
        <v>-3</v>
      </c>
    </row>
    <row r="980" spans="1:7" x14ac:dyDescent="0.35">
      <c r="A980">
        <v>1002309</v>
      </c>
      <c r="B980" s="2">
        <v>46184</v>
      </c>
      <c r="C980" s="2">
        <v>46210</v>
      </c>
      <c r="D980">
        <v>26</v>
      </c>
      <c r="E980" t="s">
        <v>42</v>
      </c>
      <c r="F980" t="s">
        <v>43</v>
      </c>
      <c r="G980">
        <v>3</v>
      </c>
    </row>
    <row r="981" spans="1:7" x14ac:dyDescent="0.35">
      <c r="A981">
        <v>1002309</v>
      </c>
      <c r="B981" s="2">
        <v>46184</v>
      </c>
      <c r="C981" s="2">
        <v>46210</v>
      </c>
      <c r="D981">
        <v>26</v>
      </c>
      <c r="E981" t="s">
        <v>59</v>
      </c>
      <c r="F981" t="s">
        <v>60</v>
      </c>
      <c r="G981">
        <v>3</v>
      </c>
    </row>
    <row r="982" spans="1:7" x14ac:dyDescent="0.35">
      <c r="A982">
        <v>1002309</v>
      </c>
      <c r="B982" s="2">
        <v>46184</v>
      </c>
      <c r="C982" s="2">
        <v>46210</v>
      </c>
      <c r="D982">
        <v>26</v>
      </c>
      <c r="E982" t="s">
        <v>79</v>
      </c>
      <c r="F982" t="s">
        <v>60</v>
      </c>
      <c r="G982">
        <v>6</v>
      </c>
    </row>
    <row r="983" spans="1:7" x14ac:dyDescent="0.35">
      <c r="A983">
        <v>1002309</v>
      </c>
      <c r="B983" s="2">
        <v>46184</v>
      </c>
      <c r="C983" s="2">
        <v>46210</v>
      </c>
      <c r="D983">
        <v>26</v>
      </c>
      <c r="E983" t="s">
        <v>46</v>
      </c>
      <c r="F983" t="s">
        <v>47</v>
      </c>
      <c r="G983">
        <v>3</v>
      </c>
    </row>
    <row r="984" spans="1:7" x14ac:dyDescent="0.35">
      <c r="A984">
        <v>1002309</v>
      </c>
      <c r="B984" s="2">
        <v>46184</v>
      </c>
      <c r="C984" s="2">
        <v>46210</v>
      </c>
      <c r="D984">
        <v>26</v>
      </c>
      <c r="E984" t="s">
        <v>74</v>
      </c>
      <c r="F984" t="s">
        <v>47</v>
      </c>
      <c r="G984">
        <v>3</v>
      </c>
    </row>
    <row r="985" spans="1:7" x14ac:dyDescent="0.35">
      <c r="A985">
        <v>1002309</v>
      </c>
      <c r="B985" s="2">
        <v>46184</v>
      </c>
      <c r="C985" s="2">
        <v>46210</v>
      </c>
      <c r="D985">
        <v>26</v>
      </c>
      <c r="E985" t="s">
        <v>133</v>
      </c>
      <c r="F985" t="s">
        <v>47</v>
      </c>
      <c r="G985">
        <v>6</v>
      </c>
    </row>
    <row r="986" spans="1:7" x14ac:dyDescent="0.35">
      <c r="A986">
        <v>1002309</v>
      </c>
      <c r="B986" s="2">
        <v>46184</v>
      </c>
      <c r="C986" s="2">
        <v>46210</v>
      </c>
      <c r="D986">
        <v>26</v>
      </c>
      <c r="E986" t="s">
        <v>42</v>
      </c>
      <c r="F986" t="s">
        <v>43</v>
      </c>
      <c r="G986">
        <v>-3</v>
      </c>
    </row>
    <row r="987" spans="1:7" x14ac:dyDescent="0.35">
      <c r="A987">
        <v>1002309</v>
      </c>
      <c r="B987" s="2">
        <v>46184</v>
      </c>
      <c r="C987" s="2">
        <v>46210</v>
      </c>
      <c r="D987">
        <v>26</v>
      </c>
      <c r="E987" t="s">
        <v>59</v>
      </c>
      <c r="F987" t="s">
        <v>60</v>
      </c>
      <c r="G987">
        <v>-3</v>
      </c>
    </row>
    <row r="988" spans="1:7" x14ac:dyDescent="0.35">
      <c r="A988">
        <v>1002309</v>
      </c>
      <c r="B988" s="2">
        <v>46184</v>
      </c>
      <c r="C988" s="2">
        <v>46210</v>
      </c>
      <c r="D988">
        <v>26</v>
      </c>
      <c r="E988" t="s">
        <v>79</v>
      </c>
      <c r="F988" t="s">
        <v>60</v>
      </c>
      <c r="G988">
        <v>-6</v>
      </c>
    </row>
    <row r="989" spans="1:7" x14ac:dyDescent="0.35">
      <c r="A989">
        <v>1002309</v>
      </c>
      <c r="B989" s="2">
        <v>46184</v>
      </c>
      <c r="C989" s="2">
        <v>46210</v>
      </c>
      <c r="D989">
        <v>26</v>
      </c>
      <c r="E989" t="s">
        <v>46</v>
      </c>
      <c r="F989" t="s">
        <v>47</v>
      </c>
      <c r="G989">
        <v>-3</v>
      </c>
    </row>
    <row r="990" spans="1:7" x14ac:dyDescent="0.35">
      <c r="A990">
        <v>1002309</v>
      </c>
      <c r="B990" s="2">
        <v>46184</v>
      </c>
      <c r="C990" s="2">
        <v>46210</v>
      </c>
      <c r="D990">
        <v>26</v>
      </c>
      <c r="E990" t="s">
        <v>74</v>
      </c>
      <c r="F990" t="s">
        <v>47</v>
      </c>
      <c r="G990">
        <v>-3</v>
      </c>
    </row>
    <row r="991" spans="1:7" x14ac:dyDescent="0.35">
      <c r="A991">
        <v>1002309</v>
      </c>
      <c r="B991" s="2">
        <v>46184</v>
      </c>
      <c r="C991" s="2">
        <v>46210</v>
      </c>
      <c r="D991">
        <v>26</v>
      </c>
      <c r="E991" t="s">
        <v>133</v>
      </c>
      <c r="F991" t="s">
        <v>47</v>
      </c>
      <c r="G991">
        <v>-6</v>
      </c>
    </row>
    <row r="992" spans="1:7" x14ac:dyDescent="0.35">
      <c r="A992">
        <v>1002321</v>
      </c>
      <c r="B992" s="2">
        <v>46183</v>
      </c>
      <c r="C992" s="2">
        <v>46190</v>
      </c>
      <c r="D992">
        <v>7</v>
      </c>
      <c r="E992" t="s">
        <v>138</v>
      </c>
      <c r="F992" t="s">
        <v>139</v>
      </c>
      <c r="G992">
        <v>5</v>
      </c>
    </row>
    <row r="993" spans="1:7" x14ac:dyDescent="0.35">
      <c r="A993">
        <v>1002321</v>
      </c>
      <c r="B993" s="2">
        <v>46183</v>
      </c>
      <c r="C993" s="2">
        <v>46190</v>
      </c>
      <c r="D993">
        <v>7</v>
      </c>
      <c r="E993" t="s">
        <v>134</v>
      </c>
      <c r="F993" t="s">
        <v>49</v>
      </c>
      <c r="G993">
        <v>3</v>
      </c>
    </row>
    <row r="994" spans="1:7" x14ac:dyDescent="0.35">
      <c r="A994">
        <v>1002321</v>
      </c>
      <c r="B994" s="2">
        <v>46183</v>
      </c>
      <c r="C994" s="2">
        <v>46190</v>
      </c>
      <c r="D994">
        <v>7</v>
      </c>
      <c r="E994" t="s">
        <v>52</v>
      </c>
      <c r="F994" t="s">
        <v>53</v>
      </c>
      <c r="G994">
        <v>1</v>
      </c>
    </row>
    <row r="995" spans="1:7" x14ac:dyDescent="0.35">
      <c r="A995">
        <v>1002321</v>
      </c>
      <c r="B995" s="2">
        <v>46183</v>
      </c>
      <c r="C995" s="2">
        <v>46190</v>
      </c>
      <c r="D995">
        <v>7</v>
      </c>
      <c r="E995" t="s">
        <v>135</v>
      </c>
      <c r="F995" t="s">
        <v>51</v>
      </c>
      <c r="G995">
        <v>1</v>
      </c>
    </row>
    <row r="996" spans="1:7" x14ac:dyDescent="0.35">
      <c r="A996">
        <v>1002321</v>
      </c>
      <c r="B996" s="2">
        <v>46183</v>
      </c>
      <c r="C996" s="2">
        <v>46190</v>
      </c>
      <c r="D996">
        <v>7</v>
      </c>
      <c r="E996" t="s">
        <v>138</v>
      </c>
      <c r="F996" t="s">
        <v>139</v>
      </c>
      <c r="G996">
        <v>1</v>
      </c>
    </row>
    <row r="997" spans="1:7" x14ac:dyDescent="0.35">
      <c r="A997">
        <v>1002321</v>
      </c>
      <c r="B997" s="2">
        <v>46183</v>
      </c>
      <c r="C997" s="2">
        <v>46190</v>
      </c>
      <c r="D997">
        <v>7</v>
      </c>
      <c r="E997" t="s">
        <v>193</v>
      </c>
      <c r="F997" t="s">
        <v>194</v>
      </c>
      <c r="G997">
        <v>1</v>
      </c>
    </row>
    <row r="998" spans="1:7" x14ac:dyDescent="0.35">
      <c r="A998">
        <v>1002348</v>
      </c>
      <c r="B998" s="2">
        <v>46189</v>
      </c>
      <c r="C998" s="2">
        <v>46196</v>
      </c>
      <c r="D998">
        <v>7</v>
      </c>
      <c r="E998" t="s">
        <v>13</v>
      </c>
      <c r="F998" t="s">
        <v>14</v>
      </c>
      <c r="G998">
        <v>6</v>
      </c>
    </row>
    <row r="999" spans="1:7" x14ac:dyDescent="0.35">
      <c r="A999">
        <v>1002348</v>
      </c>
      <c r="B999" s="2">
        <v>46189</v>
      </c>
      <c r="C999" s="2">
        <v>46196</v>
      </c>
      <c r="D999">
        <v>7</v>
      </c>
      <c r="E999" t="s">
        <v>9</v>
      </c>
      <c r="F999" t="s">
        <v>10</v>
      </c>
      <c r="G999">
        <v>6</v>
      </c>
    </row>
    <row r="1000" spans="1:7" x14ac:dyDescent="0.35">
      <c r="A1000">
        <v>1002348</v>
      </c>
      <c r="B1000" s="2">
        <v>46189</v>
      </c>
      <c r="C1000" s="2">
        <v>46196</v>
      </c>
      <c r="D1000">
        <v>7</v>
      </c>
      <c r="E1000" t="s">
        <v>42</v>
      </c>
      <c r="F1000" t="s">
        <v>43</v>
      </c>
      <c r="G1000">
        <v>6</v>
      </c>
    </row>
    <row r="1001" spans="1:7" x14ac:dyDescent="0.35">
      <c r="A1001">
        <v>1002348</v>
      </c>
      <c r="B1001" s="2">
        <v>46189</v>
      </c>
      <c r="C1001" s="2">
        <v>46196</v>
      </c>
      <c r="D1001">
        <v>7</v>
      </c>
      <c r="E1001" t="s">
        <v>59</v>
      </c>
      <c r="F1001" t="s">
        <v>60</v>
      </c>
      <c r="G1001">
        <v>6</v>
      </c>
    </row>
    <row r="1002" spans="1:7" x14ac:dyDescent="0.35">
      <c r="A1002">
        <v>1002348</v>
      </c>
      <c r="B1002" s="2">
        <v>46189</v>
      </c>
      <c r="C1002" s="2">
        <v>46196</v>
      </c>
      <c r="D1002">
        <v>7</v>
      </c>
      <c r="E1002" t="s">
        <v>233</v>
      </c>
      <c r="F1002" t="s">
        <v>188</v>
      </c>
      <c r="G1002">
        <v>3</v>
      </c>
    </row>
    <row r="1003" spans="1:7" x14ac:dyDescent="0.35">
      <c r="A1003">
        <v>1002348</v>
      </c>
      <c r="B1003" s="2">
        <v>46189</v>
      </c>
      <c r="C1003" s="2">
        <v>46196</v>
      </c>
      <c r="D1003">
        <v>7</v>
      </c>
      <c r="E1003" t="s">
        <v>187</v>
      </c>
      <c r="F1003" t="s">
        <v>188</v>
      </c>
      <c r="G1003">
        <v>3</v>
      </c>
    </row>
    <row r="1004" spans="1:7" x14ac:dyDescent="0.35">
      <c r="A1004">
        <v>1002348</v>
      </c>
      <c r="B1004" s="2">
        <v>46189</v>
      </c>
      <c r="C1004" s="2">
        <v>46196</v>
      </c>
      <c r="D1004">
        <v>7</v>
      </c>
      <c r="E1004" t="s">
        <v>87</v>
      </c>
      <c r="F1004" t="s">
        <v>64</v>
      </c>
      <c r="G1004">
        <v>3</v>
      </c>
    </row>
    <row r="1005" spans="1:7" x14ac:dyDescent="0.35">
      <c r="A1005">
        <v>1002348</v>
      </c>
      <c r="B1005" s="2">
        <v>46189</v>
      </c>
      <c r="C1005" s="2">
        <v>46196</v>
      </c>
      <c r="D1005">
        <v>7</v>
      </c>
      <c r="E1005" t="s">
        <v>63</v>
      </c>
      <c r="F1005" t="s">
        <v>64</v>
      </c>
      <c r="G1005">
        <v>3</v>
      </c>
    </row>
    <row r="1006" spans="1:7" x14ac:dyDescent="0.35">
      <c r="A1006">
        <v>1002348</v>
      </c>
      <c r="B1006" s="2">
        <v>46189</v>
      </c>
      <c r="C1006" s="2">
        <v>46196</v>
      </c>
      <c r="D1006">
        <v>7</v>
      </c>
      <c r="E1006" t="s">
        <v>44</v>
      </c>
      <c r="F1006" t="s">
        <v>45</v>
      </c>
      <c r="G1006">
        <v>6</v>
      </c>
    </row>
    <row r="1007" spans="1:7" x14ac:dyDescent="0.35">
      <c r="A1007">
        <v>1002348</v>
      </c>
      <c r="B1007" s="2">
        <v>46189</v>
      </c>
      <c r="C1007" s="2">
        <v>46196</v>
      </c>
      <c r="D1007">
        <v>7</v>
      </c>
      <c r="E1007" t="s">
        <v>106</v>
      </c>
      <c r="F1007" t="s">
        <v>45</v>
      </c>
      <c r="G1007">
        <v>6</v>
      </c>
    </row>
    <row r="1008" spans="1:7" x14ac:dyDescent="0.35">
      <c r="A1008">
        <v>1002348</v>
      </c>
      <c r="B1008" s="2">
        <v>46189</v>
      </c>
      <c r="C1008" s="2">
        <v>46196</v>
      </c>
      <c r="D1008">
        <v>7</v>
      </c>
      <c r="E1008" t="s">
        <v>335</v>
      </c>
      <c r="F1008" t="s">
        <v>67</v>
      </c>
      <c r="G1008">
        <v>3</v>
      </c>
    </row>
    <row r="1009" spans="1:7" x14ac:dyDescent="0.35">
      <c r="A1009">
        <v>1002348</v>
      </c>
      <c r="B1009" s="2">
        <v>46189</v>
      </c>
      <c r="C1009" s="2">
        <v>46196</v>
      </c>
      <c r="D1009">
        <v>7</v>
      </c>
      <c r="E1009" t="s">
        <v>375</v>
      </c>
      <c r="F1009" t="s">
        <v>67</v>
      </c>
      <c r="G1009">
        <v>3</v>
      </c>
    </row>
    <row r="1010" spans="1:7" x14ac:dyDescent="0.35">
      <c r="A1010">
        <v>1002348</v>
      </c>
      <c r="B1010" s="2">
        <v>46189</v>
      </c>
      <c r="C1010" s="2">
        <v>46196</v>
      </c>
      <c r="D1010">
        <v>7</v>
      </c>
      <c r="E1010" t="s">
        <v>337</v>
      </c>
      <c r="F1010" t="s">
        <v>143</v>
      </c>
      <c r="G1010">
        <v>3</v>
      </c>
    </row>
    <row r="1011" spans="1:7" x14ac:dyDescent="0.35">
      <c r="A1011">
        <v>1002348</v>
      </c>
      <c r="B1011" s="2">
        <v>46189</v>
      </c>
      <c r="C1011" s="2">
        <v>46196</v>
      </c>
      <c r="D1011">
        <v>7</v>
      </c>
      <c r="E1011" t="s">
        <v>74</v>
      </c>
      <c r="F1011" t="s">
        <v>47</v>
      </c>
      <c r="G1011">
        <v>6</v>
      </c>
    </row>
    <row r="1012" spans="1:7" x14ac:dyDescent="0.35">
      <c r="A1012">
        <v>1002348</v>
      </c>
      <c r="B1012" s="2">
        <v>46189</v>
      </c>
      <c r="C1012" s="2">
        <v>46196</v>
      </c>
      <c r="D1012">
        <v>7</v>
      </c>
      <c r="E1012" t="s">
        <v>134</v>
      </c>
      <c r="F1012" t="s">
        <v>49</v>
      </c>
      <c r="G1012">
        <v>1</v>
      </c>
    </row>
    <row r="1013" spans="1:7" x14ac:dyDescent="0.35">
      <c r="A1013">
        <v>1002348</v>
      </c>
      <c r="B1013" s="2">
        <v>46189</v>
      </c>
      <c r="C1013" s="2">
        <v>46196</v>
      </c>
      <c r="D1013">
        <v>7</v>
      </c>
      <c r="E1013" t="s">
        <v>138</v>
      </c>
      <c r="F1013" t="s">
        <v>139</v>
      </c>
      <c r="G1013">
        <v>1</v>
      </c>
    </row>
    <row r="1014" spans="1:7" x14ac:dyDescent="0.35">
      <c r="A1014">
        <v>1002348</v>
      </c>
      <c r="B1014" s="2">
        <v>46189</v>
      </c>
      <c r="C1014" s="2">
        <v>46196</v>
      </c>
      <c r="D1014">
        <v>7</v>
      </c>
      <c r="E1014" t="s">
        <v>134</v>
      </c>
      <c r="F1014" t="s">
        <v>49</v>
      </c>
      <c r="G1014">
        <v>5</v>
      </c>
    </row>
    <row r="1015" spans="1:7" x14ac:dyDescent="0.35">
      <c r="A1015">
        <v>1002348</v>
      </c>
      <c r="B1015" s="2">
        <v>46189</v>
      </c>
      <c r="C1015" s="2">
        <v>46196</v>
      </c>
      <c r="D1015">
        <v>7</v>
      </c>
      <c r="E1015" t="s">
        <v>138</v>
      </c>
      <c r="F1015" t="s">
        <v>139</v>
      </c>
      <c r="G1015">
        <v>5</v>
      </c>
    </row>
    <row r="1016" spans="1:7" x14ac:dyDescent="0.35">
      <c r="A1016">
        <v>1002348</v>
      </c>
      <c r="B1016" s="2">
        <v>46189</v>
      </c>
      <c r="C1016" s="2">
        <v>46203</v>
      </c>
      <c r="D1016">
        <v>14</v>
      </c>
      <c r="E1016" t="s">
        <v>329</v>
      </c>
      <c r="F1016" t="s">
        <v>326</v>
      </c>
      <c r="G1016">
        <v>3</v>
      </c>
    </row>
    <row r="1017" spans="1:7" x14ac:dyDescent="0.35">
      <c r="A1017">
        <v>1002348</v>
      </c>
      <c r="B1017" s="2">
        <v>46189</v>
      </c>
      <c r="C1017" s="2">
        <v>46203</v>
      </c>
      <c r="D1017">
        <v>14</v>
      </c>
      <c r="E1017" t="s">
        <v>323</v>
      </c>
      <c r="F1017" t="s">
        <v>264</v>
      </c>
      <c r="G1017">
        <v>1</v>
      </c>
    </row>
    <row r="1018" spans="1:7" x14ac:dyDescent="0.35">
      <c r="A1018">
        <v>1002348</v>
      </c>
      <c r="B1018" s="2">
        <v>46189</v>
      </c>
      <c r="C1018" s="2">
        <v>46212</v>
      </c>
      <c r="D1018">
        <v>23</v>
      </c>
      <c r="E1018" t="s">
        <v>21</v>
      </c>
      <c r="F1018" t="s">
        <v>22</v>
      </c>
      <c r="G1018">
        <v>6</v>
      </c>
    </row>
    <row r="1019" spans="1:7" x14ac:dyDescent="0.35">
      <c r="A1019">
        <v>1002348</v>
      </c>
      <c r="B1019" s="2">
        <v>46189</v>
      </c>
      <c r="C1019" s="2">
        <v>46212</v>
      </c>
      <c r="D1019">
        <v>23</v>
      </c>
      <c r="E1019" t="s">
        <v>310</v>
      </c>
      <c r="F1019" t="s">
        <v>311</v>
      </c>
      <c r="G1019">
        <v>6</v>
      </c>
    </row>
    <row r="1020" spans="1:7" x14ac:dyDescent="0.35">
      <c r="A1020">
        <v>1002348</v>
      </c>
      <c r="B1020" s="2">
        <v>46189</v>
      </c>
      <c r="C1020" s="2">
        <v>46212</v>
      </c>
      <c r="D1020">
        <v>23</v>
      </c>
      <c r="E1020" t="s">
        <v>156</v>
      </c>
      <c r="F1020" t="s">
        <v>157</v>
      </c>
      <c r="G1020">
        <v>6</v>
      </c>
    </row>
    <row r="1021" spans="1:7" x14ac:dyDescent="0.35">
      <c r="A1021">
        <v>1002348</v>
      </c>
      <c r="B1021" s="2">
        <v>46189</v>
      </c>
      <c r="C1021" s="2">
        <v>46212</v>
      </c>
      <c r="D1021">
        <v>23</v>
      </c>
      <c r="E1021" t="s">
        <v>23</v>
      </c>
      <c r="F1021" t="s">
        <v>24</v>
      </c>
      <c r="G1021">
        <v>6</v>
      </c>
    </row>
    <row r="1022" spans="1:7" x14ac:dyDescent="0.35">
      <c r="A1022">
        <v>1002348</v>
      </c>
      <c r="B1022" s="2">
        <v>46189</v>
      </c>
      <c r="C1022" s="2">
        <v>46212</v>
      </c>
      <c r="D1022">
        <v>23</v>
      </c>
      <c r="E1022" t="s">
        <v>9</v>
      </c>
      <c r="F1022" t="s">
        <v>10</v>
      </c>
      <c r="G1022">
        <v>6</v>
      </c>
    </row>
    <row r="1023" spans="1:7" x14ac:dyDescent="0.35">
      <c r="A1023">
        <v>1002348</v>
      </c>
      <c r="B1023" s="2">
        <v>46189</v>
      </c>
      <c r="C1023" s="2">
        <v>46212</v>
      </c>
      <c r="D1023">
        <v>23</v>
      </c>
      <c r="E1023" t="s">
        <v>11</v>
      </c>
      <c r="F1023" t="s">
        <v>12</v>
      </c>
      <c r="G1023">
        <v>6</v>
      </c>
    </row>
    <row r="1024" spans="1:7" x14ac:dyDescent="0.35">
      <c r="A1024">
        <v>1002356</v>
      </c>
      <c r="B1024" s="2">
        <v>46190</v>
      </c>
      <c r="C1024" s="2">
        <v>46202</v>
      </c>
      <c r="D1024">
        <v>12</v>
      </c>
      <c r="E1024" t="s">
        <v>59</v>
      </c>
      <c r="F1024" t="s">
        <v>60</v>
      </c>
      <c r="G1024">
        <v>3</v>
      </c>
    </row>
    <row r="1025" spans="1:7" x14ac:dyDescent="0.35">
      <c r="A1025">
        <v>1002356</v>
      </c>
      <c r="B1025" s="2">
        <v>46190</v>
      </c>
      <c r="C1025" s="2">
        <v>46202</v>
      </c>
      <c r="D1025">
        <v>12</v>
      </c>
      <c r="E1025" t="s">
        <v>68</v>
      </c>
      <c r="F1025" t="s">
        <v>69</v>
      </c>
      <c r="G1025">
        <v>3</v>
      </c>
    </row>
    <row r="1026" spans="1:7" x14ac:dyDescent="0.35">
      <c r="A1026">
        <v>1002356</v>
      </c>
      <c r="B1026" s="2">
        <v>46190</v>
      </c>
      <c r="C1026" s="2">
        <v>46202</v>
      </c>
      <c r="D1026">
        <v>12</v>
      </c>
      <c r="E1026" t="s">
        <v>74</v>
      </c>
      <c r="F1026" t="s">
        <v>47</v>
      </c>
      <c r="G1026">
        <v>3</v>
      </c>
    </row>
    <row r="1027" spans="1:7" x14ac:dyDescent="0.35">
      <c r="A1027">
        <v>1002356</v>
      </c>
      <c r="B1027" s="2">
        <v>46190</v>
      </c>
      <c r="C1027" s="2">
        <v>46202</v>
      </c>
      <c r="D1027">
        <v>12</v>
      </c>
      <c r="E1027" t="s">
        <v>352</v>
      </c>
      <c r="F1027" t="s">
        <v>351</v>
      </c>
      <c r="G1027">
        <v>3</v>
      </c>
    </row>
    <row r="1028" spans="1:7" x14ac:dyDescent="0.35">
      <c r="A1028">
        <v>1002356</v>
      </c>
      <c r="B1028" s="2">
        <v>46190</v>
      </c>
      <c r="C1028" s="2">
        <v>46202</v>
      </c>
      <c r="D1028">
        <v>12</v>
      </c>
      <c r="E1028" t="s">
        <v>248</v>
      </c>
      <c r="F1028" t="s">
        <v>183</v>
      </c>
      <c r="G1028">
        <v>3</v>
      </c>
    </row>
    <row r="1029" spans="1:7" x14ac:dyDescent="0.35">
      <c r="A1029">
        <v>1002356</v>
      </c>
      <c r="B1029" s="2">
        <v>46190</v>
      </c>
      <c r="C1029" s="2">
        <v>46202</v>
      </c>
      <c r="D1029">
        <v>12</v>
      </c>
      <c r="E1029" t="s">
        <v>263</v>
      </c>
      <c r="F1029" t="s">
        <v>264</v>
      </c>
      <c r="G1029">
        <v>2</v>
      </c>
    </row>
    <row r="1030" spans="1:7" x14ac:dyDescent="0.35">
      <c r="A1030">
        <v>1002372</v>
      </c>
      <c r="B1030" s="2">
        <v>46195</v>
      </c>
      <c r="C1030" s="2">
        <v>46203</v>
      </c>
      <c r="D1030">
        <v>8</v>
      </c>
      <c r="E1030" t="s">
        <v>136</v>
      </c>
      <c r="F1030" t="s">
        <v>137</v>
      </c>
      <c r="G1030">
        <v>10</v>
      </c>
    </row>
    <row r="1031" spans="1:7" x14ac:dyDescent="0.35">
      <c r="A1031">
        <v>1002372</v>
      </c>
      <c r="B1031" s="2">
        <v>46195</v>
      </c>
      <c r="C1031" s="2">
        <v>46203</v>
      </c>
      <c r="D1031">
        <v>8</v>
      </c>
      <c r="E1031" t="s">
        <v>136</v>
      </c>
      <c r="F1031" t="s">
        <v>137</v>
      </c>
      <c r="G1031">
        <v>2</v>
      </c>
    </row>
    <row r="1032" spans="1:7" x14ac:dyDescent="0.35">
      <c r="A1032">
        <v>1002385</v>
      </c>
      <c r="B1032" s="2">
        <v>46199</v>
      </c>
      <c r="C1032" s="2">
        <v>46203</v>
      </c>
      <c r="D1032">
        <v>4</v>
      </c>
      <c r="E1032" t="s">
        <v>329</v>
      </c>
      <c r="F1032" t="s">
        <v>326</v>
      </c>
      <c r="G1032">
        <v>5</v>
      </c>
    </row>
    <row r="1033" spans="1:7" x14ac:dyDescent="0.35">
      <c r="A1033">
        <v>1002399</v>
      </c>
      <c r="B1033" s="2">
        <v>46199</v>
      </c>
      <c r="C1033" s="2">
        <v>46202</v>
      </c>
      <c r="D1033">
        <v>3</v>
      </c>
      <c r="E1033" t="s">
        <v>134</v>
      </c>
      <c r="F1033" t="s">
        <v>49</v>
      </c>
      <c r="G1033">
        <v>1</v>
      </c>
    </row>
    <row r="1034" spans="1:7" x14ac:dyDescent="0.35">
      <c r="A1034">
        <v>1002399</v>
      </c>
      <c r="B1034" s="2">
        <v>46199</v>
      </c>
      <c r="C1034" s="2">
        <v>46202</v>
      </c>
      <c r="D1034">
        <v>3</v>
      </c>
      <c r="E1034" t="s">
        <v>135</v>
      </c>
      <c r="F1034" t="s">
        <v>51</v>
      </c>
      <c r="G1034">
        <v>1</v>
      </c>
    </row>
    <row r="1035" spans="1:7" x14ac:dyDescent="0.35">
      <c r="A1035">
        <v>1002399</v>
      </c>
      <c r="B1035" s="2">
        <v>46199</v>
      </c>
      <c r="C1035" s="2">
        <v>46202</v>
      </c>
      <c r="D1035">
        <v>3</v>
      </c>
      <c r="E1035" t="s">
        <v>134</v>
      </c>
      <c r="F1035" t="s">
        <v>49</v>
      </c>
      <c r="G1035">
        <v>5</v>
      </c>
    </row>
    <row r="1036" spans="1:7" x14ac:dyDescent="0.35">
      <c r="A1036">
        <v>1002399</v>
      </c>
      <c r="B1036" s="2">
        <v>46199</v>
      </c>
      <c r="C1036" s="2">
        <v>46202</v>
      </c>
      <c r="D1036">
        <v>3</v>
      </c>
      <c r="E1036" t="s">
        <v>135</v>
      </c>
      <c r="F1036" t="s">
        <v>51</v>
      </c>
      <c r="G1036">
        <v>5</v>
      </c>
    </row>
    <row r="1037" spans="1:7" x14ac:dyDescent="0.35">
      <c r="A1037">
        <v>1002399</v>
      </c>
      <c r="B1037" s="2">
        <v>46199</v>
      </c>
      <c r="C1037" s="2">
        <v>46223</v>
      </c>
      <c r="D1037">
        <v>24</v>
      </c>
      <c r="E1037" t="s">
        <v>86</v>
      </c>
      <c r="F1037" t="s">
        <v>85</v>
      </c>
      <c r="G1037">
        <v>1</v>
      </c>
    </row>
    <row r="1038" spans="1:7" x14ac:dyDescent="0.35">
      <c r="A1038">
        <v>1002399</v>
      </c>
      <c r="B1038" s="2">
        <v>46199</v>
      </c>
      <c r="C1038" s="2">
        <v>46223</v>
      </c>
      <c r="D1038">
        <v>24</v>
      </c>
      <c r="E1038" t="s">
        <v>42</v>
      </c>
      <c r="F1038" t="s">
        <v>43</v>
      </c>
      <c r="G1038">
        <v>12</v>
      </c>
    </row>
    <row r="1039" spans="1:7" x14ac:dyDescent="0.35">
      <c r="A1039">
        <v>1002399</v>
      </c>
      <c r="B1039" s="2">
        <v>46199</v>
      </c>
      <c r="C1039" s="2">
        <v>46223</v>
      </c>
      <c r="D1039">
        <v>24</v>
      </c>
      <c r="E1039" t="s">
        <v>59</v>
      </c>
      <c r="F1039" t="s">
        <v>60</v>
      </c>
      <c r="G1039">
        <v>6</v>
      </c>
    </row>
    <row r="1040" spans="1:7" x14ac:dyDescent="0.35">
      <c r="A1040">
        <v>1002399</v>
      </c>
      <c r="B1040" s="2">
        <v>46199</v>
      </c>
      <c r="C1040" s="2">
        <v>46223</v>
      </c>
      <c r="D1040">
        <v>24</v>
      </c>
      <c r="E1040" t="s">
        <v>79</v>
      </c>
      <c r="F1040" t="s">
        <v>60</v>
      </c>
      <c r="G1040">
        <v>12</v>
      </c>
    </row>
    <row r="1041" spans="1:7" x14ac:dyDescent="0.35">
      <c r="A1041">
        <v>1002399</v>
      </c>
      <c r="B1041" s="2">
        <v>46199</v>
      </c>
      <c r="C1041" s="2">
        <v>46223</v>
      </c>
      <c r="D1041">
        <v>24</v>
      </c>
      <c r="E1041" t="s">
        <v>82</v>
      </c>
      <c r="F1041" t="s">
        <v>83</v>
      </c>
      <c r="G1041">
        <v>6</v>
      </c>
    </row>
    <row r="1042" spans="1:7" x14ac:dyDescent="0.35">
      <c r="A1042">
        <v>1002399</v>
      </c>
      <c r="B1042" s="2">
        <v>46199</v>
      </c>
      <c r="C1042" s="2">
        <v>46223</v>
      </c>
      <c r="D1042">
        <v>24</v>
      </c>
      <c r="E1042" t="s">
        <v>256</v>
      </c>
      <c r="F1042" t="s">
        <v>83</v>
      </c>
      <c r="G1042">
        <v>6</v>
      </c>
    </row>
    <row r="1043" spans="1:7" x14ac:dyDescent="0.35">
      <c r="A1043">
        <v>1002399</v>
      </c>
      <c r="B1043" s="2">
        <v>46199</v>
      </c>
      <c r="C1043" s="2">
        <v>46223</v>
      </c>
      <c r="D1043">
        <v>24</v>
      </c>
      <c r="E1043" t="s">
        <v>376</v>
      </c>
      <c r="F1043" t="s">
        <v>83</v>
      </c>
      <c r="G1043">
        <v>6</v>
      </c>
    </row>
    <row r="1044" spans="1:7" x14ac:dyDescent="0.35">
      <c r="A1044">
        <v>1002399</v>
      </c>
      <c r="B1044" s="2">
        <v>46199</v>
      </c>
      <c r="C1044" s="2">
        <v>46223</v>
      </c>
      <c r="D1044">
        <v>24</v>
      </c>
      <c r="E1044" t="s">
        <v>377</v>
      </c>
      <c r="F1044" t="s">
        <v>188</v>
      </c>
      <c r="G1044">
        <v>6</v>
      </c>
    </row>
    <row r="1045" spans="1:7" x14ac:dyDescent="0.35">
      <c r="A1045">
        <v>1002399</v>
      </c>
      <c r="B1045" s="2">
        <v>46199</v>
      </c>
      <c r="C1045" s="2">
        <v>46223</v>
      </c>
      <c r="D1045">
        <v>24</v>
      </c>
      <c r="E1045" t="s">
        <v>378</v>
      </c>
      <c r="F1045" t="s">
        <v>379</v>
      </c>
      <c r="G1045">
        <v>3</v>
      </c>
    </row>
    <row r="1046" spans="1:7" x14ac:dyDescent="0.35">
      <c r="A1046">
        <v>1002399</v>
      </c>
      <c r="B1046" s="2">
        <v>46199</v>
      </c>
      <c r="C1046" s="2">
        <v>46223</v>
      </c>
      <c r="D1046">
        <v>24</v>
      </c>
      <c r="E1046" t="s">
        <v>380</v>
      </c>
      <c r="F1046" t="s">
        <v>379</v>
      </c>
      <c r="G1046">
        <v>6</v>
      </c>
    </row>
    <row r="1047" spans="1:7" x14ac:dyDescent="0.35">
      <c r="A1047">
        <v>1002399</v>
      </c>
      <c r="B1047" s="2">
        <v>46199</v>
      </c>
      <c r="C1047" s="2">
        <v>46223</v>
      </c>
      <c r="D1047">
        <v>24</v>
      </c>
      <c r="E1047" t="s">
        <v>63</v>
      </c>
      <c r="F1047" t="s">
        <v>64</v>
      </c>
      <c r="G1047">
        <v>3</v>
      </c>
    </row>
    <row r="1048" spans="1:7" x14ac:dyDescent="0.35">
      <c r="A1048">
        <v>1002399</v>
      </c>
      <c r="B1048" s="2">
        <v>46199</v>
      </c>
      <c r="C1048" s="2">
        <v>46223</v>
      </c>
      <c r="D1048">
        <v>24</v>
      </c>
      <c r="E1048" t="s">
        <v>278</v>
      </c>
      <c r="F1048" t="s">
        <v>64</v>
      </c>
      <c r="G1048">
        <v>6</v>
      </c>
    </row>
    <row r="1049" spans="1:7" x14ac:dyDescent="0.35">
      <c r="A1049">
        <v>1002399</v>
      </c>
      <c r="B1049" s="2">
        <v>46199</v>
      </c>
      <c r="C1049" s="2">
        <v>46223</v>
      </c>
      <c r="D1049">
        <v>24</v>
      </c>
      <c r="E1049" t="s">
        <v>381</v>
      </c>
      <c r="F1049" t="s">
        <v>382</v>
      </c>
      <c r="G1049">
        <v>3</v>
      </c>
    </row>
    <row r="1050" spans="1:7" x14ac:dyDescent="0.35">
      <c r="A1050">
        <v>1002399</v>
      </c>
      <c r="B1050" s="2">
        <v>46199</v>
      </c>
      <c r="C1050" s="2">
        <v>46223</v>
      </c>
      <c r="D1050">
        <v>24</v>
      </c>
      <c r="E1050" t="s">
        <v>383</v>
      </c>
      <c r="F1050" t="s">
        <v>382</v>
      </c>
      <c r="G1050">
        <v>6</v>
      </c>
    </row>
    <row r="1051" spans="1:7" x14ac:dyDescent="0.35">
      <c r="A1051">
        <v>1002399</v>
      </c>
      <c r="B1051" s="2">
        <v>46199</v>
      </c>
      <c r="C1051" s="2">
        <v>46223</v>
      </c>
      <c r="D1051">
        <v>24</v>
      </c>
      <c r="E1051" t="s">
        <v>44</v>
      </c>
      <c r="F1051" t="s">
        <v>45</v>
      </c>
      <c r="G1051">
        <v>3</v>
      </c>
    </row>
    <row r="1052" spans="1:7" x14ac:dyDescent="0.35">
      <c r="A1052">
        <v>1002399</v>
      </c>
      <c r="B1052" s="2">
        <v>46199</v>
      </c>
      <c r="C1052" s="2">
        <v>46223</v>
      </c>
      <c r="D1052">
        <v>24</v>
      </c>
      <c r="E1052" t="s">
        <v>106</v>
      </c>
      <c r="F1052" t="s">
        <v>45</v>
      </c>
      <c r="G1052">
        <v>3</v>
      </c>
    </row>
    <row r="1053" spans="1:7" x14ac:dyDescent="0.35">
      <c r="A1053">
        <v>1002399</v>
      </c>
      <c r="B1053" s="2">
        <v>46199</v>
      </c>
      <c r="C1053" s="2">
        <v>46223</v>
      </c>
      <c r="D1053">
        <v>24</v>
      </c>
      <c r="E1053" t="s">
        <v>65</v>
      </c>
      <c r="F1053" t="s">
        <v>45</v>
      </c>
      <c r="G1053">
        <v>6</v>
      </c>
    </row>
    <row r="1054" spans="1:7" x14ac:dyDescent="0.35">
      <c r="A1054">
        <v>1002399</v>
      </c>
      <c r="B1054" s="2">
        <v>46199</v>
      </c>
      <c r="C1054" s="2">
        <v>46223</v>
      </c>
      <c r="D1054">
        <v>24</v>
      </c>
      <c r="E1054" t="s">
        <v>384</v>
      </c>
      <c r="F1054" t="s">
        <v>275</v>
      </c>
      <c r="G1054">
        <v>3</v>
      </c>
    </row>
    <row r="1055" spans="1:7" x14ac:dyDescent="0.35">
      <c r="A1055">
        <v>1002399</v>
      </c>
      <c r="B1055" s="2">
        <v>46199</v>
      </c>
      <c r="C1055" s="2">
        <v>46223</v>
      </c>
      <c r="D1055">
        <v>24</v>
      </c>
      <c r="E1055" t="s">
        <v>385</v>
      </c>
      <c r="F1055" t="s">
        <v>275</v>
      </c>
      <c r="G1055">
        <v>6</v>
      </c>
    </row>
    <row r="1056" spans="1:7" x14ac:dyDescent="0.35">
      <c r="A1056">
        <v>1002399</v>
      </c>
      <c r="B1056" s="2">
        <v>46199</v>
      </c>
      <c r="C1056" s="2">
        <v>46223</v>
      </c>
      <c r="D1056">
        <v>24</v>
      </c>
      <c r="E1056" t="s">
        <v>375</v>
      </c>
      <c r="F1056" t="s">
        <v>67</v>
      </c>
      <c r="G1056">
        <v>3</v>
      </c>
    </row>
    <row r="1057" spans="1:7" x14ac:dyDescent="0.35">
      <c r="A1057">
        <v>1002399</v>
      </c>
      <c r="B1057" s="2">
        <v>46199</v>
      </c>
      <c r="C1057" s="2">
        <v>46223</v>
      </c>
      <c r="D1057">
        <v>24</v>
      </c>
      <c r="E1057" t="s">
        <v>66</v>
      </c>
      <c r="F1057" t="s">
        <v>67</v>
      </c>
      <c r="G1057">
        <v>6</v>
      </c>
    </row>
    <row r="1058" spans="1:7" x14ac:dyDescent="0.35">
      <c r="A1058">
        <v>1002399</v>
      </c>
      <c r="B1058" s="2">
        <v>46199</v>
      </c>
      <c r="C1058" s="2">
        <v>46223</v>
      </c>
      <c r="D1058">
        <v>24</v>
      </c>
      <c r="E1058" t="s">
        <v>386</v>
      </c>
      <c r="F1058" t="s">
        <v>387</v>
      </c>
      <c r="G1058">
        <v>3</v>
      </c>
    </row>
    <row r="1059" spans="1:7" x14ac:dyDescent="0.35">
      <c r="A1059">
        <v>1002399</v>
      </c>
      <c r="B1059" s="2">
        <v>46199</v>
      </c>
      <c r="C1059" s="2">
        <v>46223</v>
      </c>
      <c r="D1059">
        <v>24</v>
      </c>
      <c r="E1059" t="s">
        <v>388</v>
      </c>
      <c r="F1059" t="s">
        <v>387</v>
      </c>
      <c r="G1059">
        <v>6</v>
      </c>
    </row>
    <row r="1060" spans="1:7" x14ac:dyDescent="0.35">
      <c r="A1060">
        <v>1002399</v>
      </c>
      <c r="B1060" s="2">
        <v>46199</v>
      </c>
      <c r="C1060" s="2">
        <v>46223</v>
      </c>
      <c r="D1060">
        <v>24</v>
      </c>
      <c r="E1060" t="s">
        <v>108</v>
      </c>
      <c r="F1060" t="s">
        <v>109</v>
      </c>
      <c r="G1060">
        <v>6</v>
      </c>
    </row>
    <row r="1061" spans="1:7" x14ac:dyDescent="0.35">
      <c r="A1061">
        <v>1002399</v>
      </c>
      <c r="B1061" s="2">
        <v>46199</v>
      </c>
      <c r="C1061" s="2">
        <v>46223</v>
      </c>
      <c r="D1061">
        <v>24</v>
      </c>
      <c r="E1061" t="s">
        <v>142</v>
      </c>
      <c r="F1061" t="s">
        <v>143</v>
      </c>
      <c r="G1061">
        <v>6</v>
      </c>
    </row>
    <row r="1062" spans="1:7" x14ac:dyDescent="0.35">
      <c r="A1062">
        <v>1002399</v>
      </c>
      <c r="B1062" s="2">
        <v>46199</v>
      </c>
      <c r="C1062" s="2">
        <v>46223</v>
      </c>
      <c r="D1062">
        <v>24</v>
      </c>
      <c r="E1062" t="s">
        <v>389</v>
      </c>
      <c r="F1062" t="s">
        <v>69</v>
      </c>
      <c r="G1062">
        <v>1</v>
      </c>
    </row>
    <row r="1063" spans="1:7" x14ac:dyDescent="0.35">
      <c r="A1063">
        <v>1002399</v>
      </c>
      <c r="B1063" s="2">
        <v>46199</v>
      </c>
      <c r="C1063" s="2">
        <v>46223</v>
      </c>
      <c r="D1063">
        <v>24</v>
      </c>
      <c r="E1063" t="s">
        <v>107</v>
      </c>
      <c r="F1063" t="s">
        <v>69</v>
      </c>
      <c r="G1063">
        <v>3</v>
      </c>
    </row>
    <row r="1064" spans="1:7" x14ac:dyDescent="0.35">
      <c r="A1064">
        <v>1002399</v>
      </c>
      <c r="B1064" s="2">
        <v>46199</v>
      </c>
      <c r="C1064" s="2">
        <v>46223</v>
      </c>
      <c r="D1064">
        <v>24</v>
      </c>
      <c r="E1064" t="s">
        <v>279</v>
      </c>
      <c r="F1064" t="s">
        <v>69</v>
      </c>
      <c r="G1064">
        <v>6</v>
      </c>
    </row>
    <row r="1065" spans="1:7" x14ac:dyDescent="0.35">
      <c r="A1065">
        <v>1002399</v>
      </c>
      <c r="B1065" s="2">
        <v>46199</v>
      </c>
      <c r="C1065" s="2">
        <v>46223</v>
      </c>
      <c r="D1065">
        <v>24</v>
      </c>
      <c r="E1065" t="s">
        <v>144</v>
      </c>
      <c r="F1065" t="s">
        <v>71</v>
      </c>
      <c r="G1065">
        <v>6</v>
      </c>
    </row>
    <row r="1066" spans="1:7" x14ac:dyDescent="0.35">
      <c r="A1066">
        <v>1002399</v>
      </c>
      <c r="B1066" s="2">
        <v>46199</v>
      </c>
      <c r="C1066" s="2">
        <v>46223</v>
      </c>
      <c r="D1066">
        <v>24</v>
      </c>
      <c r="E1066" t="s">
        <v>390</v>
      </c>
      <c r="F1066" t="s">
        <v>71</v>
      </c>
      <c r="G1066">
        <v>12</v>
      </c>
    </row>
    <row r="1067" spans="1:7" x14ac:dyDescent="0.35">
      <c r="A1067">
        <v>1002399</v>
      </c>
      <c r="B1067" s="2">
        <v>46199</v>
      </c>
      <c r="C1067" s="2">
        <v>46223</v>
      </c>
      <c r="D1067">
        <v>24</v>
      </c>
      <c r="E1067" t="s">
        <v>73</v>
      </c>
      <c r="F1067" t="s">
        <v>47</v>
      </c>
      <c r="G1067">
        <v>1</v>
      </c>
    </row>
    <row r="1068" spans="1:7" x14ac:dyDescent="0.35">
      <c r="A1068">
        <v>1002399</v>
      </c>
      <c r="B1068" s="2">
        <v>46199</v>
      </c>
      <c r="C1068" s="2">
        <v>46223</v>
      </c>
      <c r="D1068">
        <v>24</v>
      </c>
      <c r="E1068" t="s">
        <v>46</v>
      </c>
      <c r="F1068" t="s">
        <v>47</v>
      </c>
      <c r="G1068">
        <v>12</v>
      </c>
    </row>
    <row r="1069" spans="1:7" x14ac:dyDescent="0.35">
      <c r="A1069">
        <v>1002399</v>
      </c>
      <c r="B1069" s="2">
        <v>46199</v>
      </c>
      <c r="C1069" s="2">
        <v>46223</v>
      </c>
      <c r="D1069">
        <v>24</v>
      </c>
      <c r="E1069" t="s">
        <v>74</v>
      </c>
      <c r="F1069" t="s">
        <v>47</v>
      </c>
      <c r="G1069">
        <v>6</v>
      </c>
    </row>
    <row r="1070" spans="1:7" x14ac:dyDescent="0.35">
      <c r="A1070">
        <v>1002399</v>
      </c>
      <c r="B1070" s="2">
        <v>46199</v>
      </c>
      <c r="C1070" s="2">
        <v>46223</v>
      </c>
      <c r="D1070">
        <v>24</v>
      </c>
      <c r="E1070" t="s">
        <v>133</v>
      </c>
      <c r="F1070" t="s">
        <v>47</v>
      </c>
      <c r="G1070">
        <v>6</v>
      </c>
    </row>
    <row r="1071" spans="1:7" x14ac:dyDescent="0.35">
      <c r="A1071">
        <v>1002399</v>
      </c>
      <c r="B1071" s="2">
        <v>46199</v>
      </c>
      <c r="C1071" s="2">
        <v>46223</v>
      </c>
      <c r="D1071">
        <v>24</v>
      </c>
      <c r="E1071" t="s">
        <v>110</v>
      </c>
      <c r="F1071" t="s">
        <v>111</v>
      </c>
      <c r="G1071">
        <v>3</v>
      </c>
    </row>
    <row r="1072" spans="1:7" x14ac:dyDescent="0.35">
      <c r="A1072">
        <v>1002399</v>
      </c>
      <c r="B1072" s="2">
        <v>46199</v>
      </c>
      <c r="C1072" s="2">
        <v>46223</v>
      </c>
      <c r="D1072">
        <v>24</v>
      </c>
      <c r="E1072" t="s">
        <v>48</v>
      </c>
      <c r="F1072" t="s">
        <v>49</v>
      </c>
      <c r="G1072">
        <v>5</v>
      </c>
    </row>
    <row r="1073" spans="1:7" x14ac:dyDescent="0.35">
      <c r="A1073">
        <v>1002399</v>
      </c>
      <c r="B1073" s="2">
        <v>46199</v>
      </c>
      <c r="C1073" s="2">
        <v>46223</v>
      </c>
      <c r="D1073">
        <v>24</v>
      </c>
      <c r="E1073" t="s">
        <v>50</v>
      </c>
      <c r="F1073" t="s">
        <v>51</v>
      </c>
      <c r="G1073">
        <v>5</v>
      </c>
    </row>
    <row r="1074" spans="1:7" x14ac:dyDescent="0.35">
      <c r="A1074">
        <v>1002399</v>
      </c>
      <c r="B1074" s="2">
        <v>46199</v>
      </c>
      <c r="C1074" s="2">
        <v>46223</v>
      </c>
      <c r="D1074">
        <v>24</v>
      </c>
      <c r="E1074" t="s">
        <v>329</v>
      </c>
      <c r="F1074" t="s">
        <v>326</v>
      </c>
      <c r="G1074">
        <v>2</v>
      </c>
    </row>
    <row r="1075" spans="1:7" x14ac:dyDescent="0.35">
      <c r="A1075">
        <v>1002399</v>
      </c>
      <c r="B1075" s="2">
        <v>46199</v>
      </c>
      <c r="C1075" s="2">
        <v>46223</v>
      </c>
      <c r="D1075">
        <v>24</v>
      </c>
      <c r="E1075" t="s">
        <v>330</v>
      </c>
      <c r="F1075" t="s">
        <v>326</v>
      </c>
      <c r="G1075">
        <v>10</v>
      </c>
    </row>
    <row r="1076" spans="1:7" x14ac:dyDescent="0.35">
      <c r="A1076">
        <v>1002399</v>
      </c>
      <c r="B1076" s="2">
        <v>46199</v>
      </c>
      <c r="C1076" s="2">
        <v>46223</v>
      </c>
      <c r="D1076">
        <v>24</v>
      </c>
      <c r="E1076" t="s">
        <v>325</v>
      </c>
      <c r="F1076" t="s">
        <v>326</v>
      </c>
      <c r="G1076">
        <v>12</v>
      </c>
    </row>
    <row r="1077" spans="1:7" x14ac:dyDescent="0.35">
      <c r="A1077">
        <v>1002399</v>
      </c>
      <c r="B1077" s="2">
        <v>46199</v>
      </c>
      <c r="C1077" s="2">
        <v>46223</v>
      </c>
      <c r="D1077">
        <v>24</v>
      </c>
      <c r="E1077" t="s">
        <v>323</v>
      </c>
      <c r="F1077" t="s">
        <v>264</v>
      </c>
      <c r="G1077">
        <v>2</v>
      </c>
    </row>
    <row r="1078" spans="1:7" x14ac:dyDescent="0.35">
      <c r="A1078">
        <v>1002400</v>
      </c>
      <c r="B1078" s="2">
        <v>46200</v>
      </c>
      <c r="C1078" s="2">
        <v>46207</v>
      </c>
      <c r="D1078">
        <v>7</v>
      </c>
      <c r="E1078" t="s">
        <v>391</v>
      </c>
      <c r="F1078" t="s">
        <v>392</v>
      </c>
      <c r="G1078">
        <v>12</v>
      </c>
    </row>
    <row r="1079" spans="1:7" x14ac:dyDescent="0.35">
      <c r="A1079">
        <v>1002400</v>
      </c>
      <c r="B1079" s="2">
        <v>46200</v>
      </c>
      <c r="C1079" s="2">
        <v>46207</v>
      </c>
      <c r="D1079">
        <v>7</v>
      </c>
      <c r="E1079" t="s">
        <v>23</v>
      </c>
      <c r="F1079" t="s">
        <v>24</v>
      </c>
      <c r="G1079">
        <v>6</v>
      </c>
    </row>
    <row r="1080" spans="1:7" x14ac:dyDescent="0.35">
      <c r="A1080">
        <v>1002400</v>
      </c>
      <c r="B1080" s="2">
        <v>46200</v>
      </c>
      <c r="C1080" s="2">
        <v>46207</v>
      </c>
      <c r="D1080">
        <v>7</v>
      </c>
      <c r="E1080" t="s">
        <v>9</v>
      </c>
      <c r="F1080" t="s">
        <v>10</v>
      </c>
      <c r="G1080">
        <v>24</v>
      </c>
    </row>
    <row r="1081" spans="1:7" x14ac:dyDescent="0.35">
      <c r="A1081">
        <v>1002400</v>
      </c>
      <c r="B1081" s="2">
        <v>46200</v>
      </c>
      <c r="C1081" s="2">
        <v>46207</v>
      </c>
      <c r="D1081">
        <v>7</v>
      </c>
      <c r="E1081" t="s">
        <v>11</v>
      </c>
      <c r="F1081" t="s">
        <v>12</v>
      </c>
      <c r="G1081">
        <v>6</v>
      </c>
    </row>
    <row r="1082" spans="1:7" x14ac:dyDescent="0.35">
      <c r="A1082">
        <v>1002400</v>
      </c>
      <c r="B1082" s="2">
        <v>46200</v>
      </c>
      <c r="C1082" s="2">
        <v>46212</v>
      </c>
      <c r="D1082">
        <v>12</v>
      </c>
      <c r="E1082" t="s">
        <v>150</v>
      </c>
      <c r="F1082" t="s">
        <v>151</v>
      </c>
      <c r="G1082">
        <v>6</v>
      </c>
    </row>
    <row r="1083" spans="1:7" x14ac:dyDescent="0.35">
      <c r="A1083">
        <v>1002421</v>
      </c>
      <c r="B1083" s="2">
        <v>46202</v>
      </c>
      <c r="C1083" s="2">
        <v>46203</v>
      </c>
      <c r="D1083">
        <v>1</v>
      </c>
      <c r="E1083" t="s">
        <v>93</v>
      </c>
      <c r="F1083" t="s">
        <v>94</v>
      </c>
      <c r="G1083">
        <v>4</v>
      </c>
    </row>
    <row r="1084" spans="1:7" x14ac:dyDescent="0.35">
      <c r="A1084">
        <v>1002421</v>
      </c>
      <c r="B1084" s="2">
        <v>46202</v>
      </c>
      <c r="C1084" s="2">
        <v>46212</v>
      </c>
      <c r="D1084">
        <v>10</v>
      </c>
      <c r="E1084" t="s">
        <v>207</v>
      </c>
      <c r="F1084" t="s">
        <v>109</v>
      </c>
      <c r="G1084">
        <v>1</v>
      </c>
    </row>
    <row r="1085" spans="1:7" x14ac:dyDescent="0.35">
      <c r="A1085">
        <v>1002421</v>
      </c>
      <c r="B1085" s="2">
        <v>46202</v>
      </c>
      <c r="C1085" s="2">
        <v>46212</v>
      </c>
      <c r="D1085">
        <v>10</v>
      </c>
      <c r="E1085" t="s">
        <v>123</v>
      </c>
      <c r="F1085" t="s">
        <v>35</v>
      </c>
      <c r="G1085">
        <v>1</v>
      </c>
    </row>
    <row r="1086" spans="1:7" x14ac:dyDescent="0.35">
      <c r="A1086">
        <v>1002421</v>
      </c>
      <c r="B1086" s="2">
        <v>46202</v>
      </c>
      <c r="C1086" s="2">
        <v>46212</v>
      </c>
      <c r="D1086">
        <v>10</v>
      </c>
      <c r="E1086" t="s">
        <v>89</v>
      </c>
      <c r="F1086" t="s">
        <v>39</v>
      </c>
      <c r="G1086">
        <v>1</v>
      </c>
    </row>
    <row r="1087" spans="1:7" x14ac:dyDescent="0.35">
      <c r="A1087">
        <v>1002421</v>
      </c>
      <c r="B1087" s="2">
        <v>46202</v>
      </c>
      <c r="C1087" s="2">
        <v>46214</v>
      </c>
      <c r="D1087">
        <v>12</v>
      </c>
      <c r="E1087" t="s">
        <v>93</v>
      </c>
      <c r="F1087" t="s">
        <v>94</v>
      </c>
      <c r="G1087">
        <v>2</v>
      </c>
    </row>
    <row r="1088" spans="1:7" x14ac:dyDescent="0.35">
      <c r="A1088">
        <v>1002421</v>
      </c>
      <c r="B1088" s="2">
        <v>46202</v>
      </c>
      <c r="C1088" s="2">
        <v>46226</v>
      </c>
      <c r="D1088">
        <v>24</v>
      </c>
      <c r="E1088" t="s">
        <v>393</v>
      </c>
      <c r="F1088" t="s">
        <v>76</v>
      </c>
      <c r="G1088">
        <v>2</v>
      </c>
    </row>
    <row r="1089" spans="1:7" x14ac:dyDescent="0.35">
      <c r="A1089">
        <v>1002421</v>
      </c>
      <c r="B1089" s="2">
        <v>46202</v>
      </c>
      <c r="C1089" s="2">
        <v>46226</v>
      </c>
      <c r="D1089">
        <v>24</v>
      </c>
      <c r="E1089" t="s">
        <v>123</v>
      </c>
      <c r="F1089" t="s">
        <v>35</v>
      </c>
      <c r="G1089">
        <v>1</v>
      </c>
    </row>
    <row r="1090" spans="1:7" x14ac:dyDescent="0.35">
      <c r="A1090">
        <v>1002422</v>
      </c>
      <c r="B1090" s="2">
        <v>46203</v>
      </c>
      <c r="C1090" s="2">
        <v>46203</v>
      </c>
      <c r="D1090">
        <v>0</v>
      </c>
      <c r="E1090" t="s">
        <v>248</v>
      </c>
      <c r="F1090" t="s">
        <v>183</v>
      </c>
      <c r="G1090">
        <v>3</v>
      </c>
    </row>
    <row r="1091" spans="1:7" x14ac:dyDescent="0.35">
      <c r="A1091">
        <v>1002422</v>
      </c>
      <c r="B1091" s="2">
        <v>46203</v>
      </c>
      <c r="C1091" s="2">
        <v>46203</v>
      </c>
      <c r="D1091">
        <v>0</v>
      </c>
      <c r="E1091" t="s">
        <v>323</v>
      </c>
      <c r="F1091" t="s">
        <v>264</v>
      </c>
      <c r="G1091">
        <v>1</v>
      </c>
    </row>
    <row r="1092" spans="1:7" x14ac:dyDescent="0.35">
      <c r="A1092">
        <v>1002422</v>
      </c>
      <c r="B1092" s="2">
        <v>46203</v>
      </c>
      <c r="C1092" s="2">
        <v>46203</v>
      </c>
      <c r="D1092">
        <v>0</v>
      </c>
      <c r="E1092" t="s">
        <v>263</v>
      </c>
      <c r="F1092" t="s">
        <v>264</v>
      </c>
      <c r="G1092">
        <v>2</v>
      </c>
    </row>
    <row r="1093" spans="1:7" x14ac:dyDescent="0.35">
      <c r="A1093">
        <v>1002422</v>
      </c>
      <c r="B1093" s="2">
        <v>46203</v>
      </c>
      <c r="C1093" s="2">
        <v>46203</v>
      </c>
      <c r="D1093">
        <v>0</v>
      </c>
      <c r="E1093" t="s">
        <v>280</v>
      </c>
      <c r="F1093" t="s">
        <v>264</v>
      </c>
      <c r="G1093">
        <v>6</v>
      </c>
    </row>
    <row r="1094" spans="1:7" x14ac:dyDescent="0.35">
      <c r="A1094">
        <v>1002425</v>
      </c>
      <c r="B1094" s="2">
        <v>46206</v>
      </c>
      <c r="C1094" s="2">
        <v>46226</v>
      </c>
      <c r="D1094">
        <v>20</v>
      </c>
      <c r="E1094" t="s">
        <v>42</v>
      </c>
      <c r="F1094" t="s">
        <v>43</v>
      </c>
      <c r="G1094">
        <v>3</v>
      </c>
    </row>
    <row r="1095" spans="1:7" x14ac:dyDescent="0.35">
      <c r="A1095">
        <v>1002425</v>
      </c>
      <c r="B1095" s="2">
        <v>46206</v>
      </c>
      <c r="C1095" s="2">
        <v>46226</v>
      </c>
      <c r="D1095">
        <v>20</v>
      </c>
      <c r="E1095" t="s">
        <v>46</v>
      </c>
      <c r="F1095" t="s">
        <v>47</v>
      </c>
      <c r="G1095">
        <v>3</v>
      </c>
    </row>
    <row r="1096" spans="1:7" x14ac:dyDescent="0.35">
      <c r="A1096">
        <v>1002425</v>
      </c>
      <c r="B1096" s="2">
        <v>46206</v>
      </c>
      <c r="C1096" s="2">
        <v>46226</v>
      </c>
      <c r="D1096">
        <v>20</v>
      </c>
      <c r="E1096" t="s">
        <v>74</v>
      </c>
      <c r="F1096" t="s">
        <v>47</v>
      </c>
      <c r="G1096">
        <v>6</v>
      </c>
    </row>
    <row r="1097" spans="1:7" x14ac:dyDescent="0.35">
      <c r="A1097">
        <v>1002425</v>
      </c>
      <c r="B1097" s="2">
        <v>46206</v>
      </c>
      <c r="C1097" s="2">
        <v>46226</v>
      </c>
      <c r="D1097">
        <v>20</v>
      </c>
      <c r="E1097" t="s">
        <v>59</v>
      </c>
      <c r="F1097" t="s">
        <v>60</v>
      </c>
      <c r="G1097">
        <v>6</v>
      </c>
    </row>
    <row r="1098" spans="1:7" x14ac:dyDescent="0.35">
      <c r="A1098">
        <v>1002425</v>
      </c>
      <c r="B1098" s="2">
        <v>46206</v>
      </c>
      <c r="C1098" s="2">
        <v>46226</v>
      </c>
      <c r="D1098">
        <v>20</v>
      </c>
      <c r="E1098" t="s">
        <v>79</v>
      </c>
      <c r="F1098" t="s">
        <v>60</v>
      </c>
      <c r="G1098">
        <v>6</v>
      </c>
    </row>
    <row r="1099" spans="1:7" x14ac:dyDescent="0.35">
      <c r="A1099">
        <v>1002425</v>
      </c>
      <c r="B1099" s="2">
        <v>46206</v>
      </c>
      <c r="C1099" s="2">
        <v>46226</v>
      </c>
      <c r="D1099">
        <v>20</v>
      </c>
      <c r="E1099" t="s">
        <v>106</v>
      </c>
      <c r="F1099" t="s">
        <v>45</v>
      </c>
      <c r="G1099">
        <v>3</v>
      </c>
    </row>
    <row r="1100" spans="1:7" x14ac:dyDescent="0.35">
      <c r="A1100">
        <v>1002425</v>
      </c>
      <c r="B1100" s="2">
        <v>46206</v>
      </c>
      <c r="C1100" s="2">
        <v>46226</v>
      </c>
      <c r="D1100">
        <v>20</v>
      </c>
      <c r="E1100" t="s">
        <v>133</v>
      </c>
      <c r="F1100" t="s">
        <v>47</v>
      </c>
      <c r="G1100">
        <v>6</v>
      </c>
    </row>
    <row r="1101" spans="1:7" x14ac:dyDescent="0.35">
      <c r="A1101">
        <v>1002433</v>
      </c>
      <c r="B1101" s="2">
        <v>46206</v>
      </c>
      <c r="C1101" s="2">
        <v>46212</v>
      </c>
      <c r="D1101">
        <v>6</v>
      </c>
      <c r="E1101" t="s">
        <v>46</v>
      </c>
      <c r="F1101" t="s">
        <v>47</v>
      </c>
      <c r="G1101">
        <v>3</v>
      </c>
    </row>
    <row r="1102" spans="1:7" x14ac:dyDescent="0.35">
      <c r="A1102">
        <v>1002433</v>
      </c>
      <c r="B1102" s="2">
        <v>46206</v>
      </c>
      <c r="C1102" s="2">
        <v>46212</v>
      </c>
      <c r="D1102">
        <v>6</v>
      </c>
      <c r="E1102" t="s">
        <v>42</v>
      </c>
      <c r="F1102" t="s">
        <v>43</v>
      </c>
      <c r="G1102">
        <v>3</v>
      </c>
    </row>
    <row r="1103" spans="1:7" x14ac:dyDescent="0.35">
      <c r="A1103">
        <v>1002433</v>
      </c>
      <c r="B1103" s="2">
        <v>46206</v>
      </c>
      <c r="C1103" s="2">
        <v>46212</v>
      </c>
      <c r="D1103">
        <v>6</v>
      </c>
      <c r="E1103" t="s">
        <v>59</v>
      </c>
      <c r="F1103" t="s">
        <v>60</v>
      </c>
      <c r="G1103">
        <v>3</v>
      </c>
    </row>
    <row r="1104" spans="1:7" x14ac:dyDescent="0.35">
      <c r="A1104">
        <v>1002433</v>
      </c>
      <c r="B1104" s="2">
        <v>46206</v>
      </c>
      <c r="C1104" s="2">
        <v>46212</v>
      </c>
      <c r="D1104">
        <v>6</v>
      </c>
      <c r="E1104" t="s">
        <v>79</v>
      </c>
      <c r="F1104" t="s">
        <v>60</v>
      </c>
      <c r="G1104">
        <v>6</v>
      </c>
    </row>
    <row r="1105" spans="1:7" x14ac:dyDescent="0.35">
      <c r="A1105">
        <v>1002433</v>
      </c>
      <c r="B1105" s="2">
        <v>46206</v>
      </c>
      <c r="C1105" s="2">
        <v>46212</v>
      </c>
      <c r="D1105">
        <v>6</v>
      </c>
      <c r="E1105" t="s">
        <v>376</v>
      </c>
      <c r="F1105" t="s">
        <v>83</v>
      </c>
      <c r="G1105">
        <v>6</v>
      </c>
    </row>
    <row r="1106" spans="1:7" x14ac:dyDescent="0.35">
      <c r="A1106">
        <v>1002433</v>
      </c>
      <c r="B1106" s="2">
        <v>46206</v>
      </c>
      <c r="C1106" s="2">
        <v>46212</v>
      </c>
      <c r="D1106">
        <v>6</v>
      </c>
      <c r="E1106" t="s">
        <v>187</v>
      </c>
      <c r="F1106" t="s">
        <v>188</v>
      </c>
      <c r="G1106">
        <v>3</v>
      </c>
    </row>
    <row r="1107" spans="1:7" x14ac:dyDescent="0.35">
      <c r="A1107">
        <v>1002433</v>
      </c>
      <c r="B1107" s="2">
        <v>46206</v>
      </c>
      <c r="C1107" s="2">
        <v>46212</v>
      </c>
      <c r="D1107">
        <v>6</v>
      </c>
      <c r="E1107" t="s">
        <v>377</v>
      </c>
      <c r="F1107" t="s">
        <v>188</v>
      </c>
      <c r="G1107">
        <v>6</v>
      </c>
    </row>
    <row r="1108" spans="1:7" x14ac:dyDescent="0.35">
      <c r="A1108">
        <v>1002433</v>
      </c>
      <c r="B1108" s="2">
        <v>46206</v>
      </c>
      <c r="C1108" s="2">
        <v>46212</v>
      </c>
      <c r="D1108">
        <v>6</v>
      </c>
      <c r="E1108" t="s">
        <v>66</v>
      </c>
      <c r="F1108" t="s">
        <v>67</v>
      </c>
      <c r="G1108">
        <v>6</v>
      </c>
    </row>
    <row r="1109" spans="1:7" x14ac:dyDescent="0.35">
      <c r="A1109">
        <v>1002433</v>
      </c>
      <c r="B1109" s="2">
        <v>46206</v>
      </c>
      <c r="C1109" s="2">
        <v>46212</v>
      </c>
      <c r="D1109">
        <v>6</v>
      </c>
      <c r="E1109" t="s">
        <v>144</v>
      </c>
      <c r="F1109" t="s">
        <v>71</v>
      </c>
      <c r="G1109">
        <v>3</v>
      </c>
    </row>
    <row r="1110" spans="1:7" x14ac:dyDescent="0.35">
      <c r="A1110">
        <v>1002441</v>
      </c>
      <c r="B1110" s="2">
        <v>46210</v>
      </c>
      <c r="C1110" s="2">
        <v>46211</v>
      </c>
      <c r="D1110">
        <v>1</v>
      </c>
      <c r="E1110" t="s">
        <v>333</v>
      </c>
      <c r="F1110" t="s">
        <v>334</v>
      </c>
      <c r="G1110">
        <v>6</v>
      </c>
    </row>
    <row r="1111" spans="1:7" x14ac:dyDescent="0.35">
      <c r="A1111">
        <v>1002441</v>
      </c>
      <c r="B1111" s="2">
        <v>46210</v>
      </c>
      <c r="C1111" s="2">
        <v>46211</v>
      </c>
      <c r="D1111">
        <v>1</v>
      </c>
      <c r="E1111" t="s">
        <v>147</v>
      </c>
      <c r="F1111" t="s">
        <v>39</v>
      </c>
      <c r="G1111">
        <v>3</v>
      </c>
    </row>
    <row r="1112" spans="1:7" x14ac:dyDescent="0.35">
      <c r="A1112">
        <v>1002441</v>
      </c>
      <c r="B1112" s="2">
        <v>46210</v>
      </c>
      <c r="C1112" s="2">
        <v>46211</v>
      </c>
      <c r="D1112">
        <v>1</v>
      </c>
      <c r="E1112" t="s">
        <v>38</v>
      </c>
      <c r="F1112" t="s">
        <v>39</v>
      </c>
      <c r="G1112">
        <v>3</v>
      </c>
    </row>
    <row r="1113" spans="1:7" x14ac:dyDescent="0.35">
      <c r="A1113">
        <v>1002459</v>
      </c>
      <c r="B1113" s="2">
        <v>46211</v>
      </c>
      <c r="C1113" s="2">
        <v>46220</v>
      </c>
      <c r="D1113">
        <v>9</v>
      </c>
      <c r="E1113" t="s">
        <v>13</v>
      </c>
      <c r="F1113" t="s">
        <v>14</v>
      </c>
      <c r="G1113">
        <v>6</v>
      </c>
    </row>
    <row r="1114" spans="1:7" x14ac:dyDescent="0.35">
      <c r="A1114">
        <v>1002459</v>
      </c>
      <c r="B1114" s="2">
        <v>46211</v>
      </c>
      <c r="C1114" s="2">
        <v>46220</v>
      </c>
      <c r="D1114">
        <v>9</v>
      </c>
      <c r="E1114" t="s">
        <v>394</v>
      </c>
      <c r="F1114" t="s">
        <v>395</v>
      </c>
      <c r="G1114">
        <v>6</v>
      </c>
    </row>
    <row r="1115" spans="1:7" x14ac:dyDescent="0.35">
      <c r="A1115">
        <v>1002459</v>
      </c>
      <c r="B1115" s="2">
        <v>46211</v>
      </c>
      <c r="C1115" s="2">
        <v>46220</v>
      </c>
      <c r="D1115">
        <v>9</v>
      </c>
      <c r="E1115" t="s">
        <v>189</v>
      </c>
      <c r="F1115" t="s">
        <v>190</v>
      </c>
      <c r="G1115">
        <v>6</v>
      </c>
    </row>
    <row r="1116" spans="1:7" x14ac:dyDescent="0.35">
      <c r="A1116">
        <v>1002459</v>
      </c>
      <c r="B1116" s="2">
        <v>46211</v>
      </c>
      <c r="C1116" s="2">
        <v>46220</v>
      </c>
      <c r="D1116">
        <v>9</v>
      </c>
      <c r="E1116" t="s">
        <v>7</v>
      </c>
      <c r="F1116" t="s">
        <v>8</v>
      </c>
      <c r="G1116">
        <v>6</v>
      </c>
    </row>
    <row r="1117" spans="1:7" x14ac:dyDescent="0.35">
      <c r="A1117">
        <v>1002459</v>
      </c>
      <c r="B1117" s="2">
        <v>46211</v>
      </c>
      <c r="C1117" s="2">
        <v>46220</v>
      </c>
      <c r="D1117">
        <v>9</v>
      </c>
      <c r="E1117" t="s">
        <v>9</v>
      </c>
      <c r="F1117" t="s">
        <v>10</v>
      </c>
      <c r="G1117">
        <v>12</v>
      </c>
    </row>
    <row r="1118" spans="1:7" x14ac:dyDescent="0.35">
      <c r="A1118">
        <v>1002502</v>
      </c>
      <c r="B1118" s="2">
        <v>46223</v>
      </c>
      <c r="C1118" s="2">
        <v>46232</v>
      </c>
      <c r="D1118">
        <v>9</v>
      </c>
      <c r="E1118" t="s">
        <v>134</v>
      </c>
      <c r="F1118" t="s">
        <v>49</v>
      </c>
      <c r="G1118">
        <v>6</v>
      </c>
    </row>
    <row r="1119" spans="1:7" x14ac:dyDescent="0.35">
      <c r="A1119">
        <v>1002502</v>
      </c>
      <c r="B1119" s="2">
        <v>46223</v>
      </c>
      <c r="C1119" s="2">
        <v>46232</v>
      </c>
      <c r="D1119">
        <v>9</v>
      </c>
      <c r="E1119" t="s">
        <v>135</v>
      </c>
      <c r="F1119" t="s">
        <v>51</v>
      </c>
      <c r="G1119">
        <v>6</v>
      </c>
    </row>
    <row r="1120" spans="1:7" x14ac:dyDescent="0.35">
      <c r="A1120">
        <v>1002502</v>
      </c>
      <c r="B1120" s="2">
        <v>46223</v>
      </c>
      <c r="C1120" s="2">
        <v>46232</v>
      </c>
      <c r="D1120">
        <v>9</v>
      </c>
      <c r="E1120" t="s">
        <v>134</v>
      </c>
      <c r="F1120" t="s">
        <v>49</v>
      </c>
      <c r="G1120">
        <v>30</v>
      </c>
    </row>
    <row r="1121" spans="1:7" x14ac:dyDescent="0.35">
      <c r="A1121">
        <v>1002502</v>
      </c>
      <c r="B1121" s="2">
        <v>46223</v>
      </c>
      <c r="C1121" s="2">
        <v>46232</v>
      </c>
      <c r="D1121">
        <v>9</v>
      </c>
      <c r="E1121" t="s">
        <v>135</v>
      </c>
      <c r="F1121" t="s">
        <v>51</v>
      </c>
      <c r="G1121">
        <v>30</v>
      </c>
    </row>
    <row r="1122" spans="1:7" x14ac:dyDescent="0.35">
      <c r="A1122">
        <v>1002502</v>
      </c>
      <c r="B1122" s="2">
        <v>46223</v>
      </c>
      <c r="C1122" s="2">
        <v>46234</v>
      </c>
      <c r="D1122">
        <v>11</v>
      </c>
      <c r="E1122" t="s">
        <v>103</v>
      </c>
      <c r="F1122" t="s">
        <v>94</v>
      </c>
      <c r="G1122">
        <v>12</v>
      </c>
    </row>
    <row r="1123" spans="1:7" x14ac:dyDescent="0.35">
      <c r="A1123">
        <v>1002514</v>
      </c>
      <c r="B1123" s="2">
        <v>46224</v>
      </c>
      <c r="C1123" s="2">
        <v>46227</v>
      </c>
      <c r="D1123">
        <v>3</v>
      </c>
      <c r="E1123" t="s">
        <v>42</v>
      </c>
      <c r="F1123" t="s">
        <v>43</v>
      </c>
      <c r="G1123">
        <v>6</v>
      </c>
    </row>
    <row r="1124" spans="1:7" x14ac:dyDescent="0.35">
      <c r="A1124">
        <v>1002514</v>
      </c>
      <c r="B1124" s="2">
        <v>46224</v>
      </c>
      <c r="C1124" s="2">
        <v>46227</v>
      </c>
      <c r="D1124">
        <v>3</v>
      </c>
      <c r="E1124" t="s">
        <v>59</v>
      </c>
      <c r="F1124" t="s">
        <v>60</v>
      </c>
      <c r="G1124">
        <v>6</v>
      </c>
    </row>
    <row r="1125" spans="1:7" x14ac:dyDescent="0.35">
      <c r="A1125">
        <v>1002514</v>
      </c>
      <c r="B1125" s="2">
        <v>46224</v>
      </c>
      <c r="C1125" s="2">
        <v>46227</v>
      </c>
      <c r="D1125">
        <v>3</v>
      </c>
      <c r="E1125" t="s">
        <v>46</v>
      </c>
      <c r="F1125" t="s">
        <v>47</v>
      </c>
      <c r="G1125">
        <v>6</v>
      </c>
    </row>
    <row r="1126" spans="1:7" x14ac:dyDescent="0.35">
      <c r="A1126">
        <v>1002514</v>
      </c>
      <c r="B1126" s="2">
        <v>46224</v>
      </c>
      <c r="C1126" s="2">
        <v>46227</v>
      </c>
      <c r="D1126">
        <v>3</v>
      </c>
      <c r="E1126" t="s">
        <v>74</v>
      </c>
      <c r="F1126" t="s">
        <v>47</v>
      </c>
      <c r="G1126">
        <v>6</v>
      </c>
    </row>
    <row r="1127" spans="1:7" x14ac:dyDescent="0.35">
      <c r="A1127">
        <v>1002514</v>
      </c>
      <c r="B1127" s="2">
        <v>46224</v>
      </c>
      <c r="C1127" s="2">
        <v>46227</v>
      </c>
      <c r="D1127">
        <v>3</v>
      </c>
      <c r="E1127" t="s">
        <v>325</v>
      </c>
      <c r="F1127" t="s">
        <v>326</v>
      </c>
      <c r="G1127">
        <v>2</v>
      </c>
    </row>
    <row r="1128" spans="1:7" x14ac:dyDescent="0.35">
      <c r="A1128">
        <v>1002514</v>
      </c>
      <c r="B1128" s="2">
        <v>46224</v>
      </c>
      <c r="C1128" s="2">
        <v>46227</v>
      </c>
      <c r="D1128">
        <v>3</v>
      </c>
      <c r="E1128" t="s">
        <v>396</v>
      </c>
      <c r="F1128" t="s">
        <v>397</v>
      </c>
      <c r="G1128">
        <v>1</v>
      </c>
    </row>
    <row r="1129" spans="1:7" x14ac:dyDescent="0.35">
      <c r="A1129">
        <v>1002514</v>
      </c>
      <c r="B1129" s="2">
        <v>46224</v>
      </c>
      <c r="C1129" s="2">
        <v>46227</v>
      </c>
      <c r="D1129">
        <v>3</v>
      </c>
      <c r="E1129" t="s">
        <v>398</v>
      </c>
      <c r="F1129" t="s">
        <v>399</v>
      </c>
      <c r="G1129">
        <v>1</v>
      </c>
    </row>
    <row r="1130" spans="1:7" x14ac:dyDescent="0.35">
      <c r="A1130">
        <v>1002514</v>
      </c>
      <c r="B1130" s="2">
        <v>46224</v>
      </c>
      <c r="C1130" s="2">
        <v>46231</v>
      </c>
      <c r="D1130">
        <v>7</v>
      </c>
      <c r="E1130" t="s">
        <v>42</v>
      </c>
      <c r="F1130" t="s">
        <v>43</v>
      </c>
      <c r="G1130">
        <v>-6</v>
      </c>
    </row>
    <row r="1131" spans="1:7" x14ac:dyDescent="0.35">
      <c r="A1131">
        <v>1002514</v>
      </c>
      <c r="B1131" s="2">
        <v>46224</v>
      </c>
      <c r="C1131" s="2">
        <v>46231</v>
      </c>
      <c r="D1131">
        <v>7</v>
      </c>
      <c r="E1131" t="s">
        <v>59</v>
      </c>
      <c r="F1131" t="s">
        <v>60</v>
      </c>
      <c r="G1131">
        <v>-6</v>
      </c>
    </row>
    <row r="1132" spans="1:7" x14ac:dyDescent="0.35">
      <c r="A1132">
        <v>1002514</v>
      </c>
      <c r="B1132" s="2">
        <v>46224</v>
      </c>
      <c r="C1132" s="2">
        <v>46231</v>
      </c>
      <c r="D1132">
        <v>7</v>
      </c>
      <c r="E1132" t="s">
        <v>46</v>
      </c>
      <c r="F1132" t="s">
        <v>47</v>
      </c>
      <c r="G1132">
        <v>-6</v>
      </c>
    </row>
    <row r="1133" spans="1:7" x14ac:dyDescent="0.35">
      <c r="A1133">
        <v>1002514</v>
      </c>
      <c r="B1133" s="2">
        <v>46224</v>
      </c>
      <c r="C1133" s="2">
        <v>46231</v>
      </c>
      <c r="D1133">
        <v>7</v>
      </c>
      <c r="E1133" t="s">
        <v>74</v>
      </c>
      <c r="F1133" t="s">
        <v>47</v>
      </c>
      <c r="G1133">
        <v>-6</v>
      </c>
    </row>
    <row r="1134" spans="1:7" x14ac:dyDescent="0.35">
      <c r="A1134">
        <v>1002514</v>
      </c>
      <c r="B1134" s="2">
        <v>46224</v>
      </c>
      <c r="C1134" s="2">
        <v>46231</v>
      </c>
      <c r="D1134">
        <v>7</v>
      </c>
      <c r="E1134" t="s">
        <v>325</v>
      </c>
      <c r="F1134" t="s">
        <v>326</v>
      </c>
      <c r="G1134">
        <v>-2</v>
      </c>
    </row>
    <row r="1135" spans="1:7" x14ac:dyDescent="0.35">
      <c r="A1135">
        <v>1002514</v>
      </c>
      <c r="B1135" s="2">
        <v>46224</v>
      </c>
      <c r="C1135" s="2">
        <v>46231</v>
      </c>
      <c r="D1135">
        <v>7</v>
      </c>
      <c r="E1135" t="s">
        <v>396</v>
      </c>
      <c r="F1135" t="s">
        <v>397</v>
      </c>
      <c r="G1135">
        <v>-1</v>
      </c>
    </row>
    <row r="1136" spans="1:7" x14ac:dyDescent="0.35">
      <c r="A1136">
        <v>1002514</v>
      </c>
      <c r="B1136" s="2">
        <v>46224</v>
      </c>
      <c r="C1136" s="2">
        <v>46231</v>
      </c>
      <c r="D1136">
        <v>7</v>
      </c>
      <c r="E1136" t="s">
        <v>398</v>
      </c>
      <c r="F1136" t="s">
        <v>399</v>
      </c>
      <c r="G1136">
        <v>-1</v>
      </c>
    </row>
    <row r="1137" spans="1:7" x14ac:dyDescent="0.35">
      <c r="A1137">
        <v>1002521</v>
      </c>
      <c r="B1137" s="2">
        <v>46223</v>
      </c>
      <c r="C1137" s="2">
        <v>46244</v>
      </c>
      <c r="D1137">
        <v>21</v>
      </c>
      <c r="E1137" t="s">
        <v>361</v>
      </c>
      <c r="F1137" t="s">
        <v>255</v>
      </c>
      <c r="G1137">
        <v>1</v>
      </c>
    </row>
    <row r="1138" spans="1:7" x14ac:dyDescent="0.35">
      <c r="A1138">
        <v>1002521</v>
      </c>
      <c r="B1138" s="2">
        <v>46223</v>
      </c>
      <c r="C1138" s="2">
        <v>46244</v>
      </c>
      <c r="D1138">
        <v>21</v>
      </c>
      <c r="E1138" t="s">
        <v>280</v>
      </c>
      <c r="F1138" t="s">
        <v>264</v>
      </c>
      <c r="G1138">
        <v>6</v>
      </c>
    </row>
    <row r="1139" spans="1:7" x14ac:dyDescent="0.35">
      <c r="A1139">
        <v>1002542</v>
      </c>
      <c r="B1139" s="2">
        <v>46226</v>
      </c>
      <c r="C1139" s="2">
        <v>46228</v>
      </c>
      <c r="D1139">
        <v>2</v>
      </c>
      <c r="E1139" t="s">
        <v>90</v>
      </c>
      <c r="F1139" t="s">
        <v>35</v>
      </c>
      <c r="G1139">
        <v>6</v>
      </c>
    </row>
    <row r="1140" spans="1:7" x14ac:dyDescent="0.35">
      <c r="A1140">
        <v>1002542</v>
      </c>
      <c r="B1140" s="2">
        <v>46226</v>
      </c>
      <c r="C1140" s="2">
        <v>46228</v>
      </c>
      <c r="D1140">
        <v>2</v>
      </c>
      <c r="E1140" t="s">
        <v>147</v>
      </c>
      <c r="F1140" t="s">
        <v>39</v>
      </c>
      <c r="G1140">
        <v>6</v>
      </c>
    </row>
    <row r="1141" spans="1:7" x14ac:dyDescent="0.35">
      <c r="A1141">
        <v>1002542</v>
      </c>
      <c r="B1141" s="2">
        <v>46226</v>
      </c>
      <c r="C1141" s="2">
        <v>46228</v>
      </c>
      <c r="D1141">
        <v>2</v>
      </c>
      <c r="E1141" t="s">
        <v>86</v>
      </c>
      <c r="F1141" t="s">
        <v>85</v>
      </c>
      <c r="G1141">
        <v>2</v>
      </c>
    </row>
    <row r="1142" spans="1:7" x14ac:dyDescent="0.35">
      <c r="A1142">
        <v>1002542</v>
      </c>
      <c r="B1142" s="2">
        <v>46226</v>
      </c>
      <c r="C1142" s="2">
        <v>46228</v>
      </c>
      <c r="D1142">
        <v>2</v>
      </c>
      <c r="E1142" t="s">
        <v>42</v>
      </c>
      <c r="F1142" t="s">
        <v>43</v>
      </c>
      <c r="G1142">
        <v>6</v>
      </c>
    </row>
    <row r="1143" spans="1:7" x14ac:dyDescent="0.35">
      <c r="A1143">
        <v>1002542</v>
      </c>
      <c r="B1143" s="2">
        <v>46226</v>
      </c>
      <c r="C1143" s="2">
        <v>46228</v>
      </c>
      <c r="D1143">
        <v>2</v>
      </c>
      <c r="E1143" t="s">
        <v>73</v>
      </c>
      <c r="F1143" t="s">
        <v>47</v>
      </c>
      <c r="G1143">
        <v>2</v>
      </c>
    </row>
    <row r="1144" spans="1:7" x14ac:dyDescent="0.35">
      <c r="A1144">
        <v>1002542</v>
      </c>
      <c r="B1144" s="2">
        <v>46226</v>
      </c>
      <c r="C1144" s="2">
        <v>46228</v>
      </c>
      <c r="D1144">
        <v>2</v>
      </c>
      <c r="E1144" t="s">
        <v>46</v>
      </c>
      <c r="F1144" t="s">
        <v>47</v>
      </c>
      <c r="G1144">
        <v>6</v>
      </c>
    </row>
    <row r="1145" spans="1:7" x14ac:dyDescent="0.35">
      <c r="A1145">
        <v>1002542</v>
      </c>
      <c r="B1145" s="2">
        <v>46226</v>
      </c>
      <c r="C1145" s="2">
        <v>46234</v>
      </c>
      <c r="D1145">
        <v>8</v>
      </c>
      <c r="E1145" t="s">
        <v>59</v>
      </c>
      <c r="F1145" t="s">
        <v>60</v>
      </c>
      <c r="G1145">
        <v>6</v>
      </c>
    </row>
    <row r="1146" spans="1:7" x14ac:dyDescent="0.35">
      <c r="A1146">
        <v>1002542</v>
      </c>
      <c r="B1146" s="2">
        <v>46226</v>
      </c>
      <c r="C1146" s="2">
        <v>46234</v>
      </c>
      <c r="D1146">
        <v>8</v>
      </c>
      <c r="E1146" t="s">
        <v>74</v>
      </c>
      <c r="F1146" t="s">
        <v>47</v>
      </c>
      <c r="G1146">
        <v>6</v>
      </c>
    </row>
    <row r="1147" spans="1:7" x14ac:dyDescent="0.35">
      <c r="A1147">
        <v>1002549</v>
      </c>
      <c r="B1147" s="2">
        <v>46226</v>
      </c>
      <c r="C1147" s="2">
        <v>46231</v>
      </c>
      <c r="D1147">
        <v>5</v>
      </c>
      <c r="E1147" t="s">
        <v>91</v>
      </c>
      <c r="F1147" t="s">
        <v>92</v>
      </c>
      <c r="G1147">
        <v>20</v>
      </c>
    </row>
    <row r="1148" spans="1:7" x14ac:dyDescent="0.35">
      <c r="A1148">
        <v>1002549</v>
      </c>
      <c r="B1148" s="2">
        <v>46226</v>
      </c>
      <c r="C1148" s="2">
        <v>46231</v>
      </c>
      <c r="D1148">
        <v>5</v>
      </c>
      <c r="E1148" t="s">
        <v>79</v>
      </c>
      <c r="F1148" t="s">
        <v>60</v>
      </c>
      <c r="G1148">
        <v>3</v>
      </c>
    </row>
    <row r="1149" spans="1:7" x14ac:dyDescent="0.35">
      <c r="A1149">
        <v>1002549</v>
      </c>
      <c r="B1149" s="2">
        <v>46226</v>
      </c>
      <c r="C1149" s="2">
        <v>46231</v>
      </c>
      <c r="D1149">
        <v>5</v>
      </c>
      <c r="E1149" t="s">
        <v>376</v>
      </c>
      <c r="F1149" t="s">
        <v>83</v>
      </c>
      <c r="G1149">
        <v>3</v>
      </c>
    </row>
    <row r="1150" spans="1:7" x14ac:dyDescent="0.35">
      <c r="A1150">
        <v>1002549</v>
      </c>
      <c r="B1150" s="2">
        <v>46226</v>
      </c>
      <c r="C1150" s="2">
        <v>46231</v>
      </c>
      <c r="D1150">
        <v>5</v>
      </c>
      <c r="E1150" t="s">
        <v>390</v>
      </c>
      <c r="F1150" t="s">
        <v>71</v>
      </c>
      <c r="G1150">
        <v>3</v>
      </c>
    </row>
    <row r="1151" spans="1:7" x14ac:dyDescent="0.35">
      <c r="A1151">
        <v>1002549</v>
      </c>
      <c r="B1151" s="2">
        <v>46226</v>
      </c>
      <c r="C1151" s="2">
        <v>46231</v>
      </c>
      <c r="D1151">
        <v>5</v>
      </c>
      <c r="E1151" t="s">
        <v>133</v>
      </c>
      <c r="F1151" t="s">
        <v>47</v>
      </c>
      <c r="G1151">
        <v>3</v>
      </c>
    </row>
    <row r="1152" spans="1:7" x14ac:dyDescent="0.35">
      <c r="A1152">
        <v>1002549</v>
      </c>
      <c r="B1152" s="2">
        <v>46226</v>
      </c>
      <c r="C1152" s="2">
        <v>46231</v>
      </c>
      <c r="D1152">
        <v>5</v>
      </c>
      <c r="E1152" t="s">
        <v>352</v>
      </c>
      <c r="F1152" t="s">
        <v>351</v>
      </c>
      <c r="G1152">
        <v>2</v>
      </c>
    </row>
    <row r="1153" spans="1:7" x14ac:dyDescent="0.35">
      <c r="A1153">
        <v>1002549</v>
      </c>
      <c r="B1153" s="2">
        <v>46226</v>
      </c>
      <c r="C1153" s="2">
        <v>46231</v>
      </c>
      <c r="D1153">
        <v>5</v>
      </c>
      <c r="E1153" t="s">
        <v>248</v>
      </c>
      <c r="F1153" t="s">
        <v>183</v>
      </c>
      <c r="G1153">
        <v>2</v>
      </c>
    </row>
    <row r="1154" spans="1:7" x14ac:dyDescent="0.35">
      <c r="A1154">
        <v>1002549</v>
      </c>
      <c r="B1154" s="2">
        <v>46226</v>
      </c>
      <c r="C1154" s="2">
        <v>46231</v>
      </c>
      <c r="D1154">
        <v>5</v>
      </c>
      <c r="E1154" t="s">
        <v>13</v>
      </c>
      <c r="F1154" t="s">
        <v>14</v>
      </c>
      <c r="G1154">
        <v>6</v>
      </c>
    </row>
    <row r="1155" spans="1:7" x14ac:dyDescent="0.35">
      <c r="A1155">
        <v>1002549</v>
      </c>
      <c r="B1155" s="2">
        <v>46226</v>
      </c>
      <c r="C1155" s="2">
        <v>46231</v>
      </c>
      <c r="D1155">
        <v>5</v>
      </c>
      <c r="E1155" t="s">
        <v>15</v>
      </c>
      <c r="F1155" t="s">
        <v>16</v>
      </c>
      <c r="G1155">
        <v>6</v>
      </c>
    </row>
    <row r="1156" spans="1:7" x14ac:dyDescent="0.35">
      <c r="A1156">
        <v>1002549</v>
      </c>
      <c r="B1156" s="2">
        <v>46226</v>
      </c>
      <c r="C1156" s="2">
        <v>46231</v>
      </c>
      <c r="D1156">
        <v>5</v>
      </c>
      <c r="E1156" t="s">
        <v>21</v>
      </c>
      <c r="F1156" t="s">
        <v>22</v>
      </c>
      <c r="G1156">
        <v>6</v>
      </c>
    </row>
    <row r="1157" spans="1:7" x14ac:dyDescent="0.35">
      <c r="A1157">
        <v>1002549</v>
      </c>
      <c r="B1157" s="2">
        <v>46226</v>
      </c>
      <c r="C1157" s="2">
        <v>46231</v>
      </c>
      <c r="D1157">
        <v>5</v>
      </c>
      <c r="E1157" t="s">
        <v>23</v>
      </c>
      <c r="F1157" t="s">
        <v>24</v>
      </c>
      <c r="G1157">
        <v>6</v>
      </c>
    </row>
    <row r="1158" spans="1:7" x14ac:dyDescent="0.35">
      <c r="A1158">
        <v>1002549</v>
      </c>
      <c r="B1158" s="2">
        <v>46226</v>
      </c>
      <c r="C1158" s="2">
        <v>46231</v>
      </c>
      <c r="D1158">
        <v>5</v>
      </c>
      <c r="E1158" t="s">
        <v>57</v>
      </c>
      <c r="F1158" t="s">
        <v>58</v>
      </c>
      <c r="G1158">
        <v>6</v>
      </c>
    </row>
    <row r="1159" spans="1:7" x14ac:dyDescent="0.35">
      <c r="A1159">
        <v>1002549</v>
      </c>
      <c r="B1159" s="2">
        <v>46226</v>
      </c>
      <c r="C1159" s="2">
        <v>46231</v>
      </c>
      <c r="D1159">
        <v>5</v>
      </c>
      <c r="E1159" t="s">
        <v>7</v>
      </c>
      <c r="F1159" t="s">
        <v>8</v>
      </c>
      <c r="G1159">
        <v>6</v>
      </c>
    </row>
    <row r="1160" spans="1:7" x14ac:dyDescent="0.35">
      <c r="A1160">
        <v>1002549</v>
      </c>
      <c r="B1160" s="2">
        <v>46226</v>
      </c>
      <c r="C1160" s="2">
        <v>46231</v>
      </c>
      <c r="D1160">
        <v>5</v>
      </c>
      <c r="E1160" t="s">
        <v>9</v>
      </c>
      <c r="F1160" t="s">
        <v>10</v>
      </c>
      <c r="G1160">
        <v>6</v>
      </c>
    </row>
    <row r="1161" spans="1:7" x14ac:dyDescent="0.35">
      <c r="A1161">
        <v>1002549</v>
      </c>
      <c r="B1161" s="2">
        <v>46226</v>
      </c>
      <c r="C1161" s="2">
        <v>46231</v>
      </c>
      <c r="D1161">
        <v>5</v>
      </c>
      <c r="E1161" t="s">
        <v>11</v>
      </c>
      <c r="F1161" t="s">
        <v>12</v>
      </c>
      <c r="G1161">
        <v>6</v>
      </c>
    </row>
    <row r="1162" spans="1:7" x14ac:dyDescent="0.35">
      <c r="A1162">
        <v>1002549</v>
      </c>
      <c r="B1162" s="2">
        <v>46226</v>
      </c>
      <c r="C1162" s="2">
        <v>46231</v>
      </c>
      <c r="D1162">
        <v>5</v>
      </c>
      <c r="E1162" t="s">
        <v>27</v>
      </c>
      <c r="F1162" t="s">
        <v>28</v>
      </c>
      <c r="G1162">
        <v>6</v>
      </c>
    </row>
    <row r="1163" spans="1:7" x14ac:dyDescent="0.35">
      <c r="A1163">
        <v>1002549</v>
      </c>
      <c r="B1163" s="2">
        <v>46226</v>
      </c>
      <c r="C1163" s="2">
        <v>46231</v>
      </c>
      <c r="D1163">
        <v>5</v>
      </c>
      <c r="E1163" t="s">
        <v>42</v>
      </c>
      <c r="F1163" t="s">
        <v>43</v>
      </c>
      <c r="G1163">
        <v>3</v>
      </c>
    </row>
    <row r="1164" spans="1:7" x14ac:dyDescent="0.35">
      <c r="A1164">
        <v>1002549</v>
      </c>
      <c r="B1164" s="2">
        <v>46226</v>
      </c>
      <c r="C1164" s="2">
        <v>46231</v>
      </c>
      <c r="D1164">
        <v>5</v>
      </c>
      <c r="E1164" t="s">
        <v>59</v>
      </c>
      <c r="F1164" t="s">
        <v>60</v>
      </c>
      <c r="G1164">
        <v>3</v>
      </c>
    </row>
    <row r="1165" spans="1:7" x14ac:dyDescent="0.35">
      <c r="A1165">
        <v>1002549</v>
      </c>
      <c r="B1165" s="2">
        <v>46226</v>
      </c>
      <c r="C1165" s="2">
        <v>46231</v>
      </c>
      <c r="D1165">
        <v>5</v>
      </c>
      <c r="E1165" t="s">
        <v>46</v>
      </c>
      <c r="F1165" t="s">
        <v>47</v>
      </c>
      <c r="G1165">
        <v>3</v>
      </c>
    </row>
    <row r="1166" spans="1:7" x14ac:dyDescent="0.35">
      <c r="A1166">
        <v>1002549</v>
      </c>
      <c r="B1166" s="2">
        <v>46226</v>
      </c>
      <c r="C1166" s="2">
        <v>46231</v>
      </c>
      <c r="D1166">
        <v>5</v>
      </c>
      <c r="E1166" t="s">
        <v>74</v>
      </c>
      <c r="F1166" t="s">
        <v>47</v>
      </c>
      <c r="G1166">
        <v>3</v>
      </c>
    </row>
    <row r="1167" spans="1:7" x14ac:dyDescent="0.35">
      <c r="A1167">
        <v>1002549</v>
      </c>
      <c r="B1167" s="2">
        <v>46226</v>
      </c>
      <c r="C1167" s="2">
        <v>46231</v>
      </c>
      <c r="D1167">
        <v>5</v>
      </c>
      <c r="E1167" t="s">
        <v>329</v>
      </c>
      <c r="F1167" t="s">
        <v>326</v>
      </c>
      <c r="G1167">
        <v>1</v>
      </c>
    </row>
    <row r="1168" spans="1:7" x14ac:dyDescent="0.35">
      <c r="A1168">
        <v>1002549</v>
      </c>
      <c r="B1168" s="2">
        <v>46226</v>
      </c>
      <c r="C1168" s="2">
        <v>46231</v>
      </c>
      <c r="D1168">
        <v>5</v>
      </c>
      <c r="E1168" t="s">
        <v>330</v>
      </c>
      <c r="F1168" t="s">
        <v>326</v>
      </c>
      <c r="G1168">
        <v>2</v>
      </c>
    </row>
    <row r="1169" spans="1:7" x14ac:dyDescent="0.35">
      <c r="A1169">
        <v>1002549</v>
      </c>
      <c r="B1169" s="2">
        <v>46226</v>
      </c>
      <c r="C1169" s="2">
        <v>46233</v>
      </c>
      <c r="D1169">
        <v>7</v>
      </c>
      <c r="E1169" t="s">
        <v>263</v>
      </c>
      <c r="F1169" t="s">
        <v>264</v>
      </c>
      <c r="G1169">
        <v>4</v>
      </c>
    </row>
    <row r="1170" spans="1:7" x14ac:dyDescent="0.35">
      <c r="A1170">
        <v>1002549</v>
      </c>
      <c r="B1170" s="2">
        <v>46226</v>
      </c>
      <c r="C1170" s="2">
        <v>46233</v>
      </c>
      <c r="D1170">
        <v>7</v>
      </c>
      <c r="E1170" t="s">
        <v>323</v>
      </c>
      <c r="F1170" t="s">
        <v>264</v>
      </c>
      <c r="G1170">
        <v>1</v>
      </c>
    </row>
    <row r="1171" spans="1:7" x14ac:dyDescent="0.35">
      <c r="A1171">
        <v>1002549</v>
      </c>
      <c r="B1171" s="2">
        <v>46226</v>
      </c>
      <c r="C1171" s="2">
        <v>46233</v>
      </c>
      <c r="D1171">
        <v>7</v>
      </c>
      <c r="E1171" t="s">
        <v>280</v>
      </c>
      <c r="F1171" t="s">
        <v>264</v>
      </c>
      <c r="G1171">
        <v>12</v>
      </c>
    </row>
    <row r="1172" spans="1:7" x14ac:dyDescent="0.35">
      <c r="A1172">
        <v>1002549</v>
      </c>
      <c r="B1172" s="2">
        <v>46226</v>
      </c>
      <c r="C1172" s="2">
        <v>46234</v>
      </c>
      <c r="D1172">
        <v>8</v>
      </c>
      <c r="E1172" t="s">
        <v>280</v>
      </c>
      <c r="F1172" t="s">
        <v>264</v>
      </c>
      <c r="G1172">
        <v>-4</v>
      </c>
    </row>
    <row r="1173" spans="1:7" x14ac:dyDescent="0.35">
      <c r="A1173">
        <v>1002549</v>
      </c>
      <c r="B1173" s="2">
        <v>46226</v>
      </c>
      <c r="C1173" s="2">
        <v>46240</v>
      </c>
      <c r="D1173">
        <v>14</v>
      </c>
      <c r="E1173" t="s">
        <v>13</v>
      </c>
      <c r="F1173" t="s">
        <v>14</v>
      </c>
      <c r="G1173">
        <v>3</v>
      </c>
    </row>
    <row r="1174" spans="1:7" x14ac:dyDescent="0.35">
      <c r="A1174">
        <v>1002549</v>
      </c>
      <c r="B1174" s="2">
        <v>46226</v>
      </c>
      <c r="C1174" s="2">
        <v>46240</v>
      </c>
      <c r="D1174">
        <v>14</v>
      </c>
      <c r="E1174" t="s">
        <v>21</v>
      </c>
      <c r="F1174" t="s">
        <v>22</v>
      </c>
      <c r="G1174">
        <v>1</v>
      </c>
    </row>
    <row r="1175" spans="1:7" x14ac:dyDescent="0.35">
      <c r="A1175">
        <v>1002549</v>
      </c>
      <c r="B1175" s="2">
        <v>46226</v>
      </c>
      <c r="C1175" s="2">
        <v>46240</v>
      </c>
      <c r="D1175">
        <v>14</v>
      </c>
      <c r="E1175" t="s">
        <v>29</v>
      </c>
      <c r="F1175" t="s">
        <v>30</v>
      </c>
      <c r="G1175">
        <v>2</v>
      </c>
    </row>
    <row r="1176" spans="1:7" x14ac:dyDescent="0.35">
      <c r="A1176">
        <v>1002549</v>
      </c>
      <c r="B1176" s="2">
        <v>46226</v>
      </c>
      <c r="C1176" s="2">
        <v>46240</v>
      </c>
      <c r="D1176">
        <v>14</v>
      </c>
      <c r="E1176" t="s">
        <v>42</v>
      </c>
      <c r="F1176" t="s">
        <v>43</v>
      </c>
      <c r="G1176">
        <v>2</v>
      </c>
    </row>
    <row r="1177" spans="1:7" x14ac:dyDescent="0.35">
      <c r="A1177">
        <v>1002549</v>
      </c>
      <c r="B1177" s="2">
        <v>46226</v>
      </c>
      <c r="C1177" s="2">
        <v>46240</v>
      </c>
      <c r="D1177">
        <v>14</v>
      </c>
      <c r="E1177" t="s">
        <v>59</v>
      </c>
      <c r="F1177" t="s">
        <v>60</v>
      </c>
      <c r="G1177">
        <v>1</v>
      </c>
    </row>
    <row r="1178" spans="1:7" x14ac:dyDescent="0.35">
      <c r="A1178">
        <v>1002549</v>
      </c>
      <c r="B1178" s="2">
        <v>46226</v>
      </c>
      <c r="C1178" s="2">
        <v>46240</v>
      </c>
      <c r="D1178">
        <v>14</v>
      </c>
      <c r="E1178" t="s">
        <v>79</v>
      </c>
      <c r="F1178" t="s">
        <v>60</v>
      </c>
      <c r="G1178">
        <v>1</v>
      </c>
    </row>
    <row r="1179" spans="1:7" x14ac:dyDescent="0.35">
      <c r="A1179">
        <v>1002549</v>
      </c>
      <c r="B1179" s="2">
        <v>46226</v>
      </c>
      <c r="C1179" s="2">
        <v>46240</v>
      </c>
      <c r="D1179">
        <v>14</v>
      </c>
      <c r="E1179" t="s">
        <v>82</v>
      </c>
      <c r="F1179" t="s">
        <v>83</v>
      </c>
      <c r="G1179">
        <v>1</v>
      </c>
    </row>
    <row r="1180" spans="1:7" x14ac:dyDescent="0.35">
      <c r="A1180">
        <v>1002549</v>
      </c>
      <c r="B1180" s="2">
        <v>46226</v>
      </c>
      <c r="C1180" s="2">
        <v>46240</v>
      </c>
      <c r="D1180">
        <v>14</v>
      </c>
      <c r="E1180" t="s">
        <v>256</v>
      </c>
      <c r="F1180" t="s">
        <v>83</v>
      </c>
      <c r="G1180">
        <v>1</v>
      </c>
    </row>
    <row r="1181" spans="1:7" x14ac:dyDescent="0.35">
      <c r="A1181">
        <v>1002549</v>
      </c>
      <c r="B1181" s="2">
        <v>46226</v>
      </c>
      <c r="C1181" s="2">
        <v>46240</v>
      </c>
      <c r="D1181">
        <v>14</v>
      </c>
      <c r="E1181" t="s">
        <v>376</v>
      </c>
      <c r="F1181" t="s">
        <v>83</v>
      </c>
      <c r="G1181">
        <v>1</v>
      </c>
    </row>
    <row r="1182" spans="1:7" x14ac:dyDescent="0.35">
      <c r="A1182">
        <v>1002549</v>
      </c>
      <c r="B1182" s="2">
        <v>46226</v>
      </c>
      <c r="C1182" s="2">
        <v>46240</v>
      </c>
      <c r="D1182">
        <v>14</v>
      </c>
      <c r="E1182" t="s">
        <v>72</v>
      </c>
      <c r="F1182" t="s">
        <v>71</v>
      </c>
      <c r="G1182">
        <v>4</v>
      </c>
    </row>
    <row r="1183" spans="1:7" x14ac:dyDescent="0.35">
      <c r="A1183">
        <v>1002549</v>
      </c>
      <c r="B1183" s="2">
        <v>46226</v>
      </c>
      <c r="C1183" s="2">
        <v>46240</v>
      </c>
      <c r="D1183">
        <v>14</v>
      </c>
      <c r="E1183" t="s">
        <v>390</v>
      </c>
      <c r="F1183" t="s">
        <v>71</v>
      </c>
      <c r="G1183">
        <v>1</v>
      </c>
    </row>
    <row r="1184" spans="1:7" x14ac:dyDescent="0.35">
      <c r="A1184">
        <v>1002549</v>
      </c>
      <c r="B1184" s="2">
        <v>46226</v>
      </c>
      <c r="C1184" s="2">
        <v>46240</v>
      </c>
      <c r="D1184">
        <v>14</v>
      </c>
      <c r="E1184" t="s">
        <v>46</v>
      </c>
      <c r="F1184" t="s">
        <v>47</v>
      </c>
      <c r="G1184">
        <v>2</v>
      </c>
    </row>
    <row r="1185" spans="1:7" x14ac:dyDescent="0.35">
      <c r="A1185">
        <v>1002549</v>
      </c>
      <c r="B1185" s="2">
        <v>46226</v>
      </c>
      <c r="C1185" s="2">
        <v>46240</v>
      </c>
      <c r="D1185">
        <v>14</v>
      </c>
      <c r="E1185" t="s">
        <v>133</v>
      </c>
      <c r="F1185" t="s">
        <v>47</v>
      </c>
      <c r="G1185">
        <v>1</v>
      </c>
    </row>
    <row r="1186" spans="1:7" x14ac:dyDescent="0.35">
      <c r="A1186">
        <v>1002549</v>
      </c>
      <c r="B1186" s="2">
        <v>46226</v>
      </c>
      <c r="C1186" s="2">
        <v>46240</v>
      </c>
      <c r="D1186">
        <v>14</v>
      </c>
      <c r="E1186" t="s">
        <v>352</v>
      </c>
      <c r="F1186" t="s">
        <v>351</v>
      </c>
      <c r="G1186">
        <v>1</v>
      </c>
    </row>
    <row r="1187" spans="1:7" x14ac:dyDescent="0.35">
      <c r="A1187">
        <v>1002549</v>
      </c>
      <c r="B1187" s="2">
        <v>46226</v>
      </c>
      <c r="C1187" s="2">
        <v>46240</v>
      </c>
      <c r="D1187">
        <v>14</v>
      </c>
      <c r="E1187" t="s">
        <v>248</v>
      </c>
      <c r="F1187" t="s">
        <v>183</v>
      </c>
      <c r="G1187">
        <v>1</v>
      </c>
    </row>
    <row r="1188" spans="1:7" x14ac:dyDescent="0.35">
      <c r="A1188">
        <v>1002549</v>
      </c>
      <c r="B1188" s="2">
        <v>46226</v>
      </c>
      <c r="C1188" s="2">
        <v>46240</v>
      </c>
      <c r="D1188">
        <v>14</v>
      </c>
      <c r="E1188" t="s">
        <v>329</v>
      </c>
      <c r="F1188" t="s">
        <v>326</v>
      </c>
      <c r="G1188">
        <v>1</v>
      </c>
    </row>
    <row r="1189" spans="1:7" x14ac:dyDescent="0.35">
      <c r="A1189">
        <v>1002549</v>
      </c>
      <c r="B1189" s="2">
        <v>46226</v>
      </c>
      <c r="C1189" s="2">
        <v>46240</v>
      </c>
      <c r="D1189">
        <v>14</v>
      </c>
      <c r="E1189" t="s">
        <v>330</v>
      </c>
      <c r="F1189" t="s">
        <v>326</v>
      </c>
      <c r="G1189">
        <v>2</v>
      </c>
    </row>
    <row r="1190" spans="1:7" x14ac:dyDescent="0.35">
      <c r="A1190">
        <v>1002549</v>
      </c>
      <c r="B1190" s="2">
        <v>46226</v>
      </c>
      <c r="C1190" s="2">
        <v>46240</v>
      </c>
      <c r="D1190">
        <v>14</v>
      </c>
      <c r="E1190" t="s">
        <v>323</v>
      </c>
      <c r="F1190" t="s">
        <v>264</v>
      </c>
      <c r="G1190">
        <v>1</v>
      </c>
    </row>
    <row r="1191" spans="1:7" x14ac:dyDescent="0.35">
      <c r="A1191">
        <v>1002549</v>
      </c>
      <c r="B1191" s="2">
        <v>46226</v>
      </c>
      <c r="C1191" s="2">
        <v>46240</v>
      </c>
      <c r="D1191">
        <v>14</v>
      </c>
      <c r="E1191" t="s">
        <v>400</v>
      </c>
      <c r="F1191" t="s">
        <v>401</v>
      </c>
      <c r="G1191">
        <v>2</v>
      </c>
    </row>
    <row r="1192" spans="1:7" x14ac:dyDescent="0.35">
      <c r="A1192">
        <v>1002549</v>
      </c>
      <c r="B1192" s="2">
        <v>46226</v>
      </c>
      <c r="C1192" s="2">
        <v>46240</v>
      </c>
      <c r="D1192">
        <v>14</v>
      </c>
      <c r="E1192" t="s">
        <v>197</v>
      </c>
      <c r="F1192" t="s">
        <v>175</v>
      </c>
      <c r="G1192">
        <v>2</v>
      </c>
    </row>
    <row r="1193" spans="1:7" x14ac:dyDescent="0.35">
      <c r="A1193">
        <v>1002549</v>
      </c>
      <c r="B1193" s="2">
        <v>46226</v>
      </c>
      <c r="C1193" s="2">
        <v>46240</v>
      </c>
      <c r="D1193">
        <v>14</v>
      </c>
      <c r="E1193" t="s">
        <v>402</v>
      </c>
      <c r="F1193" t="s">
        <v>403</v>
      </c>
      <c r="G1193">
        <v>2</v>
      </c>
    </row>
    <row r="1194" spans="1:7" x14ac:dyDescent="0.35">
      <c r="A1194">
        <v>1002551</v>
      </c>
      <c r="B1194" s="2">
        <v>46225</v>
      </c>
      <c r="C1194" s="2">
        <v>46234</v>
      </c>
      <c r="D1194">
        <v>9</v>
      </c>
      <c r="E1194" t="s">
        <v>404</v>
      </c>
      <c r="F1194" t="s">
        <v>405</v>
      </c>
      <c r="G1194">
        <v>2</v>
      </c>
    </row>
    <row r="1195" spans="1:7" x14ac:dyDescent="0.35">
      <c r="A1195">
        <v>1002551</v>
      </c>
      <c r="B1195" s="2">
        <v>46225</v>
      </c>
      <c r="C1195" s="2">
        <v>46234</v>
      </c>
      <c r="D1195">
        <v>9</v>
      </c>
      <c r="E1195" t="s">
        <v>406</v>
      </c>
      <c r="F1195" t="s">
        <v>407</v>
      </c>
      <c r="G1195">
        <v>2</v>
      </c>
    </row>
    <row r="1196" spans="1:7" x14ac:dyDescent="0.35">
      <c r="A1196">
        <v>1002551</v>
      </c>
      <c r="B1196" s="2">
        <v>46225</v>
      </c>
      <c r="C1196" s="2">
        <v>46234</v>
      </c>
      <c r="D1196">
        <v>9</v>
      </c>
      <c r="E1196" t="s">
        <v>235</v>
      </c>
      <c r="F1196" t="s">
        <v>222</v>
      </c>
      <c r="G1196">
        <v>6</v>
      </c>
    </row>
    <row r="1197" spans="1:7" x14ac:dyDescent="0.35">
      <c r="A1197">
        <v>1002551</v>
      </c>
      <c r="B1197" s="2">
        <v>46225</v>
      </c>
      <c r="C1197" s="2">
        <v>46234</v>
      </c>
      <c r="D1197">
        <v>9</v>
      </c>
      <c r="E1197" t="s">
        <v>408</v>
      </c>
      <c r="F1197" t="s">
        <v>409</v>
      </c>
      <c r="G1197">
        <v>6</v>
      </c>
    </row>
    <row r="1198" spans="1:7" x14ac:dyDescent="0.35">
      <c r="A1198">
        <v>1002551</v>
      </c>
      <c r="B1198" s="2">
        <v>46225</v>
      </c>
      <c r="C1198" s="2">
        <v>46234</v>
      </c>
      <c r="D1198">
        <v>9</v>
      </c>
      <c r="E1198" t="s">
        <v>410</v>
      </c>
      <c r="F1198" t="s">
        <v>411</v>
      </c>
      <c r="G1198">
        <v>6</v>
      </c>
    </row>
    <row r="1199" spans="1:7" x14ac:dyDescent="0.35">
      <c r="A1199">
        <v>1002551</v>
      </c>
      <c r="B1199" s="2">
        <v>46225</v>
      </c>
      <c r="C1199" s="2">
        <v>46234</v>
      </c>
      <c r="D1199">
        <v>9</v>
      </c>
      <c r="E1199" t="s">
        <v>70</v>
      </c>
      <c r="F1199" t="s">
        <v>71</v>
      </c>
      <c r="G1199">
        <v>2</v>
      </c>
    </row>
    <row r="1200" spans="1:7" x14ac:dyDescent="0.35">
      <c r="A1200">
        <v>1002551</v>
      </c>
      <c r="B1200" s="2">
        <v>46225</v>
      </c>
      <c r="C1200" s="2">
        <v>46234</v>
      </c>
      <c r="D1200">
        <v>9</v>
      </c>
      <c r="E1200" t="s">
        <v>412</v>
      </c>
      <c r="F1200" t="s">
        <v>413</v>
      </c>
      <c r="G1200">
        <v>2</v>
      </c>
    </row>
    <row r="1201" spans="1:7" x14ac:dyDescent="0.35">
      <c r="A1201">
        <v>1002551</v>
      </c>
      <c r="B1201" s="2">
        <v>46225</v>
      </c>
      <c r="C1201" s="2">
        <v>46234</v>
      </c>
      <c r="D1201">
        <v>9</v>
      </c>
      <c r="E1201" t="s">
        <v>414</v>
      </c>
      <c r="F1201" t="s">
        <v>413</v>
      </c>
      <c r="G1201">
        <v>6</v>
      </c>
    </row>
    <row r="1202" spans="1:7" x14ac:dyDescent="0.35">
      <c r="A1202">
        <v>1002551</v>
      </c>
      <c r="B1202" s="2">
        <v>46225</v>
      </c>
      <c r="C1202" s="2">
        <v>46252</v>
      </c>
      <c r="D1202">
        <v>27</v>
      </c>
      <c r="E1202" t="s">
        <v>415</v>
      </c>
      <c r="F1202" t="s">
        <v>416</v>
      </c>
      <c r="G1202">
        <v>12</v>
      </c>
    </row>
    <row r="1203" spans="1:7" x14ac:dyDescent="0.35">
      <c r="A1203">
        <v>1002551</v>
      </c>
      <c r="B1203" s="2">
        <v>46225</v>
      </c>
      <c r="C1203" s="2">
        <v>46252</v>
      </c>
      <c r="D1203">
        <v>27</v>
      </c>
      <c r="E1203" t="s">
        <v>417</v>
      </c>
      <c r="F1203" t="s">
        <v>219</v>
      </c>
      <c r="G1203">
        <v>6</v>
      </c>
    </row>
    <row r="1204" spans="1:7" x14ac:dyDescent="0.35">
      <c r="A1204">
        <v>1002551</v>
      </c>
      <c r="B1204" s="2">
        <v>46225</v>
      </c>
      <c r="C1204" s="2">
        <v>46252</v>
      </c>
      <c r="D1204">
        <v>27</v>
      </c>
      <c r="E1204" t="s">
        <v>300</v>
      </c>
      <c r="F1204" t="s">
        <v>219</v>
      </c>
      <c r="G1204">
        <v>12</v>
      </c>
    </row>
    <row r="1205" spans="1:7" x14ac:dyDescent="0.35">
      <c r="A1205">
        <v>1002551</v>
      </c>
      <c r="B1205" s="2">
        <v>46225</v>
      </c>
      <c r="C1205" s="2">
        <v>46252</v>
      </c>
      <c r="D1205">
        <v>27</v>
      </c>
      <c r="E1205" t="s">
        <v>223</v>
      </c>
      <c r="F1205" t="s">
        <v>222</v>
      </c>
      <c r="G1205">
        <v>6</v>
      </c>
    </row>
    <row r="1206" spans="1:7" x14ac:dyDescent="0.35">
      <c r="A1206">
        <v>1002551</v>
      </c>
      <c r="B1206" s="2">
        <v>46225</v>
      </c>
      <c r="C1206" s="2">
        <v>46252</v>
      </c>
      <c r="D1206">
        <v>27</v>
      </c>
      <c r="E1206" t="s">
        <v>414</v>
      </c>
      <c r="F1206" t="s">
        <v>413</v>
      </c>
      <c r="G1206">
        <v>6</v>
      </c>
    </row>
    <row r="1207" spans="1:7" x14ac:dyDescent="0.35">
      <c r="A1207">
        <v>1002559</v>
      </c>
      <c r="B1207" s="2">
        <v>46231</v>
      </c>
      <c r="C1207" s="2">
        <v>46234</v>
      </c>
      <c r="D1207">
        <v>3</v>
      </c>
      <c r="E1207" t="s">
        <v>13</v>
      </c>
      <c r="F1207" t="s">
        <v>14</v>
      </c>
      <c r="G1207">
        <v>2</v>
      </c>
    </row>
    <row r="1208" spans="1:7" x14ac:dyDescent="0.35">
      <c r="A1208">
        <v>1002559</v>
      </c>
      <c r="B1208" s="2">
        <v>46231</v>
      </c>
      <c r="C1208" s="2">
        <v>46234</v>
      </c>
      <c r="D1208">
        <v>3</v>
      </c>
      <c r="E1208" t="s">
        <v>15</v>
      </c>
      <c r="F1208" t="s">
        <v>16</v>
      </c>
      <c r="G1208">
        <v>2</v>
      </c>
    </row>
    <row r="1209" spans="1:7" x14ac:dyDescent="0.35">
      <c r="A1209">
        <v>1002559</v>
      </c>
      <c r="B1209" s="2">
        <v>46231</v>
      </c>
      <c r="C1209" s="2">
        <v>46234</v>
      </c>
      <c r="D1209">
        <v>3</v>
      </c>
      <c r="E1209" t="s">
        <v>25</v>
      </c>
      <c r="F1209" t="s">
        <v>26</v>
      </c>
      <c r="G1209">
        <v>2</v>
      </c>
    </row>
    <row r="1210" spans="1:7" x14ac:dyDescent="0.35">
      <c r="A1210">
        <v>1002559</v>
      </c>
      <c r="B1210" s="2">
        <v>46231</v>
      </c>
      <c r="C1210" s="2">
        <v>46234</v>
      </c>
      <c r="D1210">
        <v>3</v>
      </c>
      <c r="E1210" t="s">
        <v>7</v>
      </c>
      <c r="F1210" t="s">
        <v>8</v>
      </c>
      <c r="G1210">
        <v>2</v>
      </c>
    </row>
    <row r="1211" spans="1:7" x14ac:dyDescent="0.35">
      <c r="A1211">
        <v>1002559</v>
      </c>
      <c r="B1211" s="2">
        <v>46231</v>
      </c>
      <c r="C1211" s="2">
        <v>46234</v>
      </c>
      <c r="D1211">
        <v>3</v>
      </c>
      <c r="E1211" t="s">
        <v>9</v>
      </c>
      <c r="F1211" t="s">
        <v>10</v>
      </c>
      <c r="G1211">
        <v>2</v>
      </c>
    </row>
    <row r="1212" spans="1:7" x14ac:dyDescent="0.35">
      <c r="A1212">
        <v>1002559</v>
      </c>
      <c r="B1212" s="2">
        <v>46231</v>
      </c>
      <c r="C1212" s="2">
        <v>46234</v>
      </c>
      <c r="D1212">
        <v>3</v>
      </c>
      <c r="E1212" t="s">
        <v>42</v>
      </c>
      <c r="F1212" t="s">
        <v>43</v>
      </c>
      <c r="G1212">
        <v>1</v>
      </c>
    </row>
    <row r="1213" spans="1:7" x14ac:dyDescent="0.35">
      <c r="A1213">
        <v>1002559</v>
      </c>
      <c r="B1213" s="2">
        <v>46231</v>
      </c>
      <c r="C1213" s="2">
        <v>46234</v>
      </c>
      <c r="D1213">
        <v>3</v>
      </c>
      <c r="E1213" t="s">
        <v>59</v>
      </c>
      <c r="F1213" t="s">
        <v>60</v>
      </c>
      <c r="G1213">
        <v>1</v>
      </c>
    </row>
    <row r="1214" spans="1:7" x14ac:dyDescent="0.35">
      <c r="A1214">
        <v>1002559</v>
      </c>
      <c r="B1214" s="2">
        <v>46231</v>
      </c>
      <c r="C1214" s="2">
        <v>46234</v>
      </c>
      <c r="D1214">
        <v>3</v>
      </c>
      <c r="E1214" t="s">
        <v>79</v>
      </c>
      <c r="F1214" t="s">
        <v>60</v>
      </c>
      <c r="G1214">
        <v>1</v>
      </c>
    </row>
    <row r="1215" spans="1:7" x14ac:dyDescent="0.35">
      <c r="A1215">
        <v>1002559</v>
      </c>
      <c r="B1215" s="2">
        <v>46231</v>
      </c>
      <c r="C1215" s="2">
        <v>46234</v>
      </c>
      <c r="D1215">
        <v>3</v>
      </c>
      <c r="E1215" t="s">
        <v>337</v>
      </c>
      <c r="F1215" t="s">
        <v>143</v>
      </c>
      <c r="G1215">
        <v>1</v>
      </c>
    </row>
    <row r="1216" spans="1:7" x14ac:dyDescent="0.35">
      <c r="A1216">
        <v>1002559</v>
      </c>
      <c r="B1216" s="2">
        <v>46231</v>
      </c>
      <c r="C1216" s="2">
        <v>46234</v>
      </c>
      <c r="D1216">
        <v>3</v>
      </c>
      <c r="E1216" t="s">
        <v>148</v>
      </c>
      <c r="F1216" t="s">
        <v>143</v>
      </c>
      <c r="G1216">
        <v>1</v>
      </c>
    </row>
    <row r="1217" spans="1:7" x14ac:dyDescent="0.35">
      <c r="A1217">
        <v>1002559</v>
      </c>
      <c r="B1217" s="2">
        <v>46231</v>
      </c>
      <c r="C1217" s="2">
        <v>46234</v>
      </c>
      <c r="D1217">
        <v>3</v>
      </c>
      <c r="E1217" t="s">
        <v>142</v>
      </c>
      <c r="F1217" t="s">
        <v>143</v>
      </c>
      <c r="G1217">
        <v>1</v>
      </c>
    </row>
    <row r="1218" spans="1:7" x14ac:dyDescent="0.35">
      <c r="A1218">
        <v>1002559</v>
      </c>
      <c r="B1218" s="2">
        <v>46231</v>
      </c>
      <c r="C1218" s="2">
        <v>46234</v>
      </c>
      <c r="D1218">
        <v>3</v>
      </c>
      <c r="E1218" t="s">
        <v>46</v>
      </c>
      <c r="F1218" t="s">
        <v>47</v>
      </c>
      <c r="G1218">
        <v>1</v>
      </c>
    </row>
    <row r="1219" spans="1:7" x14ac:dyDescent="0.35">
      <c r="A1219">
        <v>1002559</v>
      </c>
      <c r="B1219" s="2">
        <v>46231</v>
      </c>
      <c r="C1219" s="2">
        <v>46234</v>
      </c>
      <c r="D1219">
        <v>3</v>
      </c>
      <c r="E1219" t="s">
        <v>74</v>
      </c>
      <c r="F1219" t="s">
        <v>47</v>
      </c>
      <c r="G1219">
        <v>1</v>
      </c>
    </row>
    <row r="1220" spans="1:7" x14ac:dyDescent="0.35">
      <c r="A1220">
        <v>1002559</v>
      </c>
      <c r="B1220" s="2">
        <v>46231</v>
      </c>
      <c r="C1220" s="2">
        <v>46234</v>
      </c>
      <c r="D1220">
        <v>3</v>
      </c>
      <c r="E1220" t="s">
        <v>133</v>
      </c>
      <c r="F1220" t="s">
        <v>47</v>
      </c>
      <c r="G1220">
        <v>1</v>
      </c>
    </row>
    <row r="1221" spans="1:7" x14ac:dyDescent="0.35">
      <c r="A1221">
        <v>1002562</v>
      </c>
      <c r="B1221" s="2">
        <v>46227</v>
      </c>
      <c r="C1221" s="2">
        <v>46228</v>
      </c>
      <c r="D1221">
        <v>1</v>
      </c>
      <c r="E1221" t="s">
        <v>418</v>
      </c>
      <c r="F1221" t="s">
        <v>419</v>
      </c>
      <c r="G1221">
        <v>6</v>
      </c>
    </row>
    <row r="1222" spans="1:7" x14ac:dyDescent="0.35">
      <c r="A1222">
        <v>1002562</v>
      </c>
      <c r="B1222" s="2">
        <v>46227</v>
      </c>
      <c r="C1222" s="2">
        <v>46228</v>
      </c>
      <c r="D1222">
        <v>1</v>
      </c>
      <c r="E1222" t="s">
        <v>42</v>
      </c>
      <c r="F1222" t="s">
        <v>43</v>
      </c>
      <c r="G1222">
        <v>6</v>
      </c>
    </row>
    <row r="1223" spans="1:7" x14ac:dyDescent="0.35">
      <c r="A1223">
        <v>1002562</v>
      </c>
      <c r="B1223" s="2">
        <v>46227</v>
      </c>
      <c r="C1223" s="2">
        <v>46228</v>
      </c>
      <c r="D1223">
        <v>1</v>
      </c>
      <c r="E1223" t="s">
        <v>46</v>
      </c>
      <c r="F1223" t="s">
        <v>47</v>
      </c>
      <c r="G1223">
        <v>6</v>
      </c>
    </row>
    <row r="1224" spans="1:7" x14ac:dyDescent="0.35">
      <c r="A1224">
        <v>1002562</v>
      </c>
      <c r="B1224" s="2">
        <v>46227</v>
      </c>
      <c r="C1224" s="2">
        <v>46228</v>
      </c>
      <c r="D1224">
        <v>1</v>
      </c>
      <c r="E1224" t="s">
        <v>133</v>
      </c>
      <c r="F1224" t="s">
        <v>47</v>
      </c>
      <c r="G1224">
        <v>12</v>
      </c>
    </row>
    <row r="1225" spans="1:7" x14ac:dyDescent="0.35">
      <c r="A1225">
        <v>1002562</v>
      </c>
      <c r="B1225" s="2">
        <v>46227</v>
      </c>
      <c r="C1225" s="2">
        <v>46228</v>
      </c>
      <c r="D1225">
        <v>1</v>
      </c>
      <c r="E1225" t="s">
        <v>103</v>
      </c>
      <c r="F1225" t="s">
        <v>94</v>
      </c>
      <c r="G1225">
        <v>6</v>
      </c>
    </row>
    <row r="1226" spans="1:7" x14ac:dyDescent="0.35">
      <c r="A1226">
        <v>1002562</v>
      </c>
      <c r="B1226" s="2">
        <v>46227</v>
      </c>
      <c r="C1226" s="2">
        <v>46238</v>
      </c>
      <c r="D1226">
        <v>11</v>
      </c>
      <c r="E1226" t="s">
        <v>420</v>
      </c>
      <c r="F1226" t="s">
        <v>421</v>
      </c>
      <c r="G1226">
        <v>5</v>
      </c>
    </row>
    <row r="1227" spans="1:7" x14ac:dyDescent="0.35">
      <c r="A1227">
        <v>1002562</v>
      </c>
      <c r="B1227" s="2">
        <v>46227</v>
      </c>
      <c r="C1227" s="2">
        <v>46239</v>
      </c>
      <c r="D1227">
        <v>12</v>
      </c>
      <c r="E1227" t="s">
        <v>420</v>
      </c>
      <c r="F1227" t="s">
        <v>421</v>
      </c>
      <c r="G1227">
        <v>-5</v>
      </c>
    </row>
    <row r="1228" spans="1:7" x14ac:dyDescent="0.35">
      <c r="A1228">
        <v>1002575</v>
      </c>
      <c r="B1228" s="2">
        <v>46231</v>
      </c>
      <c r="C1228" s="2">
        <v>46234</v>
      </c>
      <c r="D1228">
        <v>3</v>
      </c>
      <c r="E1228" t="s">
        <v>79</v>
      </c>
      <c r="F1228" t="s">
        <v>60</v>
      </c>
      <c r="G1228">
        <v>6</v>
      </c>
    </row>
    <row r="1229" spans="1:7" x14ac:dyDescent="0.35">
      <c r="A1229">
        <v>1002575</v>
      </c>
      <c r="B1229" s="2">
        <v>46231</v>
      </c>
      <c r="C1229" s="2">
        <v>46234</v>
      </c>
      <c r="D1229">
        <v>3</v>
      </c>
      <c r="E1229" t="s">
        <v>65</v>
      </c>
      <c r="F1229" t="s">
        <v>45</v>
      </c>
      <c r="G1229">
        <v>6</v>
      </c>
    </row>
    <row r="1230" spans="1:7" x14ac:dyDescent="0.35">
      <c r="A1230">
        <v>1002575</v>
      </c>
      <c r="B1230" s="2">
        <v>46231</v>
      </c>
      <c r="C1230" s="2">
        <v>46234</v>
      </c>
      <c r="D1230">
        <v>3</v>
      </c>
      <c r="E1230" t="s">
        <v>142</v>
      </c>
      <c r="F1230" t="s">
        <v>143</v>
      </c>
      <c r="G1230">
        <v>6</v>
      </c>
    </row>
    <row r="1231" spans="1:7" x14ac:dyDescent="0.35">
      <c r="A1231">
        <v>1002575</v>
      </c>
      <c r="B1231" s="2">
        <v>46231</v>
      </c>
      <c r="C1231" s="2">
        <v>46234</v>
      </c>
      <c r="D1231">
        <v>3</v>
      </c>
      <c r="E1231" t="s">
        <v>133</v>
      </c>
      <c r="F1231" t="s">
        <v>47</v>
      </c>
      <c r="G1231">
        <v>6</v>
      </c>
    </row>
    <row r="1232" spans="1:7" x14ac:dyDescent="0.35">
      <c r="A1232">
        <v>1002575</v>
      </c>
      <c r="B1232" s="2">
        <v>46231</v>
      </c>
      <c r="C1232" s="2">
        <v>46240</v>
      </c>
      <c r="D1232">
        <v>9</v>
      </c>
      <c r="E1232" t="s">
        <v>79</v>
      </c>
      <c r="F1232" t="s">
        <v>60</v>
      </c>
      <c r="G1232">
        <v>-6</v>
      </c>
    </row>
    <row r="1233" spans="1:7" x14ac:dyDescent="0.35">
      <c r="A1233">
        <v>1002575</v>
      </c>
      <c r="B1233" s="2">
        <v>46231</v>
      </c>
      <c r="C1233" s="2">
        <v>46240</v>
      </c>
      <c r="D1233">
        <v>9</v>
      </c>
      <c r="E1233" t="s">
        <v>65</v>
      </c>
      <c r="F1233" t="s">
        <v>45</v>
      </c>
      <c r="G1233">
        <v>-6</v>
      </c>
    </row>
    <row r="1234" spans="1:7" x14ac:dyDescent="0.35">
      <c r="A1234">
        <v>1002575</v>
      </c>
      <c r="B1234" s="2">
        <v>46231</v>
      </c>
      <c r="C1234" s="2">
        <v>46240</v>
      </c>
      <c r="D1234">
        <v>9</v>
      </c>
      <c r="E1234" t="s">
        <v>142</v>
      </c>
      <c r="F1234" t="s">
        <v>143</v>
      </c>
      <c r="G1234">
        <v>-6</v>
      </c>
    </row>
    <row r="1235" spans="1:7" x14ac:dyDescent="0.35">
      <c r="A1235">
        <v>1002575</v>
      </c>
      <c r="B1235" s="2">
        <v>46231</v>
      </c>
      <c r="C1235" s="2">
        <v>46240</v>
      </c>
      <c r="D1235">
        <v>9</v>
      </c>
      <c r="E1235" t="s">
        <v>133</v>
      </c>
      <c r="F1235" t="s">
        <v>47</v>
      </c>
      <c r="G1235">
        <v>-6</v>
      </c>
    </row>
    <row r="1236" spans="1:7" x14ac:dyDescent="0.35">
      <c r="A1236">
        <v>1002575</v>
      </c>
      <c r="B1236" s="2">
        <v>46231</v>
      </c>
      <c r="C1236" s="2">
        <v>46245</v>
      </c>
      <c r="D1236">
        <v>14</v>
      </c>
      <c r="E1236" t="s">
        <v>79</v>
      </c>
      <c r="F1236" t="s">
        <v>60</v>
      </c>
      <c r="G1236">
        <v>6</v>
      </c>
    </row>
    <row r="1237" spans="1:7" x14ac:dyDescent="0.35">
      <c r="A1237">
        <v>1002575</v>
      </c>
      <c r="B1237" s="2">
        <v>46231</v>
      </c>
      <c r="C1237" s="2">
        <v>46245</v>
      </c>
      <c r="D1237">
        <v>14</v>
      </c>
      <c r="E1237" t="s">
        <v>65</v>
      </c>
      <c r="F1237" t="s">
        <v>45</v>
      </c>
      <c r="G1237">
        <v>6</v>
      </c>
    </row>
    <row r="1238" spans="1:7" x14ac:dyDescent="0.35">
      <c r="A1238">
        <v>1002575</v>
      </c>
      <c r="B1238" s="2">
        <v>46231</v>
      </c>
      <c r="C1238" s="2">
        <v>46245</v>
      </c>
      <c r="D1238">
        <v>14</v>
      </c>
      <c r="E1238" t="s">
        <v>142</v>
      </c>
      <c r="F1238" t="s">
        <v>143</v>
      </c>
      <c r="G1238">
        <v>6</v>
      </c>
    </row>
    <row r="1239" spans="1:7" x14ac:dyDescent="0.35">
      <c r="A1239">
        <v>1002575</v>
      </c>
      <c r="B1239" s="2">
        <v>46231</v>
      </c>
      <c r="C1239" s="2">
        <v>46245</v>
      </c>
      <c r="D1239">
        <v>14</v>
      </c>
      <c r="E1239" t="s">
        <v>133</v>
      </c>
      <c r="F1239" t="s">
        <v>47</v>
      </c>
      <c r="G1239">
        <v>6</v>
      </c>
    </row>
    <row r="1240" spans="1:7" x14ac:dyDescent="0.35">
      <c r="A1240">
        <v>1002575</v>
      </c>
      <c r="B1240" s="2">
        <v>46231</v>
      </c>
      <c r="C1240" s="2">
        <v>46259</v>
      </c>
      <c r="D1240">
        <v>28</v>
      </c>
      <c r="E1240" t="s">
        <v>42</v>
      </c>
      <c r="F1240" t="s">
        <v>43</v>
      </c>
      <c r="G1240">
        <v>3</v>
      </c>
    </row>
    <row r="1241" spans="1:7" x14ac:dyDescent="0.35">
      <c r="A1241">
        <v>1002575</v>
      </c>
      <c r="B1241" s="2">
        <v>46231</v>
      </c>
      <c r="C1241" s="2">
        <v>46259</v>
      </c>
      <c r="D1241">
        <v>28</v>
      </c>
      <c r="E1241" t="s">
        <v>59</v>
      </c>
      <c r="F1241" t="s">
        <v>60</v>
      </c>
      <c r="G1241">
        <v>3</v>
      </c>
    </row>
    <row r="1242" spans="1:7" x14ac:dyDescent="0.35">
      <c r="A1242">
        <v>1002575</v>
      </c>
      <c r="B1242" s="2">
        <v>46231</v>
      </c>
      <c r="C1242" s="2">
        <v>46259</v>
      </c>
      <c r="D1242">
        <v>28</v>
      </c>
      <c r="E1242" t="s">
        <v>46</v>
      </c>
      <c r="F1242" t="s">
        <v>47</v>
      </c>
      <c r="G1242">
        <v>3</v>
      </c>
    </row>
    <row r="1243" spans="1:7" x14ac:dyDescent="0.35">
      <c r="A1243">
        <v>1002575</v>
      </c>
      <c r="B1243" s="2">
        <v>46231</v>
      </c>
      <c r="C1243" s="2">
        <v>46259</v>
      </c>
      <c r="D1243">
        <v>28</v>
      </c>
      <c r="E1243" t="s">
        <v>74</v>
      </c>
      <c r="F1243" t="s">
        <v>47</v>
      </c>
      <c r="G1243">
        <v>3</v>
      </c>
    </row>
    <row r="1244" spans="1:7" x14ac:dyDescent="0.35">
      <c r="A1244">
        <v>1002581</v>
      </c>
      <c r="B1244" s="2">
        <v>46232</v>
      </c>
      <c r="C1244" s="2">
        <v>46244</v>
      </c>
      <c r="D1244">
        <v>12</v>
      </c>
      <c r="E1244" t="s">
        <v>11</v>
      </c>
      <c r="F1244" t="s">
        <v>12</v>
      </c>
      <c r="G1244">
        <v>6</v>
      </c>
    </row>
    <row r="1245" spans="1:7" x14ac:dyDescent="0.35">
      <c r="A1245">
        <v>1002581</v>
      </c>
      <c r="B1245" s="2">
        <v>46232</v>
      </c>
      <c r="C1245" s="2">
        <v>46244</v>
      </c>
      <c r="D1245">
        <v>12</v>
      </c>
      <c r="E1245" t="s">
        <v>90</v>
      </c>
      <c r="F1245" t="s">
        <v>35</v>
      </c>
      <c r="G1245">
        <v>3</v>
      </c>
    </row>
    <row r="1246" spans="1:7" x14ac:dyDescent="0.35">
      <c r="A1246">
        <v>1002581</v>
      </c>
      <c r="B1246" s="2">
        <v>46232</v>
      </c>
      <c r="C1246" s="2">
        <v>46244</v>
      </c>
      <c r="D1246">
        <v>12</v>
      </c>
      <c r="E1246" t="s">
        <v>257</v>
      </c>
      <c r="F1246" t="s">
        <v>35</v>
      </c>
      <c r="G1246">
        <v>6</v>
      </c>
    </row>
    <row r="1247" spans="1:7" x14ac:dyDescent="0.35">
      <c r="A1247">
        <v>1002583</v>
      </c>
      <c r="B1247" s="2">
        <v>46232</v>
      </c>
      <c r="C1247" s="2">
        <v>46234</v>
      </c>
      <c r="D1247">
        <v>2</v>
      </c>
      <c r="E1247" t="s">
        <v>134</v>
      </c>
      <c r="F1247" t="s">
        <v>49</v>
      </c>
      <c r="G1247">
        <v>1</v>
      </c>
    </row>
    <row r="1248" spans="1:7" x14ac:dyDescent="0.35">
      <c r="A1248">
        <v>1002583</v>
      </c>
      <c r="B1248" s="2">
        <v>46232</v>
      </c>
      <c r="C1248" s="2">
        <v>46234</v>
      </c>
      <c r="D1248">
        <v>2</v>
      </c>
      <c r="E1248" t="s">
        <v>134</v>
      </c>
      <c r="F1248" t="s">
        <v>49</v>
      </c>
      <c r="G1248">
        <v>2</v>
      </c>
    </row>
    <row r="1249" spans="1:7" x14ac:dyDescent="0.35">
      <c r="A1249">
        <v>1002583</v>
      </c>
      <c r="B1249" s="2">
        <v>46232</v>
      </c>
      <c r="C1249" s="2">
        <v>46234</v>
      </c>
      <c r="D1249">
        <v>2</v>
      </c>
      <c r="E1249" t="s">
        <v>135</v>
      </c>
      <c r="F1249" t="s">
        <v>51</v>
      </c>
      <c r="G1249">
        <v>3</v>
      </c>
    </row>
    <row r="1250" spans="1:7" x14ac:dyDescent="0.35">
      <c r="A1250">
        <v>1002617</v>
      </c>
      <c r="B1250" s="2">
        <v>46238</v>
      </c>
      <c r="C1250" s="2">
        <v>46246</v>
      </c>
      <c r="D1250">
        <v>8</v>
      </c>
      <c r="E1250" t="s">
        <v>422</v>
      </c>
      <c r="F1250" t="s">
        <v>423</v>
      </c>
      <c r="G1250">
        <v>2</v>
      </c>
    </row>
    <row r="1251" spans="1:7" x14ac:dyDescent="0.35">
      <c r="A1251">
        <v>1002617</v>
      </c>
      <c r="B1251" s="2">
        <v>46238</v>
      </c>
      <c r="C1251" s="2">
        <v>46246</v>
      </c>
      <c r="D1251">
        <v>8</v>
      </c>
      <c r="E1251" t="s">
        <v>356</v>
      </c>
      <c r="F1251" t="s">
        <v>355</v>
      </c>
      <c r="G1251">
        <v>4</v>
      </c>
    </row>
    <row r="1252" spans="1:7" x14ac:dyDescent="0.35">
      <c r="A1252">
        <v>1002644</v>
      </c>
      <c r="B1252" s="2">
        <v>46241</v>
      </c>
      <c r="C1252" s="2">
        <v>46251</v>
      </c>
      <c r="D1252">
        <v>10</v>
      </c>
      <c r="E1252" t="s">
        <v>82</v>
      </c>
      <c r="F1252" t="s">
        <v>83</v>
      </c>
      <c r="G1252">
        <v>3</v>
      </c>
    </row>
    <row r="1253" spans="1:7" x14ac:dyDescent="0.35">
      <c r="A1253">
        <v>1002644</v>
      </c>
      <c r="B1253" s="2">
        <v>46241</v>
      </c>
      <c r="C1253" s="2">
        <v>46251</v>
      </c>
      <c r="D1253">
        <v>10</v>
      </c>
      <c r="E1253" t="s">
        <v>424</v>
      </c>
      <c r="F1253" t="s">
        <v>425</v>
      </c>
      <c r="G1253">
        <v>3</v>
      </c>
    </row>
    <row r="1254" spans="1:7" x14ac:dyDescent="0.35">
      <c r="A1254">
        <v>1002644</v>
      </c>
      <c r="B1254" s="2">
        <v>46241</v>
      </c>
      <c r="C1254" s="2">
        <v>46251</v>
      </c>
      <c r="D1254">
        <v>10</v>
      </c>
      <c r="E1254" t="s">
        <v>72</v>
      </c>
      <c r="F1254" t="s">
        <v>71</v>
      </c>
      <c r="G1254">
        <v>3</v>
      </c>
    </row>
    <row r="1255" spans="1:7" x14ac:dyDescent="0.35">
      <c r="A1255">
        <v>1002644</v>
      </c>
      <c r="B1255" s="2">
        <v>46241</v>
      </c>
      <c r="C1255" s="2">
        <v>46251</v>
      </c>
      <c r="D1255">
        <v>10</v>
      </c>
      <c r="E1255" t="s">
        <v>46</v>
      </c>
      <c r="F1255" t="s">
        <v>47</v>
      </c>
      <c r="G1255">
        <v>3</v>
      </c>
    </row>
    <row r="1256" spans="1:7" x14ac:dyDescent="0.35">
      <c r="A1256">
        <v>1002656</v>
      </c>
      <c r="B1256" s="2">
        <v>46248</v>
      </c>
      <c r="C1256" s="2">
        <v>46258</v>
      </c>
      <c r="D1256">
        <v>10</v>
      </c>
      <c r="E1256" t="s">
        <v>13</v>
      </c>
      <c r="F1256" t="s">
        <v>14</v>
      </c>
      <c r="G1256">
        <v>6</v>
      </c>
    </row>
    <row r="1257" spans="1:7" x14ac:dyDescent="0.35">
      <c r="A1257">
        <v>1002656</v>
      </c>
      <c r="B1257" s="2">
        <v>46248</v>
      </c>
      <c r="C1257" s="2">
        <v>46258</v>
      </c>
      <c r="D1257">
        <v>10</v>
      </c>
      <c r="E1257" t="s">
        <v>15</v>
      </c>
      <c r="F1257" t="s">
        <v>16</v>
      </c>
      <c r="G1257">
        <v>6</v>
      </c>
    </row>
    <row r="1258" spans="1:7" x14ac:dyDescent="0.35">
      <c r="A1258">
        <v>1002656</v>
      </c>
      <c r="B1258" s="2">
        <v>46248</v>
      </c>
      <c r="C1258" s="2">
        <v>46258</v>
      </c>
      <c r="D1258">
        <v>10</v>
      </c>
      <c r="E1258" t="s">
        <v>21</v>
      </c>
      <c r="F1258" t="s">
        <v>22</v>
      </c>
      <c r="G1258">
        <v>6</v>
      </c>
    </row>
    <row r="1259" spans="1:7" x14ac:dyDescent="0.35">
      <c r="A1259">
        <v>1002656</v>
      </c>
      <c r="B1259" s="2">
        <v>46248</v>
      </c>
      <c r="C1259" s="2">
        <v>46258</v>
      </c>
      <c r="D1259">
        <v>10</v>
      </c>
      <c r="E1259" t="s">
        <v>310</v>
      </c>
      <c r="F1259" t="s">
        <v>311</v>
      </c>
      <c r="G1259">
        <v>6</v>
      </c>
    </row>
    <row r="1260" spans="1:7" x14ac:dyDescent="0.35">
      <c r="A1260">
        <v>1002656</v>
      </c>
      <c r="B1260" s="2">
        <v>46248</v>
      </c>
      <c r="C1260" s="2">
        <v>46258</v>
      </c>
      <c r="D1260">
        <v>10</v>
      </c>
      <c r="E1260" t="s">
        <v>7</v>
      </c>
      <c r="F1260" t="s">
        <v>8</v>
      </c>
      <c r="G1260">
        <v>6</v>
      </c>
    </row>
    <row r="1261" spans="1:7" x14ac:dyDescent="0.35">
      <c r="A1261">
        <v>1002656</v>
      </c>
      <c r="B1261" s="2">
        <v>46248</v>
      </c>
      <c r="C1261" s="2">
        <v>46258</v>
      </c>
      <c r="D1261">
        <v>10</v>
      </c>
      <c r="E1261" t="s">
        <v>9</v>
      </c>
      <c r="F1261" t="s">
        <v>10</v>
      </c>
      <c r="G1261">
        <v>6</v>
      </c>
    </row>
    <row r="1262" spans="1:7" x14ac:dyDescent="0.35">
      <c r="A1262">
        <v>1002656</v>
      </c>
      <c r="B1262" s="2">
        <v>46248</v>
      </c>
      <c r="C1262" s="2">
        <v>46258</v>
      </c>
      <c r="D1262">
        <v>10</v>
      </c>
      <c r="E1262" t="s">
        <v>86</v>
      </c>
      <c r="F1262" t="s">
        <v>85</v>
      </c>
      <c r="G1262">
        <v>2</v>
      </c>
    </row>
    <row r="1263" spans="1:7" x14ac:dyDescent="0.35">
      <c r="A1263">
        <v>1002656</v>
      </c>
      <c r="B1263" s="2">
        <v>46248</v>
      </c>
      <c r="C1263" s="2">
        <v>46258</v>
      </c>
      <c r="D1263">
        <v>10</v>
      </c>
      <c r="E1263" t="s">
        <v>42</v>
      </c>
      <c r="F1263" t="s">
        <v>43</v>
      </c>
      <c r="G1263">
        <v>6</v>
      </c>
    </row>
    <row r="1264" spans="1:7" x14ac:dyDescent="0.35">
      <c r="A1264">
        <v>1002656</v>
      </c>
      <c r="B1264" s="2">
        <v>46248</v>
      </c>
      <c r="C1264" s="2">
        <v>46258</v>
      </c>
      <c r="D1264">
        <v>10</v>
      </c>
      <c r="E1264" t="s">
        <v>79</v>
      </c>
      <c r="F1264" t="s">
        <v>60</v>
      </c>
      <c r="G1264">
        <v>12</v>
      </c>
    </row>
    <row r="1265" spans="1:7" x14ac:dyDescent="0.35">
      <c r="A1265">
        <v>1002656</v>
      </c>
      <c r="B1265" s="2">
        <v>46248</v>
      </c>
      <c r="C1265" s="2">
        <v>46258</v>
      </c>
      <c r="D1265">
        <v>10</v>
      </c>
      <c r="E1265" t="s">
        <v>72</v>
      </c>
      <c r="F1265" t="s">
        <v>71</v>
      </c>
      <c r="G1265">
        <v>6</v>
      </c>
    </row>
    <row r="1266" spans="1:7" x14ac:dyDescent="0.35">
      <c r="A1266">
        <v>1002656</v>
      </c>
      <c r="B1266" s="2">
        <v>46248</v>
      </c>
      <c r="C1266" s="2">
        <v>46258</v>
      </c>
      <c r="D1266">
        <v>10</v>
      </c>
      <c r="E1266" t="s">
        <v>73</v>
      </c>
      <c r="F1266" t="s">
        <v>47</v>
      </c>
      <c r="G1266">
        <v>2</v>
      </c>
    </row>
    <row r="1267" spans="1:7" x14ac:dyDescent="0.35">
      <c r="A1267">
        <v>1002656</v>
      </c>
      <c r="B1267" s="2">
        <v>46248</v>
      </c>
      <c r="C1267" s="2">
        <v>46258</v>
      </c>
      <c r="D1267">
        <v>10</v>
      </c>
      <c r="E1267" t="s">
        <v>46</v>
      </c>
      <c r="F1267" t="s">
        <v>47</v>
      </c>
      <c r="G1267">
        <v>6</v>
      </c>
    </row>
    <row r="1268" spans="1:7" x14ac:dyDescent="0.35">
      <c r="A1268">
        <v>1002656</v>
      </c>
      <c r="B1268" s="2">
        <v>46248</v>
      </c>
      <c r="C1268" s="2">
        <v>46258</v>
      </c>
      <c r="D1268">
        <v>10</v>
      </c>
      <c r="E1268" t="s">
        <v>133</v>
      </c>
      <c r="F1268" t="s">
        <v>47</v>
      </c>
      <c r="G1268">
        <v>12</v>
      </c>
    </row>
    <row r="1269" spans="1:7" x14ac:dyDescent="0.35">
      <c r="A1269">
        <v>1002656</v>
      </c>
      <c r="B1269" s="2">
        <v>46248</v>
      </c>
      <c r="C1269" s="2">
        <v>46258</v>
      </c>
      <c r="D1269">
        <v>10</v>
      </c>
      <c r="E1269" t="s">
        <v>422</v>
      </c>
      <c r="F1269" t="s">
        <v>423</v>
      </c>
      <c r="G1269">
        <v>1</v>
      </c>
    </row>
    <row r="1270" spans="1:7" x14ac:dyDescent="0.35">
      <c r="A1270">
        <v>1002656</v>
      </c>
      <c r="B1270" s="2">
        <v>46248</v>
      </c>
      <c r="C1270" s="2">
        <v>46258</v>
      </c>
      <c r="D1270">
        <v>10</v>
      </c>
      <c r="E1270" t="s">
        <v>134</v>
      </c>
      <c r="F1270" t="s">
        <v>49</v>
      </c>
      <c r="G1270">
        <v>2</v>
      </c>
    </row>
    <row r="1271" spans="1:7" x14ac:dyDescent="0.35">
      <c r="A1271">
        <v>1002656</v>
      </c>
      <c r="B1271" s="2">
        <v>46248</v>
      </c>
      <c r="C1271" s="2">
        <v>46258</v>
      </c>
      <c r="D1271">
        <v>10</v>
      </c>
      <c r="E1271" t="s">
        <v>48</v>
      </c>
      <c r="F1271" t="s">
        <v>49</v>
      </c>
      <c r="G1271">
        <v>2</v>
      </c>
    </row>
    <row r="1272" spans="1:7" x14ac:dyDescent="0.35">
      <c r="A1272">
        <v>1002656</v>
      </c>
      <c r="B1272" s="2">
        <v>46248</v>
      </c>
      <c r="C1272" s="2">
        <v>46258</v>
      </c>
      <c r="D1272">
        <v>10</v>
      </c>
      <c r="E1272" t="s">
        <v>135</v>
      </c>
      <c r="F1272" t="s">
        <v>51</v>
      </c>
      <c r="G1272">
        <v>2</v>
      </c>
    </row>
    <row r="1273" spans="1:7" x14ac:dyDescent="0.35">
      <c r="A1273">
        <v>1002656</v>
      </c>
      <c r="B1273" s="2">
        <v>46248</v>
      </c>
      <c r="C1273" s="2">
        <v>46258</v>
      </c>
      <c r="D1273">
        <v>10</v>
      </c>
      <c r="E1273" t="s">
        <v>50</v>
      </c>
      <c r="F1273" t="s">
        <v>51</v>
      </c>
      <c r="G1273">
        <v>2</v>
      </c>
    </row>
    <row r="1274" spans="1:7" x14ac:dyDescent="0.35">
      <c r="A1274">
        <v>1002656</v>
      </c>
      <c r="B1274" s="2">
        <v>46248</v>
      </c>
      <c r="C1274" s="2">
        <v>46258</v>
      </c>
      <c r="D1274">
        <v>10</v>
      </c>
      <c r="E1274" t="s">
        <v>352</v>
      </c>
      <c r="F1274" t="s">
        <v>351</v>
      </c>
      <c r="G1274">
        <v>6</v>
      </c>
    </row>
    <row r="1275" spans="1:7" x14ac:dyDescent="0.35">
      <c r="A1275">
        <v>1002656</v>
      </c>
      <c r="B1275" s="2">
        <v>46248</v>
      </c>
      <c r="C1275" s="2">
        <v>46258</v>
      </c>
      <c r="D1275">
        <v>10</v>
      </c>
      <c r="E1275" t="s">
        <v>248</v>
      </c>
      <c r="F1275" t="s">
        <v>183</v>
      </c>
      <c r="G1275">
        <v>6</v>
      </c>
    </row>
    <row r="1276" spans="1:7" x14ac:dyDescent="0.35">
      <c r="A1276">
        <v>1002656</v>
      </c>
      <c r="B1276" s="2">
        <v>46248</v>
      </c>
      <c r="C1276" s="2">
        <v>46258</v>
      </c>
      <c r="D1276">
        <v>10</v>
      </c>
      <c r="E1276" t="s">
        <v>323</v>
      </c>
      <c r="F1276" t="s">
        <v>264</v>
      </c>
      <c r="G1276">
        <v>2</v>
      </c>
    </row>
    <row r="1277" spans="1:7" x14ac:dyDescent="0.35">
      <c r="A1277">
        <v>1002656</v>
      </c>
      <c r="B1277" s="2">
        <v>46248</v>
      </c>
      <c r="C1277" s="2">
        <v>46258</v>
      </c>
      <c r="D1277">
        <v>10</v>
      </c>
      <c r="E1277" t="s">
        <v>263</v>
      </c>
      <c r="F1277" t="s">
        <v>264</v>
      </c>
      <c r="G1277">
        <v>2</v>
      </c>
    </row>
    <row r="1278" spans="1:7" x14ac:dyDescent="0.35">
      <c r="A1278">
        <v>1002656</v>
      </c>
      <c r="B1278" s="2">
        <v>46248</v>
      </c>
      <c r="C1278" s="2">
        <v>46258</v>
      </c>
      <c r="D1278">
        <v>10</v>
      </c>
      <c r="E1278" t="s">
        <v>280</v>
      </c>
      <c r="F1278" t="s">
        <v>264</v>
      </c>
      <c r="G1278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70A7E-78CF-4F3F-ACF8-0CC5F6C381EE}">
  <dimension ref="A3:A133"/>
  <sheetViews>
    <sheetView topLeftCell="A111" workbookViewId="0">
      <selection activeCell="A3" sqref="A3:A133"/>
    </sheetView>
  </sheetViews>
  <sheetFormatPr baseColWidth="10" defaultRowHeight="14.5" x14ac:dyDescent="0.35"/>
  <sheetData>
    <row r="3" spans="1:1" x14ac:dyDescent="0.35">
      <c r="A3">
        <v>1001423</v>
      </c>
    </row>
    <row r="4" spans="1:1" x14ac:dyDescent="0.35">
      <c r="A4">
        <v>1001441</v>
      </c>
    </row>
    <row r="5" spans="1:1" x14ac:dyDescent="0.35">
      <c r="A5">
        <v>1001446</v>
      </c>
    </row>
    <row r="6" spans="1:1" x14ac:dyDescent="0.35">
      <c r="A6">
        <v>1001448</v>
      </c>
    </row>
    <row r="7" spans="1:1" x14ac:dyDescent="0.35">
      <c r="A7">
        <v>1001456</v>
      </c>
    </row>
    <row r="8" spans="1:1" x14ac:dyDescent="0.35">
      <c r="A8">
        <v>1001467</v>
      </c>
    </row>
    <row r="9" spans="1:1" x14ac:dyDescent="0.35">
      <c r="A9">
        <v>1001492</v>
      </c>
    </row>
    <row r="10" spans="1:1" x14ac:dyDescent="0.35">
      <c r="A10">
        <v>1001512</v>
      </c>
    </row>
    <row r="11" spans="1:1" x14ac:dyDescent="0.35">
      <c r="A11">
        <v>1001514</v>
      </c>
    </row>
    <row r="12" spans="1:1" x14ac:dyDescent="0.35">
      <c r="A12">
        <v>1001515</v>
      </c>
    </row>
    <row r="13" spans="1:1" x14ac:dyDescent="0.35">
      <c r="A13">
        <v>1001521</v>
      </c>
    </row>
    <row r="14" spans="1:1" x14ac:dyDescent="0.35">
      <c r="A14">
        <v>1001564</v>
      </c>
    </row>
    <row r="15" spans="1:1" x14ac:dyDescent="0.35">
      <c r="A15">
        <v>1001569</v>
      </c>
    </row>
    <row r="16" spans="1:1" x14ac:dyDescent="0.35">
      <c r="A16">
        <v>1001574</v>
      </c>
    </row>
    <row r="17" spans="1:1" x14ac:dyDescent="0.35">
      <c r="A17">
        <v>1001578</v>
      </c>
    </row>
    <row r="18" spans="1:1" x14ac:dyDescent="0.35">
      <c r="A18">
        <v>1001582</v>
      </c>
    </row>
    <row r="19" spans="1:1" x14ac:dyDescent="0.35">
      <c r="A19">
        <v>1001588</v>
      </c>
    </row>
    <row r="20" spans="1:1" x14ac:dyDescent="0.35">
      <c r="A20">
        <v>1001594</v>
      </c>
    </row>
    <row r="21" spans="1:1" x14ac:dyDescent="0.35">
      <c r="A21">
        <v>1001595</v>
      </c>
    </row>
    <row r="22" spans="1:1" x14ac:dyDescent="0.35">
      <c r="A22">
        <v>1001599</v>
      </c>
    </row>
    <row r="23" spans="1:1" x14ac:dyDescent="0.35">
      <c r="A23">
        <v>1001600</v>
      </c>
    </row>
    <row r="24" spans="1:1" x14ac:dyDescent="0.35">
      <c r="A24">
        <v>1001608</v>
      </c>
    </row>
    <row r="25" spans="1:1" x14ac:dyDescent="0.35">
      <c r="A25">
        <v>1001609</v>
      </c>
    </row>
    <row r="26" spans="1:1" x14ac:dyDescent="0.35">
      <c r="A26">
        <v>1001611</v>
      </c>
    </row>
    <row r="27" spans="1:1" x14ac:dyDescent="0.35">
      <c r="A27">
        <v>1001615</v>
      </c>
    </row>
    <row r="28" spans="1:1" x14ac:dyDescent="0.35">
      <c r="A28">
        <v>1001626</v>
      </c>
    </row>
    <row r="29" spans="1:1" x14ac:dyDescent="0.35">
      <c r="A29">
        <v>1001630</v>
      </c>
    </row>
    <row r="30" spans="1:1" x14ac:dyDescent="0.35">
      <c r="A30">
        <v>1001631</v>
      </c>
    </row>
    <row r="31" spans="1:1" x14ac:dyDescent="0.35">
      <c r="A31">
        <v>1001637</v>
      </c>
    </row>
    <row r="32" spans="1:1" x14ac:dyDescent="0.35">
      <c r="A32">
        <v>1001640</v>
      </c>
    </row>
    <row r="33" spans="1:1" x14ac:dyDescent="0.35">
      <c r="A33">
        <v>1001641</v>
      </c>
    </row>
    <row r="34" spans="1:1" x14ac:dyDescent="0.35">
      <c r="A34">
        <v>1001648</v>
      </c>
    </row>
    <row r="35" spans="1:1" x14ac:dyDescent="0.35">
      <c r="A35">
        <v>1001649</v>
      </c>
    </row>
    <row r="36" spans="1:1" x14ac:dyDescent="0.35">
      <c r="A36">
        <v>1001696</v>
      </c>
    </row>
    <row r="37" spans="1:1" x14ac:dyDescent="0.35">
      <c r="A37">
        <v>1001703</v>
      </c>
    </row>
    <row r="38" spans="1:1" x14ac:dyDescent="0.35">
      <c r="A38">
        <v>1001706</v>
      </c>
    </row>
    <row r="39" spans="1:1" x14ac:dyDescent="0.35">
      <c r="A39">
        <v>1001709</v>
      </c>
    </row>
    <row r="40" spans="1:1" x14ac:dyDescent="0.35">
      <c r="A40">
        <v>1001714</v>
      </c>
    </row>
    <row r="41" spans="1:1" x14ac:dyDescent="0.35">
      <c r="A41">
        <v>1001717</v>
      </c>
    </row>
    <row r="42" spans="1:1" x14ac:dyDescent="0.35">
      <c r="A42">
        <v>1001720</v>
      </c>
    </row>
    <row r="43" spans="1:1" x14ac:dyDescent="0.35">
      <c r="A43">
        <v>1001734</v>
      </c>
    </row>
    <row r="44" spans="1:1" x14ac:dyDescent="0.35">
      <c r="A44">
        <v>1001742</v>
      </c>
    </row>
    <row r="45" spans="1:1" x14ac:dyDescent="0.35">
      <c r="A45">
        <v>1001765</v>
      </c>
    </row>
    <row r="46" spans="1:1" x14ac:dyDescent="0.35">
      <c r="A46">
        <v>1001767</v>
      </c>
    </row>
    <row r="47" spans="1:1" x14ac:dyDescent="0.35">
      <c r="A47">
        <v>1001772</v>
      </c>
    </row>
    <row r="48" spans="1:1" x14ac:dyDescent="0.35">
      <c r="A48">
        <v>1001784</v>
      </c>
    </row>
    <row r="49" spans="1:1" x14ac:dyDescent="0.35">
      <c r="A49">
        <v>1001792</v>
      </c>
    </row>
    <row r="50" spans="1:1" x14ac:dyDescent="0.35">
      <c r="A50">
        <v>1001793</v>
      </c>
    </row>
    <row r="51" spans="1:1" x14ac:dyDescent="0.35">
      <c r="A51">
        <v>1001804</v>
      </c>
    </row>
    <row r="52" spans="1:1" x14ac:dyDescent="0.35">
      <c r="A52">
        <v>1001808</v>
      </c>
    </row>
    <row r="53" spans="1:1" x14ac:dyDescent="0.35">
      <c r="A53">
        <v>1001818</v>
      </c>
    </row>
    <row r="54" spans="1:1" x14ac:dyDescent="0.35">
      <c r="A54">
        <v>1001843</v>
      </c>
    </row>
    <row r="55" spans="1:1" x14ac:dyDescent="0.35">
      <c r="A55">
        <v>1001844</v>
      </c>
    </row>
    <row r="56" spans="1:1" x14ac:dyDescent="0.35">
      <c r="A56">
        <v>1001848</v>
      </c>
    </row>
    <row r="57" spans="1:1" x14ac:dyDescent="0.35">
      <c r="A57">
        <v>1001849</v>
      </c>
    </row>
    <row r="58" spans="1:1" x14ac:dyDescent="0.35">
      <c r="A58">
        <v>1001852</v>
      </c>
    </row>
    <row r="59" spans="1:1" x14ac:dyDescent="0.35">
      <c r="A59">
        <v>1001858</v>
      </c>
    </row>
    <row r="60" spans="1:1" x14ac:dyDescent="0.35">
      <c r="A60">
        <v>1001859</v>
      </c>
    </row>
    <row r="61" spans="1:1" x14ac:dyDescent="0.35">
      <c r="A61">
        <v>1001871</v>
      </c>
    </row>
    <row r="62" spans="1:1" x14ac:dyDescent="0.35">
      <c r="A62">
        <v>1001883</v>
      </c>
    </row>
    <row r="63" spans="1:1" x14ac:dyDescent="0.35">
      <c r="A63">
        <v>1001884</v>
      </c>
    </row>
    <row r="64" spans="1:1" x14ac:dyDescent="0.35">
      <c r="A64">
        <v>1001896</v>
      </c>
    </row>
    <row r="65" spans="1:1" x14ac:dyDescent="0.35">
      <c r="A65">
        <v>1001900</v>
      </c>
    </row>
    <row r="66" spans="1:1" x14ac:dyDescent="0.35">
      <c r="A66">
        <v>1001914</v>
      </c>
    </row>
    <row r="67" spans="1:1" x14ac:dyDescent="0.35">
      <c r="A67">
        <v>1001919</v>
      </c>
    </row>
    <row r="68" spans="1:1" x14ac:dyDescent="0.35">
      <c r="A68">
        <v>1001949</v>
      </c>
    </row>
    <row r="69" spans="1:1" x14ac:dyDescent="0.35">
      <c r="A69">
        <v>1001981</v>
      </c>
    </row>
    <row r="70" spans="1:1" x14ac:dyDescent="0.35">
      <c r="A70">
        <v>1001983</v>
      </c>
    </row>
    <row r="71" spans="1:1" x14ac:dyDescent="0.35">
      <c r="A71">
        <v>1001999</v>
      </c>
    </row>
    <row r="72" spans="1:1" x14ac:dyDescent="0.35">
      <c r="A72">
        <v>1002001</v>
      </c>
    </row>
    <row r="73" spans="1:1" x14ac:dyDescent="0.35">
      <c r="A73">
        <v>1002005</v>
      </c>
    </row>
    <row r="74" spans="1:1" x14ac:dyDescent="0.35">
      <c r="A74">
        <v>1002010</v>
      </c>
    </row>
    <row r="75" spans="1:1" x14ac:dyDescent="0.35">
      <c r="A75">
        <v>1002048</v>
      </c>
    </row>
    <row r="76" spans="1:1" x14ac:dyDescent="0.35">
      <c r="A76">
        <v>1002058</v>
      </c>
    </row>
    <row r="77" spans="1:1" x14ac:dyDescent="0.35">
      <c r="A77">
        <v>1002063</v>
      </c>
    </row>
    <row r="78" spans="1:1" x14ac:dyDescent="0.35">
      <c r="A78">
        <v>1002093</v>
      </c>
    </row>
    <row r="79" spans="1:1" x14ac:dyDescent="0.35">
      <c r="A79">
        <v>1002094</v>
      </c>
    </row>
    <row r="80" spans="1:1" x14ac:dyDescent="0.35">
      <c r="A80">
        <v>1002103</v>
      </c>
    </row>
    <row r="81" spans="1:1" x14ac:dyDescent="0.35">
      <c r="A81">
        <v>1002105</v>
      </c>
    </row>
    <row r="82" spans="1:1" x14ac:dyDescent="0.35">
      <c r="A82">
        <v>1002109</v>
      </c>
    </row>
    <row r="83" spans="1:1" x14ac:dyDescent="0.35">
      <c r="A83">
        <v>1002125</v>
      </c>
    </row>
    <row r="84" spans="1:1" x14ac:dyDescent="0.35">
      <c r="A84">
        <v>1002129</v>
      </c>
    </row>
    <row r="85" spans="1:1" x14ac:dyDescent="0.35">
      <c r="A85">
        <v>1002134</v>
      </c>
    </row>
    <row r="86" spans="1:1" x14ac:dyDescent="0.35">
      <c r="A86">
        <v>1002136</v>
      </c>
    </row>
    <row r="87" spans="1:1" x14ac:dyDescent="0.35">
      <c r="A87">
        <v>1002146</v>
      </c>
    </row>
    <row r="88" spans="1:1" x14ac:dyDescent="0.35">
      <c r="A88">
        <v>1002148</v>
      </c>
    </row>
    <row r="89" spans="1:1" x14ac:dyDescent="0.35">
      <c r="A89">
        <v>1002150</v>
      </c>
    </row>
    <row r="90" spans="1:1" x14ac:dyDescent="0.35">
      <c r="A90">
        <v>1002154</v>
      </c>
    </row>
    <row r="91" spans="1:1" x14ac:dyDescent="0.35">
      <c r="A91">
        <v>1002159</v>
      </c>
    </row>
    <row r="92" spans="1:1" x14ac:dyDescent="0.35">
      <c r="A92">
        <v>1002161</v>
      </c>
    </row>
    <row r="93" spans="1:1" x14ac:dyDescent="0.35">
      <c r="A93">
        <v>1002162</v>
      </c>
    </row>
    <row r="94" spans="1:1" x14ac:dyDescent="0.35">
      <c r="A94">
        <v>1002170</v>
      </c>
    </row>
    <row r="95" spans="1:1" x14ac:dyDescent="0.35">
      <c r="A95">
        <v>1002189</v>
      </c>
    </row>
    <row r="96" spans="1:1" x14ac:dyDescent="0.35">
      <c r="A96">
        <v>1002196</v>
      </c>
    </row>
    <row r="97" spans="1:1" x14ac:dyDescent="0.35">
      <c r="A97">
        <v>1002201</v>
      </c>
    </row>
    <row r="98" spans="1:1" x14ac:dyDescent="0.35">
      <c r="A98">
        <v>1002208</v>
      </c>
    </row>
    <row r="99" spans="1:1" x14ac:dyDescent="0.35">
      <c r="A99">
        <v>1002209</v>
      </c>
    </row>
    <row r="100" spans="1:1" x14ac:dyDescent="0.35">
      <c r="A100">
        <v>1002232</v>
      </c>
    </row>
    <row r="101" spans="1:1" x14ac:dyDescent="0.35">
      <c r="A101">
        <v>1002239</v>
      </c>
    </row>
    <row r="102" spans="1:1" x14ac:dyDescent="0.35">
      <c r="A102">
        <v>1002241</v>
      </c>
    </row>
    <row r="103" spans="1:1" x14ac:dyDescent="0.35">
      <c r="A103">
        <v>1002246</v>
      </c>
    </row>
    <row r="104" spans="1:1" x14ac:dyDescent="0.35">
      <c r="A104">
        <v>1002262</v>
      </c>
    </row>
    <row r="105" spans="1:1" x14ac:dyDescent="0.35">
      <c r="A105">
        <v>1002283</v>
      </c>
    </row>
    <row r="106" spans="1:1" x14ac:dyDescent="0.35">
      <c r="A106">
        <v>1002309</v>
      </c>
    </row>
    <row r="107" spans="1:1" x14ac:dyDescent="0.35">
      <c r="A107">
        <v>1002321</v>
      </c>
    </row>
    <row r="108" spans="1:1" x14ac:dyDescent="0.35">
      <c r="A108">
        <v>1002348</v>
      </c>
    </row>
    <row r="109" spans="1:1" x14ac:dyDescent="0.35">
      <c r="A109">
        <v>1002356</v>
      </c>
    </row>
    <row r="110" spans="1:1" x14ac:dyDescent="0.35">
      <c r="A110">
        <v>1002372</v>
      </c>
    </row>
    <row r="111" spans="1:1" x14ac:dyDescent="0.35">
      <c r="A111">
        <v>1002385</v>
      </c>
    </row>
    <row r="112" spans="1:1" x14ac:dyDescent="0.35">
      <c r="A112">
        <v>1002399</v>
      </c>
    </row>
    <row r="113" spans="1:1" x14ac:dyDescent="0.35">
      <c r="A113">
        <v>1002400</v>
      </c>
    </row>
    <row r="114" spans="1:1" x14ac:dyDescent="0.35">
      <c r="A114">
        <v>1002421</v>
      </c>
    </row>
    <row r="115" spans="1:1" x14ac:dyDescent="0.35">
      <c r="A115">
        <v>1002422</v>
      </c>
    </row>
    <row r="116" spans="1:1" x14ac:dyDescent="0.35">
      <c r="A116">
        <v>1002425</v>
      </c>
    </row>
    <row r="117" spans="1:1" x14ac:dyDescent="0.35">
      <c r="A117">
        <v>1002433</v>
      </c>
    </row>
    <row r="118" spans="1:1" x14ac:dyDescent="0.35">
      <c r="A118">
        <v>1002441</v>
      </c>
    </row>
    <row r="119" spans="1:1" x14ac:dyDescent="0.35">
      <c r="A119">
        <v>1002459</v>
      </c>
    </row>
    <row r="120" spans="1:1" x14ac:dyDescent="0.35">
      <c r="A120">
        <v>1002502</v>
      </c>
    </row>
    <row r="121" spans="1:1" x14ac:dyDescent="0.35">
      <c r="A121">
        <v>1002514</v>
      </c>
    </row>
    <row r="122" spans="1:1" x14ac:dyDescent="0.35">
      <c r="A122">
        <v>1002521</v>
      </c>
    </row>
    <row r="123" spans="1:1" x14ac:dyDescent="0.35">
      <c r="A123">
        <v>1002542</v>
      </c>
    </row>
    <row r="124" spans="1:1" x14ac:dyDescent="0.35">
      <c r="A124">
        <v>1002549</v>
      </c>
    </row>
    <row r="125" spans="1:1" x14ac:dyDescent="0.35">
      <c r="A125">
        <v>1002551</v>
      </c>
    </row>
    <row r="126" spans="1:1" x14ac:dyDescent="0.35">
      <c r="A126">
        <v>1002559</v>
      </c>
    </row>
    <row r="127" spans="1:1" x14ac:dyDescent="0.35">
      <c r="A127">
        <v>1002562</v>
      </c>
    </row>
    <row r="128" spans="1:1" x14ac:dyDescent="0.35">
      <c r="A128">
        <v>1002575</v>
      </c>
    </row>
    <row r="129" spans="1:1" x14ac:dyDescent="0.35">
      <c r="A129">
        <v>1002581</v>
      </c>
    </row>
    <row r="130" spans="1:1" x14ac:dyDescent="0.35">
      <c r="A130">
        <v>1002583</v>
      </c>
    </row>
    <row r="131" spans="1:1" x14ac:dyDescent="0.35">
      <c r="A131">
        <v>1002617</v>
      </c>
    </row>
    <row r="132" spans="1:1" x14ac:dyDescent="0.35">
      <c r="A132">
        <v>1002644</v>
      </c>
    </row>
    <row r="133" spans="1:1" x14ac:dyDescent="0.35">
      <c r="A133">
        <v>1002656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EF7F-29F4-4F71-9101-D17C49E6E1F0}">
  <dimension ref="A3:EC261"/>
  <sheetViews>
    <sheetView topLeftCell="DF262" zoomScale="50" zoomScaleNormal="50" workbookViewId="0">
      <selection activeCell="B262" sqref="B262"/>
    </sheetView>
  </sheetViews>
  <sheetFormatPr baseColWidth="10" defaultRowHeight="14.5" x14ac:dyDescent="0.35"/>
  <cols>
    <col min="1" max="1" width="17.81640625" bestFit="1" customWidth="1"/>
    <col min="2" max="132" width="13.90625" bestFit="1" customWidth="1"/>
    <col min="133" max="133" width="12.6328125" bestFit="1" customWidth="1"/>
  </cols>
  <sheetData>
    <row r="3" spans="1:133" x14ac:dyDescent="0.35">
      <c r="A3" s="3" t="s">
        <v>431</v>
      </c>
      <c r="B3" s="3" t="s">
        <v>0</v>
      </c>
    </row>
    <row r="4" spans="1:133" x14ac:dyDescent="0.35">
      <c r="A4" s="3" t="s">
        <v>4</v>
      </c>
      <c r="B4">
        <v>1001423</v>
      </c>
      <c r="C4">
        <v>1001441</v>
      </c>
      <c r="D4">
        <v>1001446</v>
      </c>
      <c r="E4">
        <v>1001448</v>
      </c>
      <c r="F4">
        <v>1001456</v>
      </c>
      <c r="G4">
        <v>1001467</v>
      </c>
      <c r="H4">
        <v>1001492</v>
      </c>
      <c r="I4">
        <v>1001512</v>
      </c>
      <c r="J4">
        <v>1001514</v>
      </c>
      <c r="K4">
        <v>1001515</v>
      </c>
      <c r="L4">
        <v>1001521</v>
      </c>
      <c r="M4">
        <v>1001564</v>
      </c>
      <c r="N4">
        <v>1001569</v>
      </c>
      <c r="O4">
        <v>1001574</v>
      </c>
      <c r="P4">
        <v>1001578</v>
      </c>
      <c r="Q4">
        <v>1001582</v>
      </c>
      <c r="R4">
        <v>1001588</v>
      </c>
      <c r="S4">
        <v>1001594</v>
      </c>
      <c r="T4">
        <v>1001595</v>
      </c>
      <c r="U4">
        <v>1001599</v>
      </c>
      <c r="V4">
        <v>1001600</v>
      </c>
      <c r="W4">
        <v>1001608</v>
      </c>
      <c r="X4">
        <v>1001609</v>
      </c>
      <c r="Y4">
        <v>1001611</v>
      </c>
      <c r="Z4">
        <v>1001615</v>
      </c>
      <c r="AA4">
        <v>1001626</v>
      </c>
      <c r="AB4">
        <v>1001630</v>
      </c>
      <c r="AC4">
        <v>1001631</v>
      </c>
      <c r="AD4">
        <v>1001637</v>
      </c>
      <c r="AE4">
        <v>1001640</v>
      </c>
      <c r="AF4">
        <v>1001641</v>
      </c>
      <c r="AG4">
        <v>1001648</v>
      </c>
      <c r="AH4">
        <v>1001649</v>
      </c>
      <c r="AI4">
        <v>1001696</v>
      </c>
      <c r="AJ4">
        <v>1001703</v>
      </c>
      <c r="AK4">
        <v>1001706</v>
      </c>
      <c r="AL4">
        <v>1001709</v>
      </c>
      <c r="AM4">
        <v>1001714</v>
      </c>
      <c r="AN4">
        <v>1001717</v>
      </c>
      <c r="AO4">
        <v>1001720</v>
      </c>
      <c r="AP4">
        <v>1001734</v>
      </c>
      <c r="AQ4">
        <v>1001742</v>
      </c>
      <c r="AR4">
        <v>1001765</v>
      </c>
      <c r="AS4">
        <v>1001767</v>
      </c>
      <c r="AT4">
        <v>1001772</v>
      </c>
      <c r="AU4">
        <v>1001784</v>
      </c>
      <c r="AV4">
        <v>1001792</v>
      </c>
      <c r="AW4">
        <v>1001793</v>
      </c>
      <c r="AX4">
        <v>1001804</v>
      </c>
      <c r="AY4">
        <v>1001808</v>
      </c>
      <c r="AZ4">
        <v>1001818</v>
      </c>
      <c r="BA4">
        <v>1001843</v>
      </c>
      <c r="BB4">
        <v>1001844</v>
      </c>
      <c r="BC4">
        <v>1001848</v>
      </c>
      <c r="BD4">
        <v>1001849</v>
      </c>
      <c r="BE4">
        <v>1001852</v>
      </c>
      <c r="BF4">
        <v>1001858</v>
      </c>
      <c r="BG4">
        <v>1001859</v>
      </c>
      <c r="BH4">
        <v>1001871</v>
      </c>
      <c r="BI4">
        <v>1001883</v>
      </c>
      <c r="BJ4">
        <v>1001884</v>
      </c>
      <c r="BK4">
        <v>1001896</v>
      </c>
      <c r="BL4">
        <v>1001900</v>
      </c>
      <c r="BM4">
        <v>1001914</v>
      </c>
      <c r="BN4">
        <v>1001919</v>
      </c>
      <c r="BO4">
        <v>1001949</v>
      </c>
      <c r="BP4">
        <v>1001981</v>
      </c>
      <c r="BQ4">
        <v>1001983</v>
      </c>
      <c r="BR4">
        <v>1001999</v>
      </c>
      <c r="BS4">
        <v>1002001</v>
      </c>
      <c r="BT4">
        <v>1002005</v>
      </c>
      <c r="BU4">
        <v>1002010</v>
      </c>
      <c r="BV4">
        <v>1002048</v>
      </c>
      <c r="BW4">
        <v>1002058</v>
      </c>
      <c r="BX4">
        <v>1002063</v>
      </c>
      <c r="BY4">
        <v>1002093</v>
      </c>
      <c r="BZ4">
        <v>1002094</v>
      </c>
      <c r="CA4">
        <v>1002103</v>
      </c>
      <c r="CB4">
        <v>1002105</v>
      </c>
      <c r="CC4">
        <v>1002109</v>
      </c>
      <c r="CD4">
        <v>1002125</v>
      </c>
      <c r="CE4">
        <v>1002129</v>
      </c>
      <c r="CF4">
        <v>1002134</v>
      </c>
      <c r="CG4">
        <v>1002136</v>
      </c>
      <c r="CH4">
        <v>1002146</v>
      </c>
      <c r="CI4">
        <v>1002148</v>
      </c>
      <c r="CJ4">
        <v>1002150</v>
      </c>
      <c r="CK4">
        <v>1002154</v>
      </c>
      <c r="CL4">
        <v>1002159</v>
      </c>
      <c r="CM4">
        <v>1002161</v>
      </c>
      <c r="CN4">
        <v>1002162</v>
      </c>
      <c r="CO4">
        <v>1002170</v>
      </c>
      <c r="CP4">
        <v>1002189</v>
      </c>
      <c r="CQ4">
        <v>1002196</v>
      </c>
      <c r="CR4">
        <v>1002201</v>
      </c>
      <c r="CS4">
        <v>1002208</v>
      </c>
      <c r="CT4">
        <v>1002209</v>
      </c>
      <c r="CU4">
        <v>1002232</v>
      </c>
      <c r="CV4">
        <v>1002239</v>
      </c>
      <c r="CW4">
        <v>1002241</v>
      </c>
      <c r="CX4">
        <v>1002246</v>
      </c>
      <c r="CY4">
        <v>1002262</v>
      </c>
      <c r="CZ4">
        <v>1002283</v>
      </c>
      <c r="DA4">
        <v>1002309</v>
      </c>
      <c r="DB4">
        <v>1002321</v>
      </c>
      <c r="DC4">
        <v>1002348</v>
      </c>
      <c r="DD4">
        <v>1002356</v>
      </c>
      <c r="DE4">
        <v>1002372</v>
      </c>
      <c r="DF4">
        <v>1002385</v>
      </c>
      <c r="DG4">
        <v>1002399</v>
      </c>
      <c r="DH4">
        <v>1002400</v>
      </c>
      <c r="DI4">
        <v>1002421</v>
      </c>
      <c r="DJ4">
        <v>1002422</v>
      </c>
      <c r="DK4">
        <v>1002425</v>
      </c>
      <c r="DL4">
        <v>1002433</v>
      </c>
      <c r="DM4">
        <v>1002441</v>
      </c>
      <c r="DN4">
        <v>1002459</v>
      </c>
      <c r="DO4">
        <v>1002502</v>
      </c>
      <c r="DP4">
        <v>1002514</v>
      </c>
      <c r="DQ4">
        <v>1002521</v>
      </c>
      <c r="DR4">
        <v>1002542</v>
      </c>
      <c r="DS4">
        <v>1002549</v>
      </c>
      <c r="DT4">
        <v>1002551</v>
      </c>
      <c r="DU4">
        <v>1002559</v>
      </c>
      <c r="DV4">
        <v>1002562</v>
      </c>
      <c r="DW4">
        <v>1002575</v>
      </c>
      <c r="DX4">
        <v>1002581</v>
      </c>
      <c r="DY4">
        <v>1002583</v>
      </c>
      <c r="DZ4">
        <v>1002617</v>
      </c>
      <c r="EA4">
        <v>1002644</v>
      </c>
      <c r="EB4">
        <v>1002656</v>
      </c>
      <c r="EC4" t="s">
        <v>426</v>
      </c>
    </row>
    <row r="5" spans="1:133" x14ac:dyDescent="0.35">
      <c r="A5" t="s">
        <v>121</v>
      </c>
      <c r="P5">
        <v>100</v>
      </c>
      <c r="EC5">
        <v>100</v>
      </c>
    </row>
    <row r="6" spans="1:133" x14ac:dyDescent="0.35">
      <c r="A6" t="s">
        <v>246</v>
      </c>
      <c r="AV6">
        <v>100</v>
      </c>
      <c r="EC6">
        <v>100</v>
      </c>
    </row>
    <row r="7" spans="1:133" x14ac:dyDescent="0.35">
      <c r="A7" t="s">
        <v>240</v>
      </c>
      <c r="AV7">
        <v>50</v>
      </c>
      <c r="EC7">
        <v>50</v>
      </c>
    </row>
    <row r="8" spans="1:133" x14ac:dyDescent="0.35">
      <c r="A8" t="s">
        <v>286</v>
      </c>
      <c r="BO8">
        <v>18</v>
      </c>
      <c r="EC8">
        <v>18</v>
      </c>
    </row>
    <row r="9" spans="1:133" x14ac:dyDescent="0.35">
      <c r="A9" t="s">
        <v>244</v>
      </c>
      <c r="AV9">
        <v>16</v>
      </c>
      <c r="EC9">
        <v>16</v>
      </c>
    </row>
    <row r="10" spans="1:133" x14ac:dyDescent="0.35">
      <c r="A10" t="s">
        <v>415</v>
      </c>
      <c r="DT10">
        <v>12</v>
      </c>
      <c r="EC10">
        <v>12</v>
      </c>
    </row>
    <row r="11" spans="1:133" x14ac:dyDescent="0.35">
      <c r="A11" t="s">
        <v>391</v>
      </c>
      <c r="DH11">
        <v>12</v>
      </c>
      <c r="EC11">
        <v>12</v>
      </c>
    </row>
    <row r="12" spans="1:133" x14ac:dyDescent="0.35">
      <c r="A12" t="s">
        <v>314</v>
      </c>
      <c r="BR12">
        <v>12</v>
      </c>
      <c r="EC12">
        <v>12</v>
      </c>
    </row>
    <row r="13" spans="1:133" x14ac:dyDescent="0.35">
      <c r="A13" t="s">
        <v>301</v>
      </c>
      <c r="BO13">
        <v>12</v>
      </c>
      <c r="EC13">
        <v>12</v>
      </c>
    </row>
    <row r="14" spans="1:133" x14ac:dyDescent="0.35">
      <c r="A14" t="s">
        <v>312</v>
      </c>
      <c r="BR14">
        <v>12</v>
      </c>
      <c r="EC14">
        <v>12</v>
      </c>
    </row>
    <row r="15" spans="1:133" x14ac:dyDescent="0.35">
      <c r="A15" t="s">
        <v>315</v>
      </c>
      <c r="BR15">
        <v>12</v>
      </c>
      <c r="EC15">
        <v>12</v>
      </c>
    </row>
    <row r="16" spans="1:133" x14ac:dyDescent="0.35">
      <c r="A16" t="s">
        <v>66</v>
      </c>
      <c r="F16">
        <v>6</v>
      </c>
      <c r="BR16">
        <v>24</v>
      </c>
      <c r="DG16">
        <v>6</v>
      </c>
      <c r="DL16">
        <v>6</v>
      </c>
      <c r="EC16">
        <v>10.5</v>
      </c>
    </row>
    <row r="17" spans="1:133" x14ac:dyDescent="0.35">
      <c r="A17" t="s">
        <v>75</v>
      </c>
      <c r="F17">
        <v>6</v>
      </c>
      <c r="M17">
        <v>12</v>
      </c>
      <c r="EC17">
        <v>9</v>
      </c>
    </row>
    <row r="18" spans="1:133" x14ac:dyDescent="0.35">
      <c r="A18" t="s">
        <v>317</v>
      </c>
      <c r="BR18">
        <v>12</v>
      </c>
      <c r="CZ18">
        <v>6</v>
      </c>
      <c r="EC18">
        <v>9</v>
      </c>
    </row>
    <row r="19" spans="1:133" x14ac:dyDescent="0.35">
      <c r="A19" t="s">
        <v>300</v>
      </c>
      <c r="BO19">
        <v>6</v>
      </c>
      <c r="DT19">
        <v>12</v>
      </c>
      <c r="EC19">
        <v>9</v>
      </c>
    </row>
    <row r="20" spans="1:133" x14ac:dyDescent="0.35">
      <c r="A20" t="s">
        <v>279</v>
      </c>
      <c r="BJ20">
        <v>6</v>
      </c>
      <c r="BR20">
        <v>12</v>
      </c>
      <c r="DG20">
        <v>6</v>
      </c>
      <c r="EC20">
        <v>8</v>
      </c>
    </row>
    <row r="21" spans="1:133" x14ac:dyDescent="0.35">
      <c r="A21" t="s">
        <v>145</v>
      </c>
      <c r="U21">
        <v>6</v>
      </c>
      <c r="BC21">
        <v>12</v>
      </c>
      <c r="BQ21">
        <v>6</v>
      </c>
      <c r="CG21">
        <v>6</v>
      </c>
      <c r="EC21">
        <v>7.5</v>
      </c>
    </row>
    <row r="22" spans="1:133" x14ac:dyDescent="0.35">
      <c r="A22" t="s">
        <v>257</v>
      </c>
      <c r="BC22">
        <v>12</v>
      </c>
      <c r="BQ22">
        <v>6</v>
      </c>
      <c r="CG22">
        <v>6</v>
      </c>
      <c r="DX22">
        <v>6</v>
      </c>
      <c r="EC22">
        <v>7.5</v>
      </c>
    </row>
    <row r="23" spans="1:133" x14ac:dyDescent="0.35">
      <c r="A23" t="s">
        <v>193</v>
      </c>
      <c r="AM23">
        <v>1</v>
      </c>
      <c r="BB23">
        <v>3</v>
      </c>
      <c r="BP23">
        <v>6</v>
      </c>
      <c r="BV23">
        <v>26</v>
      </c>
      <c r="DB23">
        <v>1</v>
      </c>
      <c r="EC23">
        <v>7.4</v>
      </c>
    </row>
    <row r="24" spans="1:133" x14ac:dyDescent="0.35">
      <c r="A24" t="s">
        <v>138</v>
      </c>
      <c r="S24">
        <v>1</v>
      </c>
      <c r="AG24">
        <v>6</v>
      </c>
      <c r="BD24">
        <v>1</v>
      </c>
      <c r="BE24">
        <v>6</v>
      </c>
      <c r="BP24">
        <v>6</v>
      </c>
      <c r="CB24">
        <v>19</v>
      </c>
      <c r="CG24">
        <v>2</v>
      </c>
      <c r="DB24">
        <v>3</v>
      </c>
      <c r="DC24">
        <v>3</v>
      </c>
      <c r="EC24">
        <v>7</v>
      </c>
    </row>
    <row r="25" spans="1:133" x14ac:dyDescent="0.35">
      <c r="A25" t="s">
        <v>13</v>
      </c>
      <c r="B25">
        <v>3</v>
      </c>
      <c r="E25">
        <v>6</v>
      </c>
      <c r="K25">
        <v>6</v>
      </c>
      <c r="L25">
        <v>7</v>
      </c>
      <c r="Q25">
        <v>12</v>
      </c>
      <c r="X25">
        <v>12</v>
      </c>
      <c r="Y25">
        <v>6</v>
      </c>
      <c r="AD25">
        <v>6</v>
      </c>
      <c r="AH25">
        <v>6</v>
      </c>
      <c r="AI25">
        <v>0</v>
      </c>
      <c r="AT25">
        <v>6</v>
      </c>
      <c r="AX25">
        <v>6</v>
      </c>
      <c r="BJ25">
        <v>6</v>
      </c>
      <c r="BO25">
        <v>24</v>
      </c>
      <c r="BP25">
        <v>12</v>
      </c>
      <c r="BQ25">
        <v>6</v>
      </c>
      <c r="BX25">
        <v>2</v>
      </c>
      <c r="CR25">
        <v>12</v>
      </c>
      <c r="CX25">
        <v>12</v>
      </c>
      <c r="DC25">
        <v>6</v>
      </c>
      <c r="DN25">
        <v>6</v>
      </c>
      <c r="DS25">
        <v>4.5</v>
      </c>
      <c r="DU25">
        <v>2</v>
      </c>
      <c r="EB25">
        <v>6</v>
      </c>
      <c r="EC25">
        <v>6.884615384615385</v>
      </c>
    </row>
    <row r="26" spans="1:133" x14ac:dyDescent="0.35">
      <c r="A26" t="s">
        <v>93</v>
      </c>
      <c r="I26">
        <v>2</v>
      </c>
      <c r="AQ26">
        <v>2</v>
      </c>
      <c r="AU26">
        <v>2</v>
      </c>
      <c r="AV26">
        <v>40</v>
      </c>
      <c r="DI26">
        <v>3</v>
      </c>
      <c r="EC26">
        <v>6.4444444444444446</v>
      </c>
    </row>
    <row r="27" spans="1:133" x14ac:dyDescent="0.35">
      <c r="A27" t="s">
        <v>9</v>
      </c>
      <c r="B27">
        <v>12</v>
      </c>
      <c r="E27">
        <v>2</v>
      </c>
      <c r="G27">
        <v>6</v>
      </c>
      <c r="K27">
        <v>6</v>
      </c>
      <c r="X27">
        <v>12</v>
      </c>
      <c r="Y27">
        <v>6</v>
      </c>
      <c r="AD27">
        <v>2</v>
      </c>
      <c r="AH27">
        <v>6</v>
      </c>
      <c r="AI27">
        <v>0</v>
      </c>
      <c r="AL27">
        <v>12</v>
      </c>
      <c r="AT27">
        <v>6</v>
      </c>
      <c r="AX27">
        <v>6</v>
      </c>
      <c r="BA27">
        <v>12</v>
      </c>
      <c r="BJ27">
        <v>6</v>
      </c>
      <c r="BK27">
        <v>3</v>
      </c>
      <c r="BL27">
        <v>1</v>
      </c>
      <c r="CR27">
        <v>6</v>
      </c>
      <c r="CX27">
        <v>12</v>
      </c>
      <c r="DC27">
        <v>6</v>
      </c>
      <c r="DH27">
        <v>24</v>
      </c>
      <c r="DN27">
        <v>12</v>
      </c>
      <c r="DS27">
        <v>6</v>
      </c>
      <c r="DU27">
        <v>2</v>
      </c>
      <c r="EB27">
        <v>6</v>
      </c>
      <c r="EC27">
        <v>6.2</v>
      </c>
    </row>
    <row r="28" spans="1:133" x14ac:dyDescent="0.35">
      <c r="A28" t="s">
        <v>238</v>
      </c>
      <c r="AT28">
        <v>6</v>
      </c>
      <c r="BA28">
        <v>6</v>
      </c>
      <c r="CX28">
        <v>6</v>
      </c>
      <c r="EC28">
        <v>6</v>
      </c>
    </row>
    <row r="29" spans="1:133" x14ac:dyDescent="0.35">
      <c r="A29" t="s">
        <v>168</v>
      </c>
      <c r="AC29">
        <v>6</v>
      </c>
      <c r="BP29">
        <v>6</v>
      </c>
      <c r="EC29">
        <v>6</v>
      </c>
    </row>
    <row r="30" spans="1:133" x14ac:dyDescent="0.35">
      <c r="A30" t="s">
        <v>284</v>
      </c>
      <c r="BO30">
        <v>6</v>
      </c>
      <c r="EC30">
        <v>6</v>
      </c>
    </row>
    <row r="31" spans="1:133" x14ac:dyDescent="0.35">
      <c r="A31" t="s">
        <v>231</v>
      </c>
      <c r="AS31">
        <v>6</v>
      </c>
      <c r="EC31">
        <v>6</v>
      </c>
    </row>
    <row r="32" spans="1:133" x14ac:dyDescent="0.35">
      <c r="A32" t="s">
        <v>377</v>
      </c>
      <c r="DG32">
        <v>6</v>
      </c>
      <c r="DL32">
        <v>6</v>
      </c>
      <c r="EC32">
        <v>6</v>
      </c>
    </row>
    <row r="33" spans="1:133" x14ac:dyDescent="0.35">
      <c r="A33" t="s">
        <v>408</v>
      </c>
      <c r="DT33">
        <v>6</v>
      </c>
      <c r="EC33">
        <v>6</v>
      </c>
    </row>
    <row r="34" spans="1:133" x14ac:dyDescent="0.35">
      <c r="A34" t="s">
        <v>418</v>
      </c>
      <c r="DV34">
        <v>6</v>
      </c>
      <c r="EC34">
        <v>6</v>
      </c>
    </row>
    <row r="35" spans="1:133" x14ac:dyDescent="0.35">
      <c r="A35" t="s">
        <v>414</v>
      </c>
      <c r="DT35">
        <v>6</v>
      </c>
      <c r="EC35">
        <v>6</v>
      </c>
    </row>
    <row r="36" spans="1:133" x14ac:dyDescent="0.35">
      <c r="A36" t="s">
        <v>164</v>
      </c>
      <c r="Z36">
        <v>6</v>
      </c>
      <c r="EC36">
        <v>6</v>
      </c>
    </row>
    <row r="37" spans="1:133" x14ac:dyDescent="0.35">
      <c r="A37" t="s">
        <v>417</v>
      </c>
      <c r="DT37">
        <v>6</v>
      </c>
      <c r="EC37">
        <v>6</v>
      </c>
    </row>
    <row r="38" spans="1:133" x14ac:dyDescent="0.35">
      <c r="A38" t="s">
        <v>294</v>
      </c>
      <c r="BO38">
        <v>6</v>
      </c>
      <c r="EC38">
        <v>6</v>
      </c>
    </row>
    <row r="39" spans="1:133" x14ac:dyDescent="0.35">
      <c r="A39" t="s">
        <v>388</v>
      </c>
      <c r="DG39">
        <v>6</v>
      </c>
      <c r="EC39">
        <v>6</v>
      </c>
    </row>
    <row r="40" spans="1:133" x14ac:dyDescent="0.35">
      <c r="A40" t="s">
        <v>290</v>
      </c>
      <c r="BO40">
        <v>6</v>
      </c>
      <c r="EC40">
        <v>6</v>
      </c>
    </row>
    <row r="41" spans="1:133" x14ac:dyDescent="0.35">
      <c r="A41" t="s">
        <v>309</v>
      </c>
      <c r="BP41">
        <v>6</v>
      </c>
      <c r="EC41">
        <v>6</v>
      </c>
    </row>
    <row r="42" spans="1:133" x14ac:dyDescent="0.35">
      <c r="A42" t="s">
        <v>259</v>
      </c>
      <c r="BC42">
        <v>6</v>
      </c>
      <c r="EC42">
        <v>6</v>
      </c>
    </row>
    <row r="43" spans="1:133" x14ac:dyDescent="0.35">
      <c r="A43" t="s">
        <v>306</v>
      </c>
      <c r="BP43">
        <v>6</v>
      </c>
      <c r="EC43">
        <v>6</v>
      </c>
    </row>
    <row r="44" spans="1:133" x14ac:dyDescent="0.35">
      <c r="A44" t="s">
        <v>189</v>
      </c>
      <c r="AK44">
        <v>6</v>
      </c>
      <c r="BQ44">
        <v>6</v>
      </c>
      <c r="BY44">
        <v>6</v>
      </c>
      <c r="DN44">
        <v>6</v>
      </c>
      <c r="EC44">
        <v>6</v>
      </c>
    </row>
    <row r="45" spans="1:133" x14ac:dyDescent="0.35">
      <c r="A45" t="s">
        <v>152</v>
      </c>
      <c r="X45">
        <v>6</v>
      </c>
      <c r="EC45">
        <v>6</v>
      </c>
    </row>
    <row r="46" spans="1:133" x14ac:dyDescent="0.35">
      <c r="A46" t="s">
        <v>278</v>
      </c>
      <c r="BJ46">
        <v>6</v>
      </c>
      <c r="CZ46">
        <v>6</v>
      </c>
      <c r="DG46">
        <v>6</v>
      </c>
      <c r="EC46">
        <v>6</v>
      </c>
    </row>
    <row r="47" spans="1:133" x14ac:dyDescent="0.35">
      <c r="A47" t="s">
        <v>304</v>
      </c>
      <c r="BP47">
        <v>6</v>
      </c>
      <c r="EC47">
        <v>6</v>
      </c>
    </row>
    <row r="48" spans="1:133" x14ac:dyDescent="0.35">
      <c r="A48" t="s">
        <v>150</v>
      </c>
      <c r="X48">
        <v>6</v>
      </c>
      <c r="AL48">
        <v>6</v>
      </c>
      <c r="BP48">
        <v>6</v>
      </c>
      <c r="BQ48">
        <v>6</v>
      </c>
      <c r="DH48">
        <v>6</v>
      </c>
      <c r="EC48">
        <v>6</v>
      </c>
    </row>
    <row r="49" spans="1:133" x14ac:dyDescent="0.35">
      <c r="A49" t="s">
        <v>296</v>
      </c>
      <c r="BO49">
        <v>6</v>
      </c>
      <c r="EC49">
        <v>6</v>
      </c>
    </row>
    <row r="50" spans="1:133" x14ac:dyDescent="0.35">
      <c r="A50" t="s">
        <v>288</v>
      </c>
      <c r="BO50">
        <v>6</v>
      </c>
      <c r="EC50">
        <v>6</v>
      </c>
    </row>
    <row r="51" spans="1:133" x14ac:dyDescent="0.35">
      <c r="A51" t="s">
        <v>340</v>
      </c>
      <c r="CK51">
        <v>6</v>
      </c>
      <c r="EC51">
        <v>6</v>
      </c>
    </row>
    <row r="52" spans="1:133" x14ac:dyDescent="0.35">
      <c r="A52" t="s">
        <v>344</v>
      </c>
      <c r="CK52">
        <v>6</v>
      </c>
      <c r="EC52">
        <v>6</v>
      </c>
    </row>
    <row r="53" spans="1:133" x14ac:dyDescent="0.35">
      <c r="A53" t="s">
        <v>310</v>
      </c>
      <c r="BQ53">
        <v>6</v>
      </c>
      <c r="DC53">
        <v>6</v>
      </c>
      <c r="EB53">
        <v>6</v>
      </c>
      <c r="EC53">
        <v>6</v>
      </c>
    </row>
    <row r="54" spans="1:133" x14ac:dyDescent="0.35">
      <c r="A54" t="s">
        <v>258</v>
      </c>
      <c r="BC54">
        <v>6</v>
      </c>
      <c r="EC54">
        <v>6</v>
      </c>
    </row>
    <row r="55" spans="1:133" x14ac:dyDescent="0.35">
      <c r="A55" t="s">
        <v>394</v>
      </c>
      <c r="DN55">
        <v>6</v>
      </c>
      <c r="EC55">
        <v>6</v>
      </c>
    </row>
    <row r="56" spans="1:133" x14ac:dyDescent="0.35">
      <c r="A56" t="s">
        <v>383</v>
      </c>
      <c r="DG56">
        <v>6</v>
      </c>
      <c r="EC56">
        <v>6</v>
      </c>
    </row>
    <row r="57" spans="1:133" x14ac:dyDescent="0.35">
      <c r="A57" t="s">
        <v>331</v>
      </c>
      <c r="CE57">
        <v>6</v>
      </c>
      <c r="EC57">
        <v>6</v>
      </c>
    </row>
    <row r="58" spans="1:133" x14ac:dyDescent="0.35">
      <c r="A58" t="s">
        <v>308</v>
      </c>
      <c r="BP58">
        <v>6</v>
      </c>
      <c r="EC58">
        <v>6</v>
      </c>
    </row>
    <row r="59" spans="1:133" x14ac:dyDescent="0.35">
      <c r="A59" t="s">
        <v>333</v>
      </c>
      <c r="CE59">
        <v>6</v>
      </c>
      <c r="DM59">
        <v>6</v>
      </c>
      <c r="EC59">
        <v>6</v>
      </c>
    </row>
    <row r="60" spans="1:133" x14ac:dyDescent="0.35">
      <c r="A60" t="s">
        <v>385</v>
      </c>
      <c r="DG60">
        <v>6</v>
      </c>
      <c r="EC60">
        <v>6</v>
      </c>
    </row>
    <row r="61" spans="1:133" x14ac:dyDescent="0.35">
      <c r="A61" t="s">
        <v>235</v>
      </c>
      <c r="AS61">
        <v>6</v>
      </c>
      <c r="DT61">
        <v>6</v>
      </c>
      <c r="EC61">
        <v>6</v>
      </c>
    </row>
    <row r="62" spans="1:133" x14ac:dyDescent="0.35">
      <c r="A62" t="s">
        <v>223</v>
      </c>
      <c r="AS62">
        <v>6</v>
      </c>
      <c r="DT62">
        <v>6</v>
      </c>
      <c r="EC62">
        <v>6</v>
      </c>
    </row>
    <row r="63" spans="1:133" x14ac:dyDescent="0.35">
      <c r="A63" t="s">
        <v>380</v>
      </c>
      <c r="DG63">
        <v>6</v>
      </c>
      <c r="EC63">
        <v>6</v>
      </c>
    </row>
    <row r="64" spans="1:133" x14ac:dyDescent="0.35">
      <c r="A64" t="s">
        <v>410</v>
      </c>
      <c r="DT64">
        <v>6</v>
      </c>
      <c r="EC64">
        <v>6</v>
      </c>
    </row>
    <row r="65" spans="1:133" x14ac:dyDescent="0.35">
      <c r="A65" t="s">
        <v>11</v>
      </c>
      <c r="B65">
        <v>6</v>
      </c>
      <c r="C65">
        <v>6</v>
      </c>
      <c r="N65">
        <v>6</v>
      </c>
      <c r="Y65">
        <v>6</v>
      </c>
      <c r="BK65">
        <v>1</v>
      </c>
      <c r="BQ65">
        <v>6</v>
      </c>
      <c r="DC65">
        <v>6</v>
      </c>
      <c r="DH65">
        <v>6</v>
      </c>
      <c r="DS65">
        <v>6</v>
      </c>
      <c r="DX65">
        <v>6</v>
      </c>
      <c r="EC65">
        <v>5.5</v>
      </c>
    </row>
    <row r="66" spans="1:133" x14ac:dyDescent="0.35">
      <c r="A66" t="s">
        <v>27</v>
      </c>
      <c r="B66">
        <v>3</v>
      </c>
      <c r="C66">
        <v>6</v>
      </c>
      <c r="Y66">
        <v>6</v>
      </c>
      <c r="AM66">
        <v>6</v>
      </c>
      <c r="BQ66">
        <v>6</v>
      </c>
      <c r="DS66">
        <v>6</v>
      </c>
      <c r="EC66">
        <v>5.5</v>
      </c>
    </row>
    <row r="67" spans="1:133" x14ac:dyDescent="0.35">
      <c r="A67" t="s">
        <v>25</v>
      </c>
      <c r="B67">
        <v>3</v>
      </c>
      <c r="L67">
        <v>7</v>
      </c>
      <c r="Y67">
        <v>6</v>
      </c>
      <c r="AD67">
        <v>6</v>
      </c>
      <c r="AG67">
        <v>6</v>
      </c>
      <c r="AL67">
        <v>12</v>
      </c>
      <c r="BJ67">
        <v>0</v>
      </c>
      <c r="BO67">
        <v>12</v>
      </c>
      <c r="CX67">
        <v>6</v>
      </c>
      <c r="DU67">
        <v>2</v>
      </c>
      <c r="EC67">
        <v>5.4545454545454541</v>
      </c>
    </row>
    <row r="68" spans="1:133" x14ac:dyDescent="0.35">
      <c r="A68" t="s">
        <v>65</v>
      </c>
      <c r="F68">
        <v>6</v>
      </c>
      <c r="S68">
        <v>6</v>
      </c>
      <c r="AR68">
        <v>6</v>
      </c>
      <c r="BJ68">
        <v>6</v>
      </c>
      <c r="BR68">
        <v>12</v>
      </c>
      <c r="DG68">
        <v>6</v>
      </c>
      <c r="DW68">
        <v>2</v>
      </c>
      <c r="EC68">
        <v>5.333333333333333</v>
      </c>
    </row>
    <row r="69" spans="1:133" x14ac:dyDescent="0.35">
      <c r="A69" t="s">
        <v>7</v>
      </c>
      <c r="B69">
        <v>6</v>
      </c>
      <c r="E69">
        <v>6</v>
      </c>
      <c r="L69">
        <v>7</v>
      </c>
      <c r="Y69">
        <v>6</v>
      </c>
      <c r="AL69">
        <v>0</v>
      </c>
      <c r="AX69">
        <v>6</v>
      </c>
      <c r="BA69">
        <v>12</v>
      </c>
      <c r="BK69">
        <v>3</v>
      </c>
      <c r="BQ69">
        <v>6</v>
      </c>
      <c r="BZ69">
        <v>6</v>
      </c>
      <c r="CR69">
        <v>6</v>
      </c>
      <c r="CX69">
        <v>6</v>
      </c>
      <c r="DN69">
        <v>6</v>
      </c>
      <c r="DS69">
        <v>6</v>
      </c>
      <c r="DU69">
        <v>2</v>
      </c>
      <c r="EB69">
        <v>6</v>
      </c>
      <c r="EC69">
        <v>5.333333333333333</v>
      </c>
    </row>
    <row r="70" spans="1:133" x14ac:dyDescent="0.35">
      <c r="A70" t="s">
        <v>390</v>
      </c>
      <c r="DG70">
        <v>12</v>
      </c>
      <c r="DS70">
        <v>2</v>
      </c>
      <c r="EC70">
        <v>5.333333333333333</v>
      </c>
    </row>
    <row r="71" spans="1:133" x14ac:dyDescent="0.35">
      <c r="A71" t="s">
        <v>57</v>
      </c>
      <c r="E71">
        <v>6</v>
      </c>
      <c r="Q71">
        <v>6</v>
      </c>
      <c r="X71">
        <v>6</v>
      </c>
      <c r="Z71">
        <v>0</v>
      </c>
      <c r="BO71">
        <v>12</v>
      </c>
      <c r="BQ71">
        <v>6</v>
      </c>
      <c r="DS71">
        <v>6</v>
      </c>
      <c r="EC71">
        <v>5.25</v>
      </c>
    </row>
    <row r="72" spans="1:133" x14ac:dyDescent="0.35">
      <c r="A72" t="s">
        <v>79</v>
      </c>
      <c r="F72">
        <v>12</v>
      </c>
      <c r="N72">
        <v>6</v>
      </c>
      <c r="S72">
        <v>6</v>
      </c>
      <c r="U72">
        <v>6</v>
      </c>
      <c r="V72">
        <v>2</v>
      </c>
      <c r="AI72">
        <v>6</v>
      </c>
      <c r="AR72">
        <v>6</v>
      </c>
      <c r="BJ72">
        <v>6</v>
      </c>
      <c r="BP72">
        <v>12</v>
      </c>
      <c r="BX72">
        <v>6</v>
      </c>
      <c r="BY72">
        <v>6</v>
      </c>
      <c r="BZ72">
        <v>6</v>
      </c>
      <c r="CH72">
        <v>6</v>
      </c>
      <c r="CJ72">
        <v>4</v>
      </c>
      <c r="CZ72">
        <v>12</v>
      </c>
      <c r="DA72">
        <v>2</v>
      </c>
      <c r="DG72">
        <v>12</v>
      </c>
      <c r="DK72">
        <v>6</v>
      </c>
      <c r="DL72">
        <v>6</v>
      </c>
      <c r="DS72">
        <v>2</v>
      </c>
      <c r="DU72">
        <v>1</v>
      </c>
      <c r="DW72">
        <v>2</v>
      </c>
      <c r="EB72">
        <v>12</v>
      </c>
      <c r="EC72">
        <v>5.21875</v>
      </c>
    </row>
    <row r="73" spans="1:133" x14ac:dyDescent="0.35">
      <c r="A73" t="s">
        <v>133</v>
      </c>
      <c r="S73">
        <v>6</v>
      </c>
      <c r="U73">
        <v>12</v>
      </c>
      <c r="V73">
        <v>6</v>
      </c>
      <c r="AI73">
        <v>2</v>
      </c>
      <c r="AR73">
        <v>6</v>
      </c>
      <c r="AX73">
        <v>6</v>
      </c>
      <c r="BC73">
        <v>6</v>
      </c>
      <c r="BJ73">
        <v>9</v>
      </c>
      <c r="BR73">
        <v>6</v>
      </c>
      <c r="BY73">
        <v>6</v>
      </c>
      <c r="BZ73">
        <v>6</v>
      </c>
      <c r="CH73">
        <v>6</v>
      </c>
      <c r="CJ73">
        <v>4</v>
      </c>
      <c r="CZ73">
        <v>12</v>
      </c>
      <c r="DA73">
        <v>2</v>
      </c>
      <c r="DG73">
        <v>6</v>
      </c>
      <c r="DK73">
        <v>6</v>
      </c>
      <c r="DS73">
        <v>2</v>
      </c>
      <c r="DU73">
        <v>1</v>
      </c>
      <c r="DV73">
        <v>12</v>
      </c>
      <c r="DW73">
        <v>2</v>
      </c>
      <c r="EB73">
        <v>12</v>
      </c>
      <c r="EC73">
        <v>5.21875</v>
      </c>
    </row>
    <row r="74" spans="1:133" x14ac:dyDescent="0.35">
      <c r="A74" t="s">
        <v>136</v>
      </c>
      <c r="S74">
        <v>1</v>
      </c>
      <c r="BB74">
        <v>3</v>
      </c>
      <c r="BV74">
        <v>10</v>
      </c>
      <c r="DE74">
        <v>6</v>
      </c>
      <c r="EC74">
        <v>5.2</v>
      </c>
    </row>
    <row r="75" spans="1:133" x14ac:dyDescent="0.35">
      <c r="A75" t="s">
        <v>103</v>
      </c>
      <c r="M75">
        <v>6</v>
      </c>
      <c r="P75">
        <v>12</v>
      </c>
      <c r="S75">
        <v>4</v>
      </c>
      <c r="Z75">
        <v>0</v>
      </c>
      <c r="AO75">
        <v>3</v>
      </c>
      <c r="AQ75">
        <v>3</v>
      </c>
      <c r="AR75">
        <v>1</v>
      </c>
      <c r="AS75">
        <v>12</v>
      </c>
      <c r="AW75">
        <v>2</v>
      </c>
      <c r="BG75">
        <v>18</v>
      </c>
      <c r="BH75">
        <v>6</v>
      </c>
      <c r="BJ75">
        <v>6</v>
      </c>
      <c r="BL75">
        <v>6</v>
      </c>
      <c r="BP75">
        <v>6</v>
      </c>
      <c r="CH75">
        <v>4</v>
      </c>
      <c r="CK75">
        <v>3</v>
      </c>
      <c r="DO75">
        <v>12</v>
      </c>
      <c r="DV75">
        <v>6</v>
      </c>
      <c r="EC75">
        <v>5.16</v>
      </c>
    </row>
    <row r="76" spans="1:133" x14ac:dyDescent="0.35">
      <c r="A76" t="s">
        <v>126</v>
      </c>
      <c r="Q76">
        <v>6</v>
      </c>
      <c r="AA76">
        <v>12</v>
      </c>
      <c r="BQ76">
        <v>6</v>
      </c>
      <c r="BZ76">
        <v>6</v>
      </c>
      <c r="DA76">
        <v>2</v>
      </c>
      <c r="EC76">
        <v>5.1428571428571432</v>
      </c>
    </row>
    <row r="77" spans="1:133" x14ac:dyDescent="0.35">
      <c r="A77" t="s">
        <v>15</v>
      </c>
      <c r="B77">
        <v>6</v>
      </c>
      <c r="E77">
        <v>6</v>
      </c>
      <c r="L77">
        <v>7</v>
      </c>
      <c r="AD77">
        <v>6</v>
      </c>
      <c r="BX77">
        <v>2</v>
      </c>
      <c r="DS77">
        <v>6</v>
      </c>
      <c r="DU77">
        <v>2</v>
      </c>
      <c r="EB77">
        <v>6</v>
      </c>
      <c r="EC77">
        <v>5.125</v>
      </c>
    </row>
    <row r="78" spans="1:133" x14ac:dyDescent="0.35">
      <c r="A78" t="s">
        <v>147</v>
      </c>
      <c r="U78">
        <v>6</v>
      </c>
      <c r="AG78">
        <v>2</v>
      </c>
      <c r="AN78">
        <v>12</v>
      </c>
      <c r="AW78">
        <v>1</v>
      </c>
      <c r="BP78">
        <v>6</v>
      </c>
      <c r="BV78">
        <v>9</v>
      </c>
      <c r="CE78">
        <v>6</v>
      </c>
      <c r="CG78">
        <v>3</v>
      </c>
      <c r="CK78">
        <v>6</v>
      </c>
      <c r="DM78">
        <v>3</v>
      </c>
      <c r="DR78">
        <v>6</v>
      </c>
      <c r="EC78">
        <v>5.0714285714285712</v>
      </c>
    </row>
    <row r="79" spans="1:133" x14ac:dyDescent="0.35">
      <c r="A79" t="s">
        <v>54</v>
      </c>
      <c r="D79">
        <v>1</v>
      </c>
      <c r="AB79">
        <v>3</v>
      </c>
      <c r="AJ79">
        <v>3</v>
      </c>
      <c r="BC79">
        <v>4</v>
      </c>
      <c r="BM79">
        <v>13</v>
      </c>
      <c r="BR79">
        <v>6</v>
      </c>
      <c r="EC79">
        <v>5</v>
      </c>
    </row>
    <row r="80" spans="1:133" x14ac:dyDescent="0.35">
      <c r="A80" t="s">
        <v>97</v>
      </c>
      <c r="J80">
        <v>4</v>
      </c>
      <c r="BN80">
        <v>6</v>
      </c>
      <c r="EC80">
        <v>5</v>
      </c>
    </row>
    <row r="81" spans="1:133" x14ac:dyDescent="0.35">
      <c r="A81" t="s">
        <v>21</v>
      </c>
      <c r="B81">
        <v>3</v>
      </c>
      <c r="L81">
        <v>6</v>
      </c>
      <c r="Q81">
        <v>6</v>
      </c>
      <c r="X81">
        <v>6</v>
      </c>
      <c r="Y81">
        <v>6</v>
      </c>
      <c r="AL81">
        <v>6</v>
      </c>
      <c r="BK81">
        <v>2</v>
      </c>
      <c r="DC81">
        <v>6</v>
      </c>
      <c r="DS81">
        <v>3.5</v>
      </c>
      <c r="EB81">
        <v>6</v>
      </c>
      <c r="EC81">
        <v>4.9090909090909092</v>
      </c>
    </row>
    <row r="82" spans="1:133" x14ac:dyDescent="0.35">
      <c r="A82" t="s">
        <v>68</v>
      </c>
      <c r="F82">
        <v>6</v>
      </c>
      <c r="BP82">
        <v>6</v>
      </c>
      <c r="CJ82">
        <v>6</v>
      </c>
      <c r="CR82">
        <v>3</v>
      </c>
      <c r="CS82">
        <v>3</v>
      </c>
      <c r="CZ82">
        <v>6</v>
      </c>
      <c r="DD82">
        <v>3</v>
      </c>
      <c r="EC82">
        <v>4.875</v>
      </c>
    </row>
    <row r="83" spans="1:133" x14ac:dyDescent="0.35">
      <c r="A83" t="s">
        <v>87</v>
      </c>
      <c r="F83">
        <v>6</v>
      </c>
      <c r="BP83">
        <v>6</v>
      </c>
      <c r="CZ83">
        <v>3</v>
      </c>
      <c r="DC83">
        <v>3</v>
      </c>
      <c r="EC83">
        <v>4.8</v>
      </c>
    </row>
    <row r="84" spans="1:133" x14ac:dyDescent="0.35">
      <c r="A84" t="s">
        <v>91</v>
      </c>
      <c r="H84">
        <v>12</v>
      </c>
      <c r="L84">
        <v>1</v>
      </c>
      <c r="O84">
        <v>1</v>
      </c>
      <c r="T84">
        <v>2</v>
      </c>
      <c r="Z84">
        <v>0</v>
      </c>
      <c r="AH84">
        <v>4</v>
      </c>
      <c r="AI84">
        <v>0.33333333333333331</v>
      </c>
      <c r="AS84">
        <v>15</v>
      </c>
      <c r="AT84">
        <v>3</v>
      </c>
      <c r="BD84">
        <v>1</v>
      </c>
      <c r="BH84">
        <v>20</v>
      </c>
      <c r="BK84">
        <v>1</v>
      </c>
      <c r="BL84">
        <v>1</v>
      </c>
      <c r="CW84">
        <v>10</v>
      </c>
      <c r="CZ84">
        <v>10</v>
      </c>
      <c r="DS84">
        <v>20</v>
      </c>
      <c r="EC84">
        <v>4.7727272727272725</v>
      </c>
    </row>
    <row r="85" spans="1:133" x14ac:dyDescent="0.35">
      <c r="A85" t="s">
        <v>108</v>
      </c>
      <c r="N85">
        <v>6</v>
      </c>
      <c r="V85">
        <v>2</v>
      </c>
      <c r="BC85">
        <v>6</v>
      </c>
      <c r="BJ85">
        <v>6</v>
      </c>
      <c r="BQ85">
        <v>6</v>
      </c>
      <c r="CZ85">
        <v>6</v>
      </c>
      <c r="DG85">
        <v>6</v>
      </c>
      <c r="EC85">
        <v>4.666666666666667</v>
      </c>
    </row>
    <row r="86" spans="1:133" x14ac:dyDescent="0.35">
      <c r="A86" t="s">
        <v>29</v>
      </c>
      <c r="B86">
        <v>3</v>
      </c>
      <c r="C86">
        <v>6</v>
      </c>
      <c r="L86">
        <v>6</v>
      </c>
      <c r="CV86">
        <v>6</v>
      </c>
      <c r="DS86">
        <v>2</v>
      </c>
      <c r="EC86">
        <v>4.5999999999999996</v>
      </c>
    </row>
    <row r="87" spans="1:133" x14ac:dyDescent="0.35">
      <c r="A87" t="s">
        <v>144</v>
      </c>
      <c r="T87">
        <v>3</v>
      </c>
      <c r="BC87">
        <v>6</v>
      </c>
      <c r="DG87">
        <v>6</v>
      </c>
      <c r="DL87">
        <v>3</v>
      </c>
      <c r="EC87">
        <v>4.5</v>
      </c>
    </row>
    <row r="88" spans="1:133" x14ac:dyDescent="0.35">
      <c r="A88" t="s">
        <v>56</v>
      </c>
      <c r="D88">
        <v>3</v>
      </c>
      <c r="Q88">
        <v>6</v>
      </c>
      <c r="EC88">
        <v>4.5</v>
      </c>
    </row>
    <row r="89" spans="1:133" x14ac:dyDescent="0.35">
      <c r="A89" t="s">
        <v>140</v>
      </c>
      <c r="T89">
        <v>6</v>
      </c>
      <c r="BJ89">
        <v>3</v>
      </c>
      <c r="EC89">
        <v>4.5</v>
      </c>
    </row>
    <row r="90" spans="1:133" x14ac:dyDescent="0.35">
      <c r="A90" t="s">
        <v>99</v>
      </c>
      <c r="K90">
        <v>6</v>
      </c>
      <c r="AI90">
        <v>3</v>
      </c>
      <c r="EC90">
        <v>4.5</v>
      </c>
    </row>
    <row r="91" spans="1:133" x14ac:dyDescent="0.35">
      <c r="A91" t="s">
        <v>325</v>
      </c>
      <c r="BZ91">
        <v>6</v>
      </c>
      <c r="CJ91">
        <v>6</v>
      </c>
      <c r="CR91">
        <v>3</v>
      </c>
      <c r="DG91">
        <v>12</v>
      </c>
      <c r="DP91">
        <v>0</v>
      </c>
      <c r="EC91">
        <v>4.5</v>
      </c>
    </row>
    <row r="92" spans="1:133" x14ac:dyDescent="0.35">
      <c r="A92" t="s">
        <v>19</v>
      </c>
      <c r="B92">
        <v>3</v>
      </c>
      <c r="CX92">
        <v>6</v>
      </c>
      <c r="EC92">
        <v>4.5</v>
      </c>
    </row>
    <row r="93" spans="1:133" x14ac:dyDescent="0.35">
      <c r="A93" t="s">
        <v>17</v>
      </c>
      <c r="B93">
        <v>3</v>
      </c>
      <c r="BQ93">
        <v>6</v>
      </c>
      <c r="EC93">
        <v>4.5</v>
      </c>
    </row>
    <row r="94" spans="1:133" x14ac:dyDescent="0.35">
      <c r="A94" t="s">
        <v>302</v>
      </c>
      <c r="BP94">
        <v>4.5</v>
      </c>
      <c r="EC94">
        <v>4.5</v>
      </c>
    </row>
    <row r="95" spans="1:133" x14ac:dyDescent="0.35">
      <c r="A95" t="s">
        <v>146</v>
      </c>
      <c r="U95">
        <v>12</v>
      </c>
      <c r="AA95">
        <v>6</v>
      </c>
      <c r="AB95">
        <v>6</v>
      </c>
      <c r="AP95">
        <v>1</v>
      </c>
      <c r="BK95">
        <v>4</v>
      </c>
      <c r="EC95">
        <v>4.4285714285714288</v>
      </c>
    </row>
    <row r="96" spans="1:133" x14ac:dyDescent="0.35">
      <c r="A96" t="s">
        <v>128</v>
      </c>
      <c r="Q96">
        <v>6</v>
      </c>
      <c r="AA96">
        <v>6</v>
      </c>
      <c r="AB96">
        <v>6</v>
      </c>
      <c r="AO96">
        <v>1</v>
      </c>
      <c r="CR96">
        <v>3</v>
      </c>
      <c r="EC96">
        <v>4.4000000000000004</v>
      </c>
    </row>
    <row r="97" spans="1:133" x14ac:dyDescent="0.35">
      <c r="A97" t="s">
        <v>256</v>
      </c>
      <c r="BC97">
        <v>6</v>
      </c>
      <c r="DG97">
        <v>6</v>
      </c>
      <c r="DS97">
        <v>1</v>
      </c>
      <c r="EC97">
        <v>4.333333333333333</v>
      </c>
    </row>
    <row r="98" spans="1:133" x14ac:dyDescent="0.35">
      <c r="A98" t="s">
        <v>44</v>
      </c>
      <c r="D98">
        <v>3</v>
      </c>
      <c r="F98">
        <v>6</v>
      </c>
      <c r="S98">
        <v>3</v>
      </c>
      <c r="BR98">
        <v>6</v>
      </c>
      <c r="CF98">
        <v>3</v>
      </c>
      <c r="DC98">
        <v>6</v>
      </c>
      <c r="DG98">
        <v>3</v>
      </c>
      <c r="EC98">
        <v>4.2857142857142856</v>
      </c>
    </row>
    <row r="99" spans="1:133" x14ac:dyDescent="0.35">
      <c r="A99" t="s">
        <v>90</v>
      </c>
      <c r="F99">
        <v>6</v>
      </c>
      <c r="U99">
        <v>6</v>
      </c>
      <c r="X99">
        <v>6</v>
      </c>
      <c r="AG99">
        <v>2</v>
      </c>
      <c r="AN99">
        <v>6</v>
      </c>
      <c r="AW99">
        <v>1</v>
      </c>
      <c r="BV99">
        <v>6</v>
      </c>
      <c r="CE99">
        <v>6</v>
      </c>
      <c r="CG99">
        <v>3</v>
      </c>
      <c r="CK99">
        <v>6</v>
      </c>
      <c r="DR99">
        <v>6</v>
      </c>
      <c r="DX99">
        <v>3</v>
      </c>
      <c r="EC99">
        <v>4.2142857142857144</v>
      </c>
    </row>
    <row r="100" spans="1:133" x14ac:dyDescent="0.35">
      <c r="A100" t="s">
        <v>34</v>
      </c>
      <c r="C100">
        <v>3</v>
      </c>
      <c r="U100">
        <v>6</v>
      </c>
      <c r="BV100">
        <v>3</v>
      </c>
      <c r="CG100">
        <v>3</v>
      </c>
      <c r="CK100">
        <v>6</v>
      </c>
      <c r="EC100">
        <v>4.2</v>
      </c>
    </row>
    <row r="101" spans="1:133" x14ac:dyDescent="0.35">
      <c r="A101" t="s">
        <v>74</v>
      </c>
      <c r="F101">
        <v>6</v>
      </c>
      <c r="O101">
        <v>3</v>
      </c>
      <c r="S101">
        <v>3</v>
      </c>
      <c r="T101">
        <v>6</v>
      </c>
      <c r="U101">
        <v>6</v>
      </c>
      <c r="V101">
        <v>3</v>
      </c>
      <c r="AA101">
        <v>12</v>
      </c>
      <c r="AB101">
        <v>6</v>
      </c>
      <c r="AE101">
        <v>3</v>
      </c>
      <c r="AI101">
        <v>1.5</v>
      </c>
      <c r="AR101">
        <v>3</v>
      </c>
      <c r="BC101">
        <v>6</v>
      </c>
      <c r="BJ101">
        <v>12</v>
      </c>
      <c r="BN101">
        <v>6</v>
      </c>
      <c r="BR101">
        <v>6</v>
      </c>
      <c r="BY101">
        <v>6</v>
      </c>
      <c r="BZ101">
        <v>3</v>
      </c>
      <c r="CF101">
        <v>3</v>
      </c>
      <c r="CV101">
        <v>3</v>
      </c>
      <c r="CZ101">
        <v>12</v>
      </c>
      <c r="DA101">
        <v>1</v>
      </c>
      <c r="DC101">
        <v>6</v>
      </c>
      <c r="DD101">
        <v>3</v>
      </c>
      <c r="DG101">
        <v>6</v>
      </c>
      <c r="DK101">
        <v>6</v>
      </c>
      <c r="DP101">
        <v>0</v>
      </c>
      <c r="DR101">
        <v>6</v>
      </c>
      <c r="DS101">
        <v>3</v>
      </c>
      <c r="DU101">
        <v>1</v>
      </c>
      <c r="DW101">
        <v>3</v>
      </c>
      <c r="EC101">
        <v>4.1944444444444446</v>
      </c>
    </row>
    <row r="102" spans="1:133" x14ac:dyDescent="0.35">
      <c r="A102" t="s">
        <v>42</v>
      </c>
      <c r="D102">
        <v>3</v>
      </c>
      <c r="F102">
        <v>12</v>
      </c>
      <c r="N102">
        <v>3</v>
      </c>
      <c r="P102">
        <v>9</v>
      </c>
      <c r="S102">
        <v>3</v>
      </c>
      <c r="T102">
        <v>6</v>
      </c>
      <c r="U102">
        <v>6</v>
      </c>
      <c r="V102">
        <v>3</v>
      </c>
      <c r="AB102">
        <v>6</v>
      </c>
      <c r="AP102">
        <v>1</v>
      </c>
      <c r="BJ102">
        <v>12</v>
      </c>
      <c r="BK102">
        <v>1</v>
      </c>
      <c r="BL102">
        <v>1</v>
      </c>
      <c r="BP102">
        <v>6</v>
      </c>
      <c r="BR102">
        <v>6</v>
      </c>
      <c r="BX102">
        <v>3</v>
      </c>
      <c r="BY102">
        <v>6</v>
      </c>
      <c r="BZ102">
        <v>3</v>
      </c>
      <c r="CF102">
        <v>3</v>
      </c>
      <c r="CH102">
        <v>6</v>
      </c>
      <c r="CJ102">
        <v>2</v>
      </c>
      <c r="CN102">
        <v>6</v>
      </c>
      <c r="CR102">
        <v>3</v>
      </c>
      <c r="CV102">
        <v>3</v>
      </c>
      <c r="CZ102">
        <v>6</v>
      </c>
      <c r="DA102">
        <v>1</v>
      </c>
      <c r="DC102">
        <v>6</v>
      </c>
      <c r="DG102">
        <v>12</v>
      </c>
      <c r="DK102">
        <v>3</v>
      </c>
      <c r="DL102">
        <v>3</v>
      </c>
      <c r="DP102">
        <v>0</v>
      </c>
      <c r="DR102">
        <v>6</v>
      </c>
      <c r="DS102">
        <v>2.5</v>
      </c>
      <c r="DU102">
        <v>1</v>
      </c>
      <c r="DV102">
        <v>6</v>
      </c>
      <c r="DW102">
        <v>3</v>
      </c>
      <c r="EB102">
        <v>6</v>
      </c>
      <c r="EC102">
        <v>4.166666666666667</v>
      </c>
    </row>
    <row r="103" spans="1:133" x14ac:dyDescent="0.35">
      <c r="A103" t="s">
        <v>142</v>
      </c>
      <c r="T103">
        <v>6</v>
      </c>
      <c r="U103">
        <v>6</v>
      </c>
      <c r="AR103">
        <v>6</v>
      </c>
      <c r="CL103">
        <v>6</v>
      </c>
      <c r="DG103">
        <v>6</v>
      </c>
      <c r="DU103">
        <v>1</v>
      </c>
      <c r="DW103">
        <v>2</v>
      </c>
      <c r="EC103">
        <v>4.1111111111111107</v>
      </c>
    </row>
    <row r="104" spans="1:133" x14ac:dyDescent="0.35">
      <c r="A104" t="s">
        <v>135</v>
      </c>
      <c r="S104">
        <v>2</v>
      </c>
      <c r="T104">
        <v>6</v>
      </c>
      <c r="Z104">
        <v>4</v>
      </c>
      <c r="AO104">
        <v>3</v>
      </c>
      <c r="AR104">
        <v>1</v>
      </c>
      <c r="AY104">
        <v>12</v>
      </c>
      <c r="AZ104">
        <v>2</v>
      </c>
      <c r="BD104">
        <v>3</v>
      </c>
      <c r="BG104">
        <v>6</v>
      </c>
      <c r="BH104">
        <v>5</v>
      </c>
      <c r="BJ104">
        <v>10</v>
      </c>
      <c r="BK104">
        <v>5</v>
      </c>
      <c r="BL104">
        <v>5</v>
      </c>
      <c r="BR104">
        <v>8</v>
      </c>
      <c r="BW104">
        <v>3</v>
      </c>
      <c r="BX104">
        <v>3</v>
      </c>
      <c r="BY104">
        <v>5</v>
      </c>
      <c r="CA104">
        <v>6</v>
      </c>
      <c r="CB104">
        <v>7</v>
      </c>
      <c r="CC104">
        <v>1</v>
      </c>
      <c r="CD104">
        <v>3</v>
      </c>
      <c r="CG104">
        <v>2</v>
      </c>
      <c r="CM104">
        <v>1.75</v>
      </c>
      <c r="CN104">
        <v>6</v>
      </c>
      <c r="CO104">
        <v>0.66666666666666663</v>
      </c>
      <c r="CQ104">
        <v>1.5</v>
      </c>
      <c r="CR104">
        <v>3</v>
      </c>
      <c r="CU104">
        <v>0</v>
      </c>
      <c r="CV104">
        <v>7</v>
      </c>
      <c r="CY104">
        <v>3</v>
      </c>
      <c r="DB104">
        <v>1</v>
      </c>
      <c r="DG104">
        <v>3</v>
      </c>
      <c r="DO104">
        <v>18</v>
      </c>
      <c r="DY104">
        <v>3</v>
      </c>
      <c r="EB104">
        <v>2</v>
      </c>
      <c r="EC104">
        <v>4.0769230769230766</v>
      </c>
    </row>
    <row r="105" spans="1:133" x14ac:dyDescent="0.35">
      <c r="A105" t="s">
        <v>63</v>
      </c>
      <c r="F105">
        <v>6</v>
      </c>
      <c r="DC105">
        <v>3</v>
      </c>
      <c r="DG105">
        <v>3</v>
      </c>
      <c r="EC105">
        <v>4</v>
      </c>
    </row>
    <row r="106" spans="1:133" x14ac:dyDescent="0.35">
      <c r="A106" t="s">
        <v>298</v>
      </c>
      <c r="BO106">
        <v>4</v>
      </c>
      <c r="EC106">
        <v>4</v>
      </c>
    </row>
    <row r="107" spans="1:133" x14ac:dyDescent="0.35">
      <c r="A107" t="s">
        <v>226</v>
      </c>
      <c r="AS107">
        <v>4</v>
      </c>
      <c r="EC107">
        <v>4</v>
      </c>
    </row>
    <row r="108" spans="1:133" x14ac:dyDescent="0.35">
      <c r="A108" t="s">
        <v>107</v>
      </c>
      <c r="N108">
        <v>3</v>
      </c>
      <c r="CZ108">
        <v>6</v>
      </c>
      <c r="DG108">
        <v>3</v>
      </c>
      <c r="EC108">
        <v>4</v>
      </c>
    </row>
    <row r="109" spans="1:133" x14ac:dyDescent="0.35">
      <c r="A109" t="s">
        <v>376</v>
      </c>
      <c r="DG109">
        <v>6</v>
      </c>
      <c r="DL109">
        <v>6</v>
      </c>
      <c r="DS109">
        <v>2</v>
      </c>
      <c r="EC109">
        <v>4</v>
      </c>
    </row>
    <row r="110" spans="1:133" x14ac:dyDescent="0.35">
      <c r="A110" t="s">
        <v>242</v>
      </c>
      <c r="AV110">
        <v>4</v>
      </c>
      <c r="EC110">
        <v>4</v>
      </c>
    </row>
    <row r="111" spans="1:133" x14ac:dyDescent="0.35">
      <c r="A111" t="s">
        <v>120</v>
      </c>
      <c r="P111">
        <v>6</v>
      </c>
      <c r="AQ111">
        <v>2</v>
      </c>
      <c r="CG111">
        <v>4</v>
      </c>
      <c r="EC111">
        <v>4</v>
      </c>
    </row>
    <row r="112" spans="1:133" x14ac:dyDescent="0.35">
      <c r="A112" t="s">
        <v>95</v>
      </c>
      <c r="J112">
        <v>4</v>
      </c>
      <c r="EC112">
        <v>4</v>
      </c>
    </row>
    <row r="113" spans="1:133" x14ac:dyDescent="0.35">
      <c r="A113" t="s">
        <v>129</v>
      </c>
      <c r="R113">
        <v>4</v>
      </c>
      <c r="EC113">
        <v>4</v>
      </c>
    </row>
    <row r="114" spans="1:133" x14ac:dyDescent="0.35">
      <c r="A114" t="s">
        <v>46</v>
      </c>
      <c r="D114">
        <v>3</v>
      </c>
      <c r="F114">
        <v>6</v>
      </c>
      <c r="G114">
        <v>3</v>
      </c>
      <c r="N114">
        <v>3</v>
      </c>
      <c r="O114">
        <v>0</v>
      </c>
      <c r="P114">
        <v>6</v>
      </c>
      <c r="S114">
        <v>3</v>
      </c>
      <c r="T114">
        <v>4.5</v>
      </c>
      <c r="U114">
        <v>6</v>
      </c>
      <c r="V114">
        <v>3</v>
      </c>
      <c r="AB114">
        <v>6</v>
      </c>
      <c r="AC114">
        <v>6</v>
      </c>
      <c r="AP114">
        <v>1</v>
      </c>
      <c r="AR114">
        <v>3</v>
      </c>
      <c r="BG114">
        <v>12</v>
      </c>
      <c r="BJ114">
        <v>12</v>
      </c>
      <c r="BK114">
        <v>1</v>
      </c>
      <c r="BP114">
        <v>6</v>
      </c>
      <c r="BR114">
        <v>6</v>
      </c>
      <c r="BX114">
        <v>3</v>
      </c>
      <c r="BY114">
        <v>6</v>
      </c>
      <c r="BZ114">
        <v>3</v>
      </c>
      <c r="CF114">
        <v>3</v>
      </c>
      <c r="CJ114">
        <v>6</v>
      </c>
      <c r="CR114">
        <v>3</v>
      </c>
      <c r="CV114">
        <v>3</v>
      </c>
      <c r="CZ114">
        <v>12</v>
      </c>
      <c r="DA114">
        <v>1</v>
      </c>
      <c r="DG114">
        <v>12</v>
      </c>
      <c r="DK114">
        <v>3</v>
      </c>
      <c r="DL114">
        <v>3</v>
      </c>
      <c r="DP114">
        <v>0</v>
      </c>
      <c r="DR114">
        <v>6</v>
      </c>
      <c r="DS114">
        <v>2.5</v>
      </c>
      <c r="DU114">
        <v>1</v>
      </c>
      <c r="DV114">
        <v>6</v>
      </c>
      <c r="DW114">
        <v>3</v>
      </c>
      <c r="EA114">
        <v>3</v>
      </c>
      <c r="EB114">
        <v>6</v>
      </c>
      <c r="EC114">
        <v>3.9423076923076925</v>
      </c>
    </row>
    <row r="115" spans="1:133" x14ac:dyDescent="0.35">
      <c r="A115" t="s">
        <v>280</v>
      </c>
      <c r="BL115">
        <v>1</v>
      </c>
      <c r="CK115">
        <v>6</v>
      </c>
      <c r="DA115">
        <v>2</v>
      </c>
      <c r="DJ115">
        <v>6</v>
      </c>
      <c r="DQ115">
        <v>6</v>
      </c>
      <c r="DS115">
        <v>4</v>
      </c>
      <c r="EB115">
        <v>6</v>
      </c>
      <c r="EC115">
        <v>3.9</v>
      </c>
    </row>
    <row r="116" spans="1:133" x14ac:dyDescent="0.35">
      <c r="A116" t="s">
        <v>40</v>
      </c>
      <c r="C116">
        <v>1</v>
      </c>
      <c r="D116">
        <v>1</v>
      </c>
      <c r="P116">
        <v>6</v>
      </c>
      <c r="Z116">
        <v>2</v>
      </c>
      <c r="AC116">
        <v>10</v>
      </c>
      <c r="AG116">
        <v>1</v>
      </c>
      <c r="EC116">
        <v>3.8571428571428572</v>
      </c>
    </row>
    <row r="117" spans="1:133" x14ac:dyDescent="0.35">
      <c r="A117" t="s">
        <v>207</v>
      </c>
      <c r="AQ117">
        <v>1</v>
      </c>
      <c r="BJ117">
        <v>6</v>
      </c>
      <c r="BP117">
        <v>6</v>
      </c>
      <c r="CK117">
        <v>6</v>
      </c>
      <c r="CS117">
        <v>3</v>
      </c>
      <c r="DI117">
        <v>1</v>
      </c>
      <c r="EC117">
        <v>3.8333333333333335</v>
      </c>
    </row>
    <row r="118" spans="1:133" x14ac:dyDescent="0.35">
      <c r="A118" t="s">
        <v>82</v>
      </c>
      <c r="F118">
        <v>6</v>
      </c>
      <c r="P118">
        <v>6</v>
      </c>
      <c r="BP118">
        <v>6</v>
      </c>
      <c r="CR118">
        <v>0</v>
      </c>
      <c r="CS118">
        <v>3</v>
      </c>
      <c r="DG118">
        <v>6</v>
      </c>
      <c r="DS118">
        <v>1</v>
      </c>
      <c r="EA118">
        <v>3</v>
      </c>
      <c r="EC118">
        <v>3.7</v>
      </c>
    </row>
    <row r="119" spans="1:133" x14ac:dyDescent="0.35">
      <c r="A119" t="s">
        <v>59</v>
      </c>
      <c r="F119">
        <v>6</v>
      </c>
      <c r="G119">
        <v>3</v>
      </c>
      <c r="N119">
        <v>6</v>
      </c>
      <c r="O119">
        <v>1</v>
      </c>
      <c r="S119">
        <v>3</v>
      </c>
      <c r="T119">
        <v>9</v>
      </c>
      <c r="U119">
        <v>6</v>
      </c>
      <c r="V119">
        <v>1.5</v>
      </c>
      <c r="AB119">
        <v>6</v>
      </c>
      <c r="AE119">
        <v>3</v>
      </c>
      <c r="AI119">
        <v>1</v>
      </c>
      <c r="AR119">
        <v>3</v>
      </c>
      <c r="BC119">
        <v>6</v>
      </c>
      <c r="BJ119">
        <v>6</v>
      </c>
      <c r="BN119">
        <v>6</v>
      </c>
      <c r="BP119">
        <v>6</v>
      </c>
      <c r="BR119">
        <v>9</v>
      </c>
      <c r="BY119">
        <v>6</v>
      </c>
      <c r="BZ119">
        <v>3</v>
      </c>
      <c r="CF119">
        <v>3</v>
      </c>
      <c r="CV119">
        <v>3</v>
      </c>
      <c r="CZ119">
        <v>6</v>
      </c>
      <c r="DA119">
        <v>1</v>
      </c>
      <c r="DC119">
        <v>6</v>
      </c>
      <c r="DD119">
        <v>3</v>
      </c>
      <c r="DG119">
        <v>6</v>
      </c>
      <c r="DK119">
        <v>6</v>
      </c>
      <c r="DL119">
        <v>3</v>
      </c>
      <c r="DP119">
        <v>0</v>
      </c>
      <c r="DR119">
        <v>6</v>
      </c>
      <c r="DS119">
        <v>2</v>
      </c>
      <c r="DU119">
        <v>1</v>
      </c>
      <c r="DW119">
        <v>3</v>
      </c>
      <c r="EC119">
        <v>3.6956521739130435</v>
      </c>
    </row>
    <row r="120" spans="1:133" x14ac:dyDescent="0.35">
      <c r="A120" t="s">
        <v>38</v>
      </c>
      <c r="C120">
        <v>3</v>
      </c>
      <c r="J120">
        <v>4</v>
      </c>
      <c r="BV120">
        <v>3</v>
      </c>
      <c r="CG120">
        <v>3</v>
      </c>
      <c r="CK120">
        <v>6</v>
      </c>
      <c r="DM120">
        <v>3</v>
      </c>
      <c r="EC120">
        <v>3.6666666666666665</v>
      </c>
    </row>
    <row r="121" spans="1:133" x14ac:dyDescent="0.35">
      <c r="A121" t="s">
        <v>33</v>
      </c>
      <c r="C121">
        <v>3</v>
      </c>
      <c r="R121">
        <v>5</v>
      </c>
      <c r="AR121">
        <v>3</v>
      </c>
      <c r="EC121">
        <v>3.6666666666666665</v>
      </c>
    </row>
    <row r="122" spans="1:133" x14ac:dyDescent="0.35">
      <c r="A122" t="s">
        <v>52</v>
      </c>
      <c r="D122">
        <v>1</v>
      </c>
      <c r="E122">
        <v>0</v>
      </c>
      <c r="AR122">
        <v>1</v>
      </c>
      <c r="BE122">
        <v>24</v>
      </c>
      <c r="BP122">
        <v>6</v>
      </c>
      <c r="CA122">
        <v>3</v>
      </c>
      <c r="CB122">
        <v>3.5</v>
      </c>
      <c r="CC122">
        <v>1.6666666666666667</v>
      </c>
      <c r="DB122">
        <v>1</v>
      </c>
      <c r="EC122">
        <v>3.6111111111111112</v>
      </c>
    </row>
    <row r="123" spans="1:133" x14ac:dyDescent="0.35">
      <c r="A123" t="s">
        <v>106</v>
      </c>
      <c r="N123">
        <v>3</v>
      </c>
      <c r="S123">
        <v>3</v>
      </c>
      <c r="DC123">
        <v>6</v>
      </c>
      <c r="DG123">
        <v>3</v>
      </c>
      <c r="DK123">
        <v>3</v>
      </c>
      <c r="EC123">
        <v>3.6</v>
      </c>
    </row>
    <row r="124" spans="1:133" x14ac:dyDescent="0.35">
      <c r="A124" t="s">
        <v>72</v>
      </c>
      <c r="F124">
        <v>6</v>
      </c>
      <c r="T124">
        <v>1.5</v>
      </c>
      <c r="BZ124">
        <v>3</v>
      </c>
      <c r="DS124">
        <v>4</v>
      </c>
      <c r="EA124">
        <v>3</v>
      </c>
      <c r="EB124">
        <v>6</v>
      </c>
      <c r="EC124">
        <v>3.5714285714285716</v>
      </c>
    </row>
    <row r="125" spans="1:133" x14ac:dyDescent="0.35">
      <c r="A125" t="s">
        <v>23</v>
      </c>
      <c r="B125">
        <v>3</v>
      </c>
      <c r="E125">
        <v>2</v>
      </c>
      <c r="L125">
        <v>6</v>
      </c>
      <c r="Y125">
        <v>6</v>
      </c>
      <c r="AI125">
        <v>1</v>
      </c>
      <c r="BK125">
        <v>2</v>
      </c>
      <c r="CX125">
        <v>6</v>
      </c>
      <c r="DC125">
        <v>6</v>
      </c>
      <c r="DH125">
        <v>6</v>
      </c>
      <c r="DS125">
        <v>6</v>
      </c>
      <c r="EC125">
        <v>3.5714285714285716</v>
      </c>
    </row>
    <row r="126" spans="1:133" x14ac:dyDescent="0.35">
      <c r="A126" t="s">
        <v>31</v>
      </c>
      <c r="C126">
        <v>3</v>
      </c>
      <c r="R126">
        <v>4</v>
      </c>
      <c r="EC126">
        <v>3.5</v>
      </c>
    </row>
    <row r="127" spans="1:133" x14ac:dyDescent="0.35">
      <c r="A127" t="s">
        <v>330</v>
      </c>
      <c r="CC127">
        <v>2</v>
      </c>
      <c r="CH127">
        <v>4</v>
      </c>
      <c r="CJ127">
        <v>2</v>
      </c>
      <c r="CK127">
        <v>2</v>
      </c>
      <c r="CV127">
        <v>4</v>
      </c>
      <c r="DG127">
        <v>10</v>
      </c>
      <c r="DS127">
        <v>2</v>
      </c>
      <c r="EC127">
        <v>3.5</v>
      </c>
    </row>
    <row r="128" spans="1:133" x14ac:dyDescent="0.35">
      <c r="A128" t="s">
        <v>134</v>
      </c>
      <c r="S128">
        <v>2</v>
      </c>
      <c r="Y128">
        <v>6</v>
      </c>
      <c r="Z128">
        <v>2</v>
      </c>
      <c r="AO128">
        <v>3</v>
      </c>
      <c r="AW128">
        <v>4</v>
      </c>
      <c r="AY128">
        <v>12</v>
      </c>
      <c r="AZ128">
        <v>2</v>
      </c>
      <c r="BD128">
        <v>3</v>
      </c>
      <c r="BH128">
        <v>3</v>
      </c>
      <c r="BJ128">
        <v>2</v>
      </c>
      <c r="BK128">
        <v>1</v>
      </c>
      <c r="BL128">
        <v>1</v>
      </c>
      <c r="BR128">
        <v>4</v>
      </c>
      <c r="BW128">
        <v>3</v>
      </c>
      <c r="BX128">
        <v>3</v>
      </c>
      <c r="BY128">
        <v>1</v>
      </c>
      <c r="CB128">
        <v>13</v>
      </c>
      <c r="CD128">
        <v>3</v>
      </c>
      <c r="CG128">
        <v>2</v>
      </c>
      <c r="CK128">
        <v>2</v>
      </c>
      <c r="CM128">
        <v>2.75</v>
      </c>
      <c r="CN128">
        <v>1.7142857142857142</v>
      </c>
      <c r="CQ128">
        <v>3</v>
      </c>
      <c r="CR128">
        <v>1.5</v>
      </c>
      <c r="CT128">
        <v>3</v>
      </c>
      <c r="CU128">
        <v>0</v>
      </c>
      <c r="CV128">
        <v>2.5</v>
      </c>
      <c r="CY128">
        <v>0</v>
      </c>
      <c r="DB128">
        <v>3</v>
      </c>
      <c r="DC128">
        <v>3</v>
      </c>
      <c r="DG128">
        <v>3</v>
      </c>
      <c r="DO128">
        <v>18</v>
      </c>
      <c r="DY128">
        <v>1.5</v>
      </c>
      <c r="EB128">
        <v>2</v>
      </c>
      <c r="EC128">
        <v>3.459016393442623</v>
      </c>
    </row>
    <row r="129" spans="1:133" x14ac:dyDescent="0.35">
      <c r="A129" t="s">
        <v>110</v>
      </c>
      <c r="N129">
        <v>3</v>
      </c>
      <c r="Q129">
        <v>3</v>
      </c>
      <c r="AA129">
        <v>12</v>
      </c>
      <c r="BQ129">
        <v>3</v>
      </c>
      <c r="BZ129">
        <v>3</v>
      </c>
      <c r="DA129">
        <v>1</v>
      </c>
      <c r="DG129">
        <v>3</v>
      </c>
      <c r="EC129">
        <v>3.3333333333333335</v>
      </c>
    </row>
    <row r="130" spans="1:133" x14ac:dyDescent="0.35">
      <c r="A130" t="s">
        <v>198</v>
      </c>
      <c r="AO130">
        <v>1</v>
      </c>
      <c r="BT130">
        <v>6</v>
      </c>
      <c r="BZ130">
        <v>3</v>
      </c>
      <c r="EC130">
        <v>3.3333333333333335</v>
      </c>
    </row>
    <row r="131" spans="1:133" x14ac:dyDescent="0.35">
      <c r="A131" t="s">
        <v>89</v>
      </c>
      <c r="F131">
        <v>6</v>
      </c>
      <c r="AV131">
        <v>8</v>
      </c>
      <c r="AW131">
        <v>1</v>
      </c>
      <c r="BV131">
        <v>4</v>
      </c>
      <c r="CI131">
        <v>2</v>
      </c>
      <c r="CK131">
        <v>1</v>
      </c>
      <c r="DI131">
        <v>1</v>
      </c>
      <c r="EC131">
        <v>3.2857142857142856</v>
      </c>
    </row>
    <row r="132" spans="1:133" x14ac:dyDescent="0.35">
      <c r="A132" t="s">
        <v>337</v>
      </c>
      <c r="CI132">
        <v>6</v>
      </c>
      <c r="CL132">
        <v>3</v>
      </c>
      <c r="DC132">
        <v>3</v>
      </c>
      <c r="DU132">
        <v>1</v>
      </c>
      <c r="EC132">
        <v>3.25</v>
      </c>
    </row>
    <row r="133" spans="1:133" x14ac:dyDescent="0.35">
      <c r="A133" t="s">
        <v>50</v>
      </c>
      <c r="D133">
        <v>1</v>
      </c>
      <c r="Z133">
        <v>5</v>
      </c>
      <c r="AD133">
        <v>1</v>
      </c>
      <c r="AH133">
        <v>5</v>
      </c>
      <c r="BI133">
        <v>0</v>
      </c>
      <c r="BJ133">
        <v>10</v>
      </c>
      <c r="BR133">
        <v>6</v>
      </c>
      <c r="BS133">
        <v>4</v>
      </c>
      <c r="BV133">
        <v>4</v>
      </c>
      <c r="CC133">
        <v>3</v>
      </c>
      <c r="CN133">
        <v>0</v>
      </c>
      <c r="CT133">
        <v>4</v>
      </c>
      <c r="DG133">
        <v>5</v>
      </c>
      <c r="EB133">
        <v>2</v>
      </c>
      <c r="EC133">
        <v>3.125</v>
      </c>
    </row>
    <row r="134" spans="1:133" x14ac:dyDescent="0.35">
      <c r="A134" t="s">
        <v>384</v>
      </c>
      <c r="DG134">
        <v>3</v>
      </c>
      <c r="EC134">
        <v>3</v>
      </c>
    </row>
    <row r="135" spans="1:133" x14ac:dyDescent="0.35">
      <c r="A135" t="s">
        <v>349</v>
      </c>
      <c r="CK135">
        <v>3</v>
      </c>
      <c r="EC135">
        <v>3</v>
      </c>
    </row>
    <row r="136" spans="1:133" x14ac:dyDescent="0.35">
      <c r="A136" t="s">
        <v>335</v>
      </c>
      <c r="CF136">
        <v>3</v>
      </c>
      <c r="CR136">
        <v>3</v>
      </c>
      <c r="DC136">
        <v>3</v>
      </c>
      <c r="EC136">
        <v>3</v>
      </c>
    </row>
    <row r="137" spans="1:133" x14ac:dyDescent="0.35">
      <c r="A137" t="s">
        <v>36</v>
      </c>
      <c r="C137">
        <v>3</v>
      </c>
      <c r="EC137">
        <v>3</v>
      </c>
    </row>
    <row r="138" spans="1:133" x14ac:dyDescent="0.35">
      <c r="A138" t="s">
        <v>424</v>
      </c>
      <c r="EA138">
        <v>3</v>
      </c>
      <c r="EC138">
        <v>3</v>
      </c>
    </row>
    <row r="139" spans="1:133" x14ac:dyDescent="0.35">
      <c r="A139" t="s">
        <v>319</v>
      </c>
      <c r="BT139">
        <v>3</v>
      </c>
      <c r="EC139">
        <v>3</v>
      </c>
    </row>
    <row r="140" spans="1:133" x14ac:dyDescent="0.35">
      <c r="A140" t="s">
        <v>342</v>
      </c>
      <c r="CK140">
        <v>3</v>
      </c>
      <c r="EC140">
        <v>3</v>
      </c>
    </row>
    <row r="141" spans="1:133" x14ac:dyDescent="0.35">
      <c r="A141" t="s">
        <v>70</v>
      </c>
      <c r="F141">
        <v>4</v>
      </c>
      <c r="DT141">
        <v>2</v>
      </c>
      <c r="EC141">
        <v>3</v>
      </c>
    </row>
    <row r="142" spans="1:133" x14ac:dyDescent="0.35">
      <c r="A142" t="s">
        <v>375</v>
      </c>
      <c r="DC142">
        <v>3</v>
      </c>
      <c r="DG142">
        <v>3</v>
      </c>
      <c r="EC142">
        <v>3</v>
      </c>
    </row>
    <row r="143" spans="1:133" x14ac:dyDescent="0.35">
      <c r="A143" t="s">
        <v>318</v>
      </c>
      <c r="BT143">
        <v>3</v>
      </c>
      <c r="CK143">
        <v>3</v>
      </c>
      <c r="EC143">
        <v>3</v>
      </c>
    </row>
    <row r="144" spans="1:133" x14ac:dyDescent="0.35">
      <c r="A144" t="s">
        <v>220</v>
      </c>
      <c r="AS144">
        <v>3</v>
      </c>
      <c r="EC144">
        <v>3</v>
      </c>
    </row>
    <row r="145" spans="1:133" x14ac:dyDescent="0.35">
      <c r="A145" t="s">
        <v>114</v>
      </c>
      <c r="P145">
        <v>2</v>
      </c>
      <c r="CG145">
        <v>4</v>
      </c>
      <c r="EC145">
        <v>3</v>
      </c>
    </row>
    <row r="146" spans="1:133" x14ac:dyDescent="0.35">
      <c r="A146" t="s">
        <v>386</v>
      </c>
      <c r="DG146">
        <v>3</v>
      </c>
      <c r="EC146">
        <v>3</v>
      </c>
    </row>
    <row r="147" spans="1:133" x14ac:dyDescent="0.35">
      <c r="A147" t="s">
        <v>274</v>
      </c>
      <c r="BJ147">
        <v>3</v>
      </c>
      <c r="EC147">
        <v>3</v>
      </c>
    </row>
    <row r="148" spans="1:133" x14ac:dyDescent="0.35">
      <c r="A148" t="s">
        <v>248</v>
      </c>
      <c r="AW148">
        <v>1</v>
      </c>
      <c r="BP148">
        <v>6</v>
      </c>
      <c r="CK148">
        <v>3</v>
      </c>
      <c r="CN148">
        <v>6</v>
      </c>
      <c r="DD148">
        <v>3</v>
      </c>
      <c r="DJ148">
        <v>3</v>
      </c>
      <c r="DS148">
        <v>1.5</v>
      </c>
      <c r="EB148">
        <v>6</v>
      </c>
      <c r="EC148">
        <v>3</v>
      </c>
    </row>
    <row r="149" spans="1:133" x14ac:dyDescent="0.35">
      <c r="A149" t="s">
        <v>374</v>
      </c>
      <c r="CZ149">
        <v>3</v>
      </c>
      <c r="EC149">
        <v>3</v>
      </c>
    </row>
    <row r="150" spans="1:133" x14ac:dyDescent="0.35">
      <c r="A150" t="s">
        <v>227</v>
      </c>
      <c r="AS150">
        <v>5</v>
      </c>
      <c r="CP150">
        <v>1</v>
      </c>
      <c r="EC150">
        <v>3</v>
      </c>
    </row>
    <row r="151" spans="1:133" x14ac:dyDescent="0.35">
      <c r="A151" t="s">
        <v>336</v>
      </c>
      <c r="CF151">
        <v>3</v>
      </c>
      <c r="CK151">
        <v>3</v>
      </c>
      <c r="EC151">
        <v>3</v>
      </c>
    </row>
    <row r="152" spans="1:133" x14ac:dyDescent="0.35">
      <c r="A152" t="s">
        <v>378</v>
      </c>
      <c r="DG152">
        <v>3</v>
      </c>
      <c r="EC152">
        <v>3</v>
      </c>
    </row>
    <row r="153" spans="1:133" x14ac:dyDescent="0.35">
      <c r="A153" t="s">
        <v>381</v>
      </c>
      <c r="DG153">
        <v>3</v>
      </c>
      <c r="EC153">
        <v>3</v>
      </c>
    </row>
    <row r="154" spans="1:133" x14ac:dyDescent="0.35">
      <c r="A154" t="s">
        <v>352</v>
      </c>
      <c r="CK154">
        <v>3</v>
      </c>
      <c r="DD154">
        <v>3</v>
      </c>
      <c r="DS154">
        <v>1.5</v>
      </c>
      <c r="EB154">
        <v>6</v>
      </c>
      <c r="EC154">
        <v>3</v>
      </c>
    </row>
    <row r="155" spans="1:133" x14ac:dyDescent="0.35">
      <c r="A155" t="s">
        <v>130</v>
      </c>
      <c r="R155">
        <v>3</v>
      </c>
      <c r="EC155">
        <v>3</v>
      </c>
    </row>
    <row r="156" spans="1:133" x14ac:dyDescent="0.35">
      <c r="A156" t="s">
        <v>224</v>
      </c>
      <c r="AS156">
        <v>3</v>
      </c>
      <c r="EC156">
        <v>3</v>
      </c>
    </row>
    <row r="157" spans="1:133" x14ac:dyDescent="0.35">
      <c r="A157" t="s">
        <v>48</v>
      </c>
      <c r="D157">
        <v>1</v>
      </c>
      <c r="BI157">
        <v>0</v>
      </c>
      <c r="BM157">
        <v>4</v>
      </c>
      <c r="BR157">
        <v>2</v>
      </c>
      <c r="BS157">
        <v>4</v>
      </c>
      <c r="BV157">
        <v>4</v>
      </c>
      <c r="CK157">
        <v>2</v>
      </c>
      <c r="CN157">
        <v>4.5</v>
      </c>
      <c r="DG157">
        <v>5</v>
      </c>
      <c r="EB157">
        <v>2</v>
      </c>
      <c r="EC157">
        <v>2.75</v>
      </c>
    </row>
    <row r="158" spans="1:133" x14ac:dyDescent="0.35">
      <c r="A158" t="s">
        <v>356</v>
      </c>
      <c r="CK158">
        <v>1</v>
      </c>
      <c r="DZ158">
        <v>4</v>
      </c>
      <c r="EC158">
        <v>2.5</v>
      </c>
    </row>
    <row r="159" spans="1:133" x14ac:dyDescent="0.35">
      <c r="A159" t="s">
        <v>86</v>
      </c>
      <c r="F159">
        <v>2</v>
      </c>
      <c r="AD159">
        <v>2</v>
      </c>
      <c r="BG159">
        <v>4</v>
      </c>
      <c r="BR159">
        <v>4</v>
      </c>
      <c r="DG159">
        <v>1</v>
      </c>
      <c r="DR159">
        <v>2</v>
      </c>
      <c r="EB159">
        <v>2</v>
      </c>
      <c r="EC159">
        <v>2.4285714285714284</v>
      </c>
    </row>
    <row r="160" spans="1:133" x14ac:dyDescent="0.35">
      <c r="A160" t="s">
        <v>263</v>
      </c>
      <c r="BD160">
        <v>1.5</v>
      </c>
      <c r="BM160">
        <v>5.5</v>
      </c>
      <c r="BN160">
        <v>4</v>
      </c>
      <c r="BT160">
        <v>2</v>
      </c>
      <c r="CK160">
        <v>2</v>
      </c>
      <c r="DA160">
        <v>0.66666666666666663</v>
      </c>
      <c r="DD160">
        <v>2</v>
      </c>
      <c r="DJ160">
        <v>2</v>
      </c>
      <c r="DS160">
        <v>4</v>
      </c>
      <c r="EB160">
        <v>2</v>
      </c>
      <c r="EC160">
        <v>2.4285714285714284</v>
      </c>
    </row>
    <row r="161" spans="1:133" x14ac:dyDescent="0.35">
      <c r="A161" t="s">
        <v>233</v>
      </c>
      <c r="AS161">
        <v>2</v>
      </c>
      <c r="CF161">
        <v>3</v>
      </c>
      <c r="DC161">
        <v>3</v>
      </c>
      <c r="EC161">
        <v>2.4</v>
      </c>
    </row>
    <row r="162" spans="1:133" x14ac:dyDescent="0.35">
      <c r="A162" t="s">
        <v>73</v>
      </c>
      <c r="F162">
        <v>4</v>
      </c>
      <c r="DG162">
        <v>1</v>
      </c>
      <c r="DR162">
        <v>2</v>
      </c>
      <c r="EB162">
        <v>2</v>
      </c>
      <c r="EC162">
        <v>2.25</v>
      </c>
    </row>
    <row r="163" spans="1:133" x14ac:dyDescent="0.35">
      <c r="A163" t="s">
        <v>166</v>
      </c>
      <c r="AA163">
        <v>6</v>
      </c>
      <c r="DA163">
        <v>1</v>
      </c>
      <c r="EC163">
        <v>2.25</v>
      </c>
    </row>
    <row r="164" spans="1:133" x14ac:dyDescent="0.35">
      <c r="A164" t="s">
        <v>112</v>
      </c>
      <c r="N164">
        <v>3</v>
      </c>
      <c r="Q164">
        <v>3</v>
      </c>
      <c r="BQ164">
        <v>3</v>
      </c>
      <c r="BZ164">
        <v>3</v>
      </c>
      <c r="CL164">
        <v>3</v>
      </c>
      <c r="DA164">
        <v>1</v>
      </c>
      <c r="EC164">
        <v>2.25</v>
      </c>
    </row>
    <row r="165" spans="1:133" x14ac:dyDescent="0.35">
      <c r="A165" t="s">
        <v>281</v>
      </c>
      <c r="BN165">
        <v>6</v>
      </c>
      <c r="DA165">
        <v>1</v>
      </c>
      <c r="EC165">
        <v>2.25</v>
      </c>
    </row>
    <row r="166" spans="1:133" x14ac:dyDescent="0.35">
      <c r="A166" t="s">
        <v>329</v>
      </c>
      <c r="CC166">
        <v>1</v>
      </c>
      <c r="CI166">
        <v>4</v>
      </c>
      <c r="CK166">
        <v>2</v>
      </c>
      <c r="CV166">
        <v>1</v>
      </c>
      <c r="DC166">
        <v>3</v>
      </c>
      <c r="DF166">
        <v>5</v>
      </c>
      <c r="DG166">
        <v>2</v>
      </c>
      <c r="DS166">
        <v>1</v>
      </c>
      <c r="EC166">
        <v>2.2222222222222223</v>
      </c>
    </row>
    <row r="167" spans="1:133" x14ac:dyDescent="0.35">
      <c r="A167" t="s">
        <v>236</v>
      </c>
      <c r="AS167">
        <v>2</v>
      </c>
      <c r="EC167">
        <v>2</v>
      </c>
    </row>
    <row r="168" spans="1:133" x14ac:dyDescent="0.35">
      <c r="A168" t="s">
        <v>292</v>
      </c>
      <c r="BO168">
        <v>2</v>
      </c>
      <c r="EC168">
        <v>2</v>
      </c>
    </row>
    <row r="169" spans="1:133" x14ac:dyDescent="0.35">
      <c r="A169" t="s">
        <v>406</v>
      </c>
      <c r="DT169">
        <v>2</v>
      </c>
      <c r="EC169">
        <v>2</v>
      </c>
    </row>
    <row r="170" spans="1:133" x14ac:dyDescent="0.35">
      <c r="A170" t="s">
        <v>216</v>
      </c>
      <c r="AS170">
        <v>2</v>
      </c>
      <c r="EC170">
        <v>2</v>
      </c>
    </row>
    <row r="171" spans="1:133" x14ac:dyDescent="0.35">
      <c r="A171" t="s">
        <v>131</v>
      </c>
      <c r="R171">
        <v>2</v>
      </c>
      <c r="EC171">
        <v>2</v>
      </c>
    </row>
    <row r="172" spans="1:133" x14ac:dyDescent="0.35">
      <c r="A172" t="s">
        <v>412</v>
      </c>
      <c r="DT172">
        <v>2</v>
      </c>
      <c r="EC172">
        <v>2</v>
      </c>
    </row>
    <row r="173" spans="1:133" x14ac:dyDescent="0.35">
      <c r="A173" t="s">
        <v>282</v>
      </c>
      <c r="BN173">
        <v>2</v>
      </c>
      <c r="EC173">
        <v>2</v>
      </c>
    </row>
    <row r="174" spans="1:133" x14ac:dyDescent="0.35">
      <c r="A174" t="s">
        <v>400</v>
      </c>
      <c r="DS174">
        <v>2</v>
      </c>
      <c r="EC174">
        <v>2</v>
      </c>
    </row>
    <row r="175" spans="1:133" x14ac:dyDescent="0.35">
      <c r="A175" t="s">
        <v>184</v>
      </c>
      <c r="AF175">
        <v>2</v>
      </c>
      <c r="EC175">
        <v>2</v>
      </c>
    </row>
    <row r="176" spans="1:133" x14ac:dyDescent="0.35">
      <c r="A176" t="s">
        <v>404</v>
      </c>
      <c r="DT176">
        <v>2</v>
      </c>
      <c r="EC176">
        <v>2</v>
      </c>
    </row>
    <row r="177" spans="1:133" x14ac:dyDescent="0.35">
      <c r="A177" t="s">
        <v>393</v>
      </c>
      <c r="DI177">
        <v>2</v>
      </c>
      <c r="EC177">
        <v>2</v>
      </c>
    </row>
    <row r="178" spans="1:133" x14ac:dyDescent="0.35">
      <c r="A178" t="s">
        <v>320</v>
      </c>
      <c r="BT178">
        <v>2</v>
      </c>
      <c r="EC178">
        <v>2</v>
      </c>
    </row>
    <row r="179" spans="1:133" x14ac:dyDescent="0.35">
      <c r="A179" t="s">
        <v>234</v>
      </c>
      <c r="AS179">
        <v>2</v>
      </c>
      <c r="EC179">
        <v>2</v>
      </c>
    </row>
    <row r="180" spans="1:133" x14ac:dyDescent="0.35">
      <c r="A180" t="s">
        <v>354</v>
      </c>
      <c r="CK180">
        <v>2</v>
      </c>
      <c r="EC180">
        <v>2</v>
      </c>
    </row>
    <row r="181" spans="1:133" x14ac:dyDescent="0.35">
      <c r="A181" t="s">
        <v>156</v>
      </c>
      <c r="Z181">
        <v>0</v>
      </c>
      <c r="DC181">
        <v>6</v>
      </c>
      <c r="EC181">
        <v>2</v>
      </c>
    </row>
    <row r="182" spans="1:133" x14ac:dyDescent="0.35">
      <c r="A182" t="s">
        <v>372</v>
      </c>
      <c r="CW182">
        <v>2</v>
      </c>
      <c r="EC182">
        <v>2</v>
      </c>
    </row>
    <row r="183" spans="1:133" x14ac:dyDescent="0.35">
      <c r="A183" t="s">
        <v>132</v>
      </c>
      <c r="R183">
        <v>2</v>
      </c>
      <c r="EC183">
        <v>2</v>
      </c>
    </row>
    <row r="184" spans="1:133" x14ac:dyDescent="0.35">
      <c r="A184" t="s">
        <v>148</v>
      </c>
      <c r="V184">
        <v>3</v>
      </c>
      <c r="DU184">
        <v>1</v>
      </c>
      <c r="EC184">
        <v>2</v>
      </c>
    </row>
    <row r="185" spans="1:133" x14ac:dyDescent="0.35">
      <c r="A185" t="s">
        <v>402</v>
      </c>
      <c r="DS185">
        <v>2</v>
      </c>
      <c r="EC185">
        <v>2</v>
      </c>
    </row>
    <row r="186" spans="1:133" x14ac:dyDescent="0.35">
      <c r="A186" t="s">
        <v>61</v>
      </c>
      <c r="F186">
        <v>2</v>
      </c>
      <c r="EC186">
        <v>2</v>
      </c>
    </row>
    <row r="187" spans="1:133" x14ac:dyDescent="0.35">
      <c r="A187" t="s">
        <v>80</v>
      </c>
      <c r="F187">
        <v>2</v>
      </c>
      <c r="EC187">
        <v>2</v>
      </c>
    </row>
    <row r="188" spans="1:133" x14ac:dyDescent="0.35">
      <c r="A188" t="s">
        <v>167</v>
      </c>
      <c r="AB188">
        <v>3</v>
      </c>
      <c r="AJ188">
        <v>3</v>
      </c>
      <c r="AO188">
        <v>2</v>
      </c>
      <c r="BF188">
        <v>1</v>
      </c>
      <c r="BX188">
        <v>1</v>
      </c>
      <c r="EC188">
        <v>2</v>
      </c>
    </row>
    <row r="189" spans="1:133" x14ac:dyDescent="0.35">
      <c r="A189" t="s">
        <v>323</v>
      </c>
      <c r="BV189">
        <v>3</v>
      </c>
      <c r="CI189">
        <v>1</v>
      </c>
      <c r="CK189">
        <v>2</v>
      </c>
      <c r="CV189">
        <v>1</v>
      </c>
      <c r="DC189">
        <v>1</v>
      </c>
      <c r="DG189">
        <v>2</v>
      </c>
      <c r="DJ189">
        <v>1</v>
      </c>
      <c r="DS189">
        <v>1</v>
      </c>
      <c r="EB189">
        <v>2</v>
      </c>
      <c r="EC189">
        <v>1.8461538461538463</v>
      </c>
    </row>
    <row r="190" spans="1:133" x14ac:dyDescent="0.35">
      <c r="A190" t="s">
        <v>187</v>
      </c>
      <c r="AI190">
        <v>1</v>
      </c>
      <c r="DC190">
        <v>3</v>
      </c>
      <c r="DL190">
        <v>3</v>
      </c>
      <c r="EC190">
        <v>1.8</v>
      </c>
    </row>
    <row r="191" spans="1:133" x14ac:dyDescent="0.35">
      <c r="A191" t="s">
        <v>123</v>
      </c>
      <c r="P191">
        <v>2</v>
      </c>
      <c r="AL191">
        <v>1</v>
      </c>
      <c r="AV191">
        <v>8</v>
      </c>
      <c r="AW191">
        <v>0.33333333333333331</v>
      </c>
      <c r="CI191">
        <v>2</v>
      </c>
      <c r="CK191">
        <v>1</v>
      </c>
      <c r="CN191">
        <v>2</v>
      </c>
      <c r="DI191">
        <v>1</v>
      </c>
      <c r="EC191">
        <v>1.7272727272727273</v>
      </c>
    </row>
    <row r="192" spans="1:133" x14ac:dyDescent="0.35">
      <c r="A192" t="s">
        <v>104</v>
      </c>
      <c r="M192">
        <v>6</v>
      </c>
      <c r="AQ192">
        <v>0.5</v>
      </c>
      <c r="EC192">
        <v>1.6</v>
      </c>
    </row>
    <row r="193" spans="1:133" x14ac:dyDescent="0.35">
      <c r="A193" t="s">
        <v>101</v>
      </c>
      <c r="M193">
        <v>2</v>
      </c>
      <c r="W193">
        <v>1</v>
      </c>
      <c r="AU193">
        <v>1.5</v>
      </c>
      <c r="EC193">
        <v>1.5</v>
      </c>
    </row>
    <row r="194" spans="1:133" x14ac:dyDescent="0.35">
      <c r="A194" t="s">
        <v>174</v>
      </c>
      <c r="AE194">
        <v>1</v>
      </c>
      <c r="BN194">
        <v>2</v>
      </c>
      <c r="EC194">
        <v>1.5</v>
      </c>
    </row>
    <row r="195" spans="1:133" x14ac:dyDescent="0.35">
      <c r="A195" t="s">
        <v>165</v>
      </c>
      <c r="AA195">
        <v>6</v>
      </c>
      <c r="DA195">
        <v>0.6</v>
      </c>
      <c r="EC195">
        <v>1.5</v>
      </c>
    </row>
    <row r="196" spans="1:133" x14ac:dyDescent="0.35">
      <c r="A196" t="s">
        <v>422</v>
      </c>
      <c r="DZ196">
        <v>2</v>
      </c>
      <c r="EB196">
        <v>1</v>
      </c>
      <c r="EC196">
        <v>1.5</v>
      </c>
    </row>
    <row r="197" spans="1:133" x14ac:dyDescent="0.35">
      <c r="A197" t="s">
        <v>361</v>
      </c>
      <c r="CN197">
        <v>2</v>
      </c>
      <c r="DQ197">
        <v>1</v>
      </c>
      <c r="EC197">
        <v>1.5</v>
      </c>
    </row>
    <row r="198" spans="1:133" x14ac:dyDescent="0.35">
      <c r="A198" t="s">
        <v>347</v>
      </c>
      <c r="CK198">
        <v>1</v>
      </c>
      <c r="CN198">
        <v>2</v>
      </c>
      <c r="EC198">
        <v>1.5</v>
      </c>
    </row>
    <row r="199" spans="1:133" x14ac:dyDescent="0.35">
      <c r="A199" t="s">
        <v>197</v>
      </c>
      <c r="AO199">
        <v>1</v>
      </c>
      <c r="DS199">
        <v>2</v>
      </c>
      <c r="EC199">
        <v>1.5</v>
      </c>
    </row>
    <row r="200" spans="1:133" x14ac:dyDescent="0.35">
      <c r="A200" t="s">
        <v>77</v>
      </c>
      <c r="F200">
        <v>4.666666666666667</v>
      </c>
      <c r="AF200">
        <v>-0.8</v>
      </c>
      <c r="EC200">
        <v>1.25</v>
      </c>
    </row>
    <row r="201" spans="1:133" x14ac:dyDescent="0.35">
      <c r="A201" t="s">
        <v>88</v>
      </c>
      <c r="F201">
        <v>1</v>
      </c>
      <c r="EC201">
        <v>1</v>
      </c>
    </row>
    <row r="202" spans="1:133" x14ac:dyDescent="0.35">
      <c r="A202" t="s">
        <v>172</v>
      </c>
      <c r="AE202">
        <v>1</v>
      </c>
      <c r="EC202">
        <v>1</v>
      </c>
    </row>
    <row r="203" spans="1:133" x14ac:dyDescent="0.35">
      <c r="A203" t="s">
        <v>191</v>
      </c>
      <c r="AL203">
        <v>1</v>
      </c>
      <c r="EC203">
        <v>1</v>
      </c>
    </row>
    <row r="204" spans="1:133" x14ac:dyDescent="0.35">
      <c r="A204" t="s">
        <v>261</v>
      </c>
      <c r="BD204">
        <v>1</v>
      </c>
      <c r="CK204">
        <v>1</v>
      </c>
      <c r="EC204">
        <v>1</v>
      </c>
    </row>
    <row r="205" spans="1:133" x14ac:dyDescent="0.35">
      <c r="A205" t="s">
        <v>116</v>
      </c>
      <c r="P205">
        <v>1</v>
      </c>
      <c r="EC205">
        <v>1</v>
      </c>
    </row>
    <row r="206" spans="1:133" x14ac:dyDescent="0.35">
      <c r="A206" t="s">
        <v>203</v>
      </c>
      <c r="AQ206">
        <v>1</v>
      </c>
      <c r="EC206">
        <v>1</v>
      </c>
    </row>
    <row r="207" spans="1:133" x14ac:dyDescent="0.35">
      <c r="A207" t="s">
        <v>324</v>
      </c>
      <c r="BZ207">
        <v>1</v>
      </c>
      <c r="EC207">
        <v>1</v>
      </c>
    </row>
    <row r="208" spans="1:133" x14ac:dyDescent="0.35">
      <c r="A208" t="s">
        <v>214</v>
      </c>
      <c r="AQ208">
        <v>1</v>
      </c>
      <c r="EC208">
        <v>1</v>
      </c>
    </row>
    <row r="209" spans="1:133" x14ac:dyDescent="0.35">
      <c r="A209" t="s">
        <v>195</v>
      </c>
      <c r="AM209">
        <v>1</v>
      </c>
      <c r="EC209">
        <v>1</v>
      </c>
    </row>
    <row r="210" spans="1:133" x14ac:dyDescent="0.35">
      <c r="A210" t="s">
        <v>338</v>
      </c>
      <c r="CK210">
        <v>1</v>
      </c>
      <c r="EC210">
        <v>1</v>
      </c>
    </row>
    <row r="211" spans="1:133" x14ac:dyDescent="0.35">
      <c r="A211" t="s">
        <v>185</v>
      </c>
      <c r="AG211">
        <v>1</v>
      </c>
      <c r="EC211">
        <v>1</v>
      </c>
    </row>
    <row r="212" spans="1:133" x14ac:dyDescent="0.35">
      <c r="A212" t="s">
        <v>218</v>
      </c>
      <c r="AS212">
        <v>1</v>
      </c>
      <c r="EC212">
        <v>1</v>
      </c>
    </row>
    <row r="213" spans="1:133" x14ac:dyDescent="0.35">
      <c r="A213" t="s">
        <v>366</v>
      </c>
      <c r="CN213">
        <v>1</v>
      </c>
      <c r="EC213">
        <v>1</v>
      </c>
    </row>
    <row r="214" spans="1:133" x14ac:dyDescent="0.35">
      <c r="A214" t="s">
        <v>321</v>
      </c>
      <c r="BU214">
        <v>1</v>
      </c>
      <c r="EC214">
        <v>1</v>
      </c>
    </row>
    <row r="215" spans="1:133" x14ac:dyDescent="0.35">
      <c r="A215" t="s">
        <v>221</v>
      </c>
      <c r="AS215">
        <v>1</v>
      </c>
      <c r="EC215">
        <v>1</v>
      </c>
    </row>
    <row r="216" spans="1:133" x14ac:dyDescent="0.35">
      <c r="A216" t="s">
        <v>370</v>
      </c>
      <c r="CP216">
        <v>1</v>
      </c>
      <c r="EC216">
        <v>1</v>
      </c>
    </row>
    <row r="217" spans="1:133" x14ac:dyDescent="0.35">
      <c r="A217" t="s">
        <v>81</v>
      </c>
      <c r="F217">
        <v>1</v>
      </c>
      <c r="EC217">
        <v>1</v>
      </c>
    </row>
    <row r="218" spans="1:133" x14ac:dyDescent="0.35">
      <c r="A218" t="s">
        <v>251</v>
      </c>
      <c r="AZ218">
        <v>1</v>
      </c>
      <c r="EC218">
        <v>1</v>
      </c>
    </row>
    <row r="219" spans="1:133" x14ac:dyDescent="0.35">
      <c r="A219" t="s">
        <v>357</v>
      </c>
      <c r="CL219">
        <v>1</v>
      </c>
      <c r="EC219">
        <v>1</v>
      </c>
    </row>
    <row r="220" spans="1:133" x14ac:dyDescent="0.35">
      <c r="A220" t="s">
        <v>253</v>
      </c>
      <c r="BB220">
        <v>1</v>
      </c>
      <c r="EC220">
        <v>1</v>
      </c>
    </row>
    <row r="221" spans="1:133" x14ac:dyDescent="0.35">
      <c r="A221" t="s">
        <v>208</v>
      </c>
      <c r="AQ221">
        <v>1</v>
      </c>
      <c r="EC221">
        <v>1</v>
      </c>
    </row>
    <row r="222" spans="1:133" x14ac:dyDescent="0.35">
      <c r="A222" t="s">
        <v>359</v>
      </c>
      <c r="CN222">
        <v>1</v>
      </c>
      <c r="EC222">
        <v>1</v>
      </c>
    </row>
    <row r="223" spans="1:133" x14ac:dyDescent="0.35">
      <c r="A223" t="s">
        <v>205</v>
      </c>
      <c r="AQ223">
        <v>1</v>
      </c>
      <c r="EC223">
        <v>1</v>
      </c>
    </row>
    <row r="224" spans="1:133" x14ac:dyDescent="0.35">
      <c r="A224" t="s">
        <v>254</v>
      </c>
      <c r="BB224">
        <v>1</v>
      </c>
      <c r="EC224">
        <v>1</v>
      </c>
    </row>
    <row r="225" spans="1:133" x14ac:dyDescent="0.35">
      <c r="A225" t="s">
        <v>350</v>
      </c>
      <c r="CK225">
        <v>1</v>
      </c>
      <c r="EC225">
        <v>1</v>
      </c>
    </row>
    <row r="226" spans="1:133" x14ac:dyDescent="0.35">
      <c r="A226" t="s">
        <v>346</v>
      </c>
      <c r="CK226">
        <v>1</v>
      </c>
      <c r="EC226">
        <v>1</v>
      </c>
    </row>
    <row r="227" spans="1:133" x14ac:dyDescent="0.35">
      <c r="A227" t="s">
        <v>265</v>
      </c>
      <c r="BD227">
        <v>1</v>
      </c>
      <c r="EC227">
        <v>1</v>
      </c>
    </row>
    <row r="228" spans="1:133" x14ac:dyDescent="0.35">
      <c r="A228" t="s">
        <v>362</v>
      </c>
      <c r="CN228">
        <v>1</v>
      </c>
      <c r="EC228">
        <v>1</v>
      </c>
    </row>
    <row r="229" spans="1:133" x14ac:dyDescent="0.35">
      <c r="A229" t="s">
        <v>118</v>
      </c>
      <c r="P229">
        <v>1</v>
      </c>
      <c r="EC229">
        <v>1</v>
      </c>
    </row>
    <row r="230" spans="1:133" x14ac:dyDescent="0.35">
      <c r="A230" t="s">
        <v>353</v>
      </c>
      <c r="CK230">
        <v>1</v>
      </c>
      <c r="EC230">
        <v>1</v>
      </c>
    </row>
    <row r="231" spans="1:133" x14ac:dyDescent="0.35">
      <c r="A231" t="s">
        <v>84</v>
      </c>
      <c r="F231">
        <v>1</v>
      </c>
      <c r="EC231">
        <v>1</v>
      </c>
    </row>
    <row r="232" spans="1:133" x14ac:dyDescent="0.35">
      <c r="A232" t="s">
        <v>276</v>
      </c>
      <c r="BJ232">
        <v>3</v>
      </c>
      <c r="CZ232">
        <v>0</v>
      </c>
      <c r="EC232">
        <v>1</v>
      </c>
    </row>
    <row r="233" spans="1:133" x14ac:dyDescent="0.35">
      <c r="A233" t="s">
        <v>368</v>
      </c>
      <c r="CN233">
        <v>1</v>
      </c>
      <c r="EC233">
        <v>1</v>
      </c>
    </row>
    <row r="234" spans="1:133" x14ac:dyDescent="0.35">
      <c r="A234" t="s">
        <v>212</v>
      </c>
      <c r="AQ234">
        <v>1</v>
      </c>
      <c r="EC234">
        <v>1</v>
      </c>
    </row>
    <row r="235" spans="1:133" x14ac:dyDescent="0.35">
      <c r="A235" t="s">
        <v>124</v>
      </c>
      <c r="P235">
        <v>1</v>
      </c>
      <c r="EC235">
        <v>1</v>
      </c>
    </row>
    <row r="236" spans="1:133" x14ac:dyDescent="0.35">
      <c r="A236" t="s">
        <v>210</v>
      </c>
      <c r="AQ236">
        <v>1</v>
      </c>
      <c r="EC236">
        <v>1</v>
      </c>
    </row>
    <row r="237" spans="1:133" x14ac:dyDescent="0.35">
      <c r="A237" t="s">
        <v>389</v>
      </c>
      <c r="DG237">
        <v>1</v>
      </c>
      <c r="EC237">
        <v>1</v>
      </c>
    </row>
    <row r="238" spans="1:133" x14ac:dyDescent="0.35">
      <c r="A238" t="s">
        <v>170</v>
      </c>
      <c r="AC238">
        <v>2</v>
      </c>
      <c r="BI238">
        <v>0</v>
      </c>
      <c r="EC238">
        <v>0.66666666666666663</v>
      </c>
    </row>
    <row r="239" spans="1:133" x14ac:dyDescent="0.35">
      <c r="A239" t="s">
        <v>201</v>
      </c>
      <c r="AQ239">
        <v>0.66666666666666663</v>
      </c>
      <c r="EC239">
        <v>0.66666666666666663</v>
      </c>
    </row>
    <row r="240" spans="1:133" x14ac:dyDescent="0.35">
      <c r="A240" t="s">
        <v>249</v>
      </c>
      <c r="AW240">
        <v>0.4</v>
      </c>
      <c r="EC240">
        <v>0.4</v>
      </c>
    </row>
    <row r="241" spans="1:133" x14ac:dyDescent="0.35">
      <c r="A241" t="s">
        <v>199</v>
      </c>
      <c r="AQ241">
        <v>0.33333333333333331</v>
      </c>
      <c r="EC241">
        <v>0.33333333333333331</v>
      </c>
    </row>
    <row r="242" spans="1:133" x14ac:dyDescent="0.35">
      <c r="A242" t="s">
        <v>176</v>
      </c>
      <c r="AF242">
        <v>-0.4</v>
      </c>
      <c r="AQ242">
        <v>3</v>
      </c>
      <c r="EC242">
        <v>0.16666666666666666</v>
      </c>
    </row>
    <row r="243" spans="1:133" x14ac:dyDescent="0.35">
      <c r="A243" t="s">
        <v>272</v>
      </c>
      <c r="BI243">
        <v>0</v>
      </c>
      <c r="EC243">
        <v>0</v>
      </c>
    </row>
    <row r="244" spans="1:133" x14ac:dyDescent="0.35">
      <c r="A244" t="s">
        <v>268</v>
      </c>
      <c r="BI244">
        <v>0</v>
      </c>
      <c r="EC244">
        <v>0</v>
      </c>
    </row>
    <row r="245" spans="1:133" x14ac:dyDescent="0.35">
      <c r="A245" t="s">
        <v>364</v>
      </c>
      <c r="CN245">
        <v>0</v>
      </c>
      <c r="EC245">
        <v>0</v>
      </c>
    </row>
    <row r="246" spans="1:133" x14ac:dyDescent="0.35">
      <c r="A246" t="s">
        <v>420</v>
      </c>
      <c r="DV246">
        <v>0</v>
      </c>
      <c r="EC246">
        <v>0</v>
      </c>
    </row>
    <row r="247" spans="1:133" x14ac:dyDescent="0.35">
      <c r="A247" t="s">
        <v>270</v>
      </c>
      <c r="BI247">
        <v>0</v>
      </c>
      <c r="EC247">
        <v>0</v>
      </c>
    </row>
    <row r="248" spans="1:133" x14ac:dyDescent="0.35">
      <c r="A248" t="s">
        <v>160</v>
      </c>
      <c r="Z248">
        <v>0</v>
      </c>
      <c r="EC248">
        <v>0</v>
      </c>
    </row>
    <row r="249" spans="1:133" x14ac:dyDescent="0.35">
      <c r="A249" t="s">
        <v>267</v>
      </c>
      <c r="BI249">
        <v>0</v>
      </c>
      <c r="EC249">
        <v>0</v>
      </c>
    </row>
    <row r="250" spans="1:133" x14ac:dyDescent="0.35">
      <c r="A250" t="s">
        <v>158</v>
      </c>
      <c r="Z250">
        <v>0</v>
      </c>
      <c r="EC250">
        <v>0</v>
      </c>
    </row>
    <row r="251" spans="1:133" x14ac:dyDescent="0.35">
      <c r="A251" t="s">
        <v>396</v>
      </c>
      <c r="DP251">
        <v>0</v>
      </c>
      <c r="EC251">
        <v>0</v>
      </c>
    </row>
    <row r="252" spans="1:133" x14ac:dyDescent="0.35">
      <c r="A252" t="s">
        <v>149</v>
      </c>
      <c r="W252">
        <v>0</v>
      </c>
      <c r="EC252">
        <v>0</v>
      </c>
    </row>
    <row r="253" spans="1:133" x14ac:dyDescent="0.35">
      <c r="A253" t="s">
        <v>162</v>
      </c>
      <c r="Z253">
        <v>0</v>
      </c>
      <c r="EC253">
        <v>0</v>
      </c>
    </row>
    <row r="254" spans="1:133" x14ac:dyDescent="0.35">
      <c r="A254" t="s">
        <v>154</v>
      </c>
      <c r="Z254">
        <v>0</v>
      </c>
      <c r="EC254">
        <v>0</v>
      </c>
    </row>
    <row r="255" spans="1:133" x14ac:dyDescent="0.35">
      <c r="A255" t="s">
        <v>398</v>
      </c>
      <c r="DP255">
        <v>0</v>
      </c>
      <c r="EC255">
        <v>0</v>
      </c>
    </row>
    <row r="256" spans="1:133" x14ac:dyDescent="0.35">
      <c r="A256" t="s">
        <v>229</v>
      </c>
      <c r="AS256">
        <v>0</v>
      </c>
      <c r="BE256">
        <v>0</v>
      </c>
      <c r="BP256">
        <v>0</v>
      </c>
      <c r="BZ256">
        <v>0</v>
      </c>
      <c r="CI256">
        <v>0</v>
      </c>
      <c r="EC256">
        <v>0</v>
      </c>
    </row>
    <row r="257" spans="1:133" x14ac:dyDescent="0.35">
      <c r="A257" t="s">
        <v>182</v>
      </c>
      <c r="AF257">
        <v>-0.2</v>
      </c>
      <c r="EC257">
        <v>-0.2</v>
      </c>
    </row>
    <row r="258" spans="1:133" x14ac:dyDescent="0.35">
      <c r="A258" t="s">
        <v>180</v>
      </c>
      <c r="AF258">
        <v>-0.2</v>
      </c>
      <c r="EC258">
        <v>-0.2</v>
      </c>
    </row>
    <row r="259" spans="1:133" x14ac:dyDescent="0.35">
      <c r="A259" t="s">
        <v>327</v>
      </c>
      <c r="CB259">
        <v>-1</v>
      </c>
      <c r="CQ259">
        <v>-1</v>
      </c>
      <c r="CY259">
        <v>-1</v>
      </c>
      <c r="EC259">
        <v>-1</v>
      </c>
    </row>
    <row r="260" spans="1:133" x14ac:dyDescent="0.35">
      <c r="A260" t="s">
        <v>178</v>
      </c>
      <c r="AF260">
        <v>-1.5</v>
      </c>
      <c r="EC260">
        <v>-1.5</v>
      </c>
    </row>
    <row r="261" spans="1:133" x14ac:dyDescent="0.35">
      <c r="A261" t="s">
        <v>426</v>
      </c>
      <c r="B261">
        <v>4.615384615384615</v>
      </c>
      <c r="C261">
        <v>3.7777777777777777</v>
      </c>
      <c r="D261">
        <v>1.8888888888888888</v>
      </c>
      <c r="E261">
        <v>3</v>
      </c>
      <c r="F261">
        <v>5.068965517241379</v>
      </c>
      <c r="G261">
        <v>4</v>
      </c>
      <c r="H261">
        <v>12</v>
      </c>
      <c r="I261">
        <v>2</v>
      </c>
      <c r="J261">
        <v>4</v>
      </c>
      <c r="K261">
        <v>6</v>
      </c>
      <c r="L261">
        <v>5.875</v>
      </c>
      <c r="M261">
        <v>6.5</v>
      </c>
      <c r="N261">
        <v>4.2</v>
      </c>
      <c r="O261">
        <v>0.81818181818181823</v>
      </c>
      <c r="P261">
        <v>11.928571428571429</v>
      </c>
      <c r="Q261">
        <v>6</v>
      </c>
      <c r="R261">
        <v>3.3333333333333335</v>
      </c>
      <c r="S261">
        <v>3.2857142857142856</v>
      </c>
      <c r="T261">
        <v>5</v>
      </c>
      <c r="U261">
        <v>7</v>
      </c>
      <c r="V261">
        <v>2.4</v>
      </c>
      <c r="W261">
        <v>0.33333333333333331</v>
      </c>
      <c r="X261">
        <v>7.7142857142857144</v>
      </c>
      <c r="Y261">
        <v>6</v>
      </c>
      <c r="Z261">
        <v>0.90476190476190477</v>
      </c>
      <c r="AA261">
        <v>8.5714285714285712</v>
      </c>
      <c r="AB261">
        <v>5.333333333333333</v>
      </c>
      <c r="AC261">
        <v>6</v>
      </c>
      <c r="AD261">
        <v>3.375</v>
      </c>
      <c r="AE261">
        <v>2</v>
      </c>
      <c r="AF261">
        <v>-0.48</v>
      </c>
      <c r="AG261">
        <v>3</v>
      </c>
      <c r="AH261">
        <v>5.25</v>
      </c>
      <c r="AI261">
        <v>1.24</v>
      </c>
      <c r="AJ261">
        <v>3</v>
      </c>
      <c r="AK261">
        <v>6</v>
      </c>
      <c r="AL261">
        <v>4.75</v>
      </c>
      <c r="AM261">
        <v>2.6666666666666665</v>
      </c>
      <c r="AN261">
        <v>9</v>
      </c>
      <c r="AO261">
        <v>2</v>
      </c>
      <c r="AP261">
        <v>1</v>
      </c>
      <c r="AQ261">
        <v>1.3703703703703705</v>
      </c>
      <c r="AR261">
        <v>3.5454545454545454</v>
      </c>
      <c r="AS261">
        <v>3.2916666666666665</v>
      </c>
      <c r="AT261">
        <v>5.25</v>
      </c>
      <c r="AU261">
        <v>1.6666666666666667</v>
      </c>
      <c r="AV261">
        <v>34.5</v>
      </c>
      <c r="AW261">
        <v>1.0454545454545454</v>
      </c>
      <c r="AX261">
        <v>6</v>
      </c>
      <c r="AY261">
        <v>12</v>
      </c>
      <c r="AZ261">
        <v>1.8</v>
      </c>
      <c r="BA261">
        <v>10</v>
      </c>
      <c r="BB261">
        <v>2</v>
      </c>
      <c r="BC261">
        <v>6.9090909090909092</v>
      </c>
      <c r="BD261">
        <v>1.5555555555555556</v>
      </c>
      <c r="BE261">
        <v>10</v>
      </c>
      <c r="BF261">
        <v>1</v>
      </c>
      <c r="BG261">
        <v>10</v>
      </c>
      <c r="BH261">
        <v>7.333333333333333</v>
      </c>
      <c r="BI261">
        <v>0</v>
      </c>
      <c r="BJ261">
        <v>6.3043478260869561</v>
      </c>
      <c r="BK261">
        <v>2.0833333333333335</v>
      </c>
      <c r="BL261">
        <v>2.2857142857142856</v>
      </c>
      <c r="BM261">
        <v>7</v>
      </c>
      <c r="BN261">
        <v>4.5714285714285712</v>
      </c>
      <c r="BO261">
        <v>9.2307692307692299</v>
      </c>
      <c r="BP261">
        <v>5.25</v>
      </c>
      <c r="BQ261">
        <v>5.6</v>
      </c>
      <c r="BR261">
        <v>8.5714285714285712</v>
      </c>
      <c r="BS261">
        <v>4</v>
      </c>
      <c r="BT261">
        <v>3.2</v>
      </c>
      <c r="BU261">
        <v>1</v>
      </c>
      <c r="BV261">
        <v>6.4285714285714288</v>
      </c>
      <c r="BW261">
        <v>3</v>
      </c>
      <c r="BX261">
        <v>2.875</v>
      </c>
      <c r="BY261">
        <v>5.333333333333333</v>
      </c>
      <c r="BZ261">
        <v>3.2352941176470589</v>
      </c>
      <c r="CA261">
        <v>4</v>
      </c>
      <c r="CB261">
        <v>8.8235294117647065</v>
      </c>
      <c r="CC261">
        <v>1.5555555555555556</v>
      </c>
      <c r="CD261">
        <v>3</v>
      </c>
      <c r="CE261">
        <v>6</v>
      </c>
      <c r="CF261">
        <v>3</v>
      </c>
      <c r="CG261">
        <v>3.3333333333333335</v>
      </c>
      <c r="CH261">
        <v>5.2</v>
      </c>
      <c r="CI261">
        <v>2.5</v>
      </c>
      <c r="CJ261">
        <v>3.8461538461538463</v>
      </c>
      <c r="CK261">
        <v>2.967741935483871</v>
      </c>
      <c r="CL261">
        <v>3.25</v>
      </c>
      <c r="CM261">
        <v>2.25</v>
      </c>
      <c r="CN261">
        <v>2.1304347826086958</v>
      </c>
      <c r="CO261">
        <v>0.66666666666666663</v>
      </c>
      <c r="CP261">
        <v>1</v>
      </c>
      <c r="CQ261">
        <v>1.25</v>
      </c>
      <c r="CR261">
        <v>3.4285714285714284</v>
      </c>
      <c r="CS261">
        <v>3</v>
      </c>
      <c r="CT261">
        <v>3.3333333333333335</v>
      </c>
      <c r="CU261">
        <v>0</v>
      </c>
      <c r="CV261">
        <v>3.2727272727272729</v>
      </c>
      <c r="CW261">
        <v>6</v>
      </c>
      <c r="CX261">
        <v>7.7142857142857144</v>
      </c>
      <c r="CY261">
        <v>0.7142857142857143</v>
      </c>
      <c r="CZ261">
        <v>6.625</v>
      </c>
      <c r="DA261">
        <v>1.2045454545454546</v>
      </c>
      <c r="DB261">
        <v>2</v>
      </c>
      <c r="DC261">
        <v>4.4230769230769234</v>
      </c>
      <c r="DD261">
        <v>2.8333333333333335</v>
      </c>
      <c r="DE261">
        <v>6</v>
      </c>
      <c r="DF261">
        <v>5</v>
      </c>
      <c r="DG261">
        <v>5.2666666666666666</v>
      </c>
      <c r="DH261">
        <v>10.8</v>
      </c>
      <c r="DI261">
        <v>1.7142857142857142</v>
      </c>
      <c r="DJ261">
        <v>3</v>
      </c>
      <c r="DK261">
        <v>4.7142857142857144</v>
      </c>
      <c r="DL261">
        <v>4.333333333333333</v>
      </c>
      <c r="DM261">
        <v>4</v>
      </c>
      <c r="DN261">
        <v>7.2</v>
      </c>
      <c r="DO261">
        <v>16.8</v>
      </c>
      <c r="DP261">
        <v>0</v>
      </c>
      <c r="DQ261">
        <v>3.5</v>
      </c>
      <c r="DR261">
        <v>5</v>
      </c>
      <c r="DS261">
        <v>3.2127659574468086</v>
      </c>
      <c r="DT261">
        <v>5.6923076923076925</v>
      </c>
      <c r="DU261">
        <v>1.3571428571428572</v>
      </c>
      <c r="DV261">
        <v>5.1428571428571432</v>
      </c>
      <c r="DW261">
        <v>2.25</v>
      </c>
      <c r="DX261">
        <v>5</v>
      </c>
      <c r="DY261">
        <v>2</v>
      </c>
      <c r="DZ261">
        <v>3</v>
      </c>
      <c r="EA261">
        <v>3</v>
      </c>
      <c r="EB261">
        <v>4.9130434782608692</v>
      </c>
      <c r="EC261">
        <v>4.1566170712607677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ECB6F-3903-4E52-B34E-BE19BEDB2F87}">
  <dimension ref="A1:U260"/>
  <sheetViews>
    <sheetView zoomScale="60" zoomScaleNormal="60" workbookViewId="0">
      <selection activeCell="N5" sqref="N5:N23"/>
    </sheetView>
  </sheetViews>
  <sheetFormatPr baseColWidth="10" defaultRowHeight="14.5" x14ac:dyDescent="0.35"/>
  <cols>
    <col min="1" max="1" width="15.54296875" bestFit="1" customWidth="1"/>
    <col min="2" max="2" width="34.90625" customWidth="1"/>
    <col min="3" max="3" width="19.26953125" style="8" customWidth="1"/>
    <col min="4" max="4" width="11.08984375" style="11" bestFit="1" customWidth="1"/>
    <col min="5" max="5" width="11" style="11" bestFit="1" customWidth="1"/>
    <col min="6" max="6" width="12.7265625" customWidth="1"/>
    <col min="8" max="9" width="11.6328125" bestFit="1" customWidth="1"/>
    <col min="10" max="10" width="15.54296875" hidden="1" customWidth="1"/>
    <col min="11" max="11" width="27.90625" bestFit="1" customWidth="1"/>
    <col min="15" max="15" width="18.90625" customWidth="1"/>
    <col min="16" max="16" width="25" customWidth="1"/>
    <col min="18" max="18" width="9.6328125" bestFit="1" customWidth="1"/>
    <col min="19" max="19" width="13.81640625" customWidth="1"/>
    <col min="21" max="21" width="8.7265625" customWidth="1"/>
  </cols>
  <sheetData>
    <row r="1" spans="1:21" ht="18.5" x14ac:dyDescent="0.45">
      <c r="A1" s="24" t="s">
        <v>437</v>
      </c>
      <c r="J1" s="24"/>
    </row>
    <row r="3" spans="1:21" x14ac:dyDescent="0.35">
      <c r="A3" s="4" t="s">
        <v>427</v>
      </c>
      <c r="B3" s="4"/>
      <c r="D3" s="11">
        <f>SUM(D5:D24)</f>
        <v>6064.6400000000012</v>
      </c>
      <c r="E3" s="11">
        <f>SUM(E5:E24)</f>
        <v>4776.7400000000007</v>
      </c>
      <c r="H3" s="43" t="s">
        <v>442</v>
      </c>
      <c r="I3" s="43"/>
      <c r="J3" s="4"/>
      <c r="L3" s="17">
        <f>SUM(L5:L27)</f>
        <v>58</v>
      </c>
      <c r="M3" s="21">
        <f>SUM(M5:M27)</f>
        <v>6872.37</v>
      </c>
      <c r="N3" s="21">
        <f>SUM(N5:N27)</f>
        <v>5150.07</v>
      </c>
    </row>
    <row r="4" spans="1:21" s="7" customFormat="1" ht="74" customHeight="1" x14ac:dyDescent="0.35">
      <c r="A4" s="6" t="s">
        <v>4</v>
      </c>
      <c r="B4" s="6" t="s">
        <v>434</v>
      </c>
      <c r="C4" s="9" t="s">
        <v>428</v>
      </c>
      <c r="D4" s="12" t="s">
        <v>429</v>
      </c>
      <c r="E4" s="23" t="s">
        <v>430</v>
      </c>
      <c r="F4" s="9" t="s">
        <v>432</v>
      </c>
      <c r="G4" s="9" t="s">
        <v>433</v>
      </c>
      <c r="H4" s="12" t="s">
        <v>429</v>
      </c>
      <c r="I4" s="12" t="s">
        <v>430</v>
      </c>
      <c r="J4" s="6"/>
      <c r="K4" s="29" t="s">
        <v>435</v>
      </c>
      <c r="L4" s="22" t="s">
        <v>436</v>
      </c>
      <c r="M4" s="12" t="s">
        <v>429</v>
      </c>
      <c r="N4" s="23" t="s">
        <v>430</v>
      </c>
      <c r="O4" s="25" t="s">
        <v>438</v>
      </c>
      <c r="P4" s="25" t="s">
        <v>439</v>
      </c>
      <c r="Q4" s="25" t="s">
        <v>440</v>
      </c>
      <c r="R4" s="25" t="s">
        <v>444</v>
      </c>
      <c r="S4" s="26" t="s">
        <v>441</v>
      </c>
      <c r="T4" s="26" t="s">
        <v>439</v>
      </c>
      <c r="U4" s="26" t="s">
        <v>440</v>
      </c>
    </row>
    <row r="5" spans="1:21" x14ac:dyDescent="0.35">
      <c r="A5" t="s">
        <v>134</v>
      </c>
      <c r="B5" s="17" t="str">
        <f>_xlfn.XLOOKUP(A:A,[1]Hoja1!$C:$C,[1]Hoja1!$D:$D,"",0,1)</f>
        <v>IMPERGLOSI AGUACERO BLANCO 3A</v>
      </c>
      <c r="C5" s="8">
        <v>61</v>
      </c>
      <c r="D5" s="13">
        <f>_xlfn.XLOOKUP(A:A,[2]Hoja1!$C:$C,[2]Hoja1!$H:$H,"",0,1)</f>
        <v>885.34</v>
      </c>
      <c r="E5" s="13">
        <f>_xlfn.XLOOKUP(A:A,[1]Hoja1!$C:$C,[1]Hoja1!$H:$H,"",0,1)</f>
        <v>708.62</v>
      </c>
      <c r="F5" s="14">
        <f>_xlfn.XLOOKUP(A:A,TD!A:A,TD!EC:EC,"",0,1)</f>
        <v>3.459016393442623</v>
      </c>
      <c r="G5" s="15">
        <f>INT(F5)</f>
        <v>3</v>
      </c>
      <c r="H5" s="16">
        <f>D5*$G$5</f>
        <v>2656.02</v>
      </c>
      <c r="I5" s="16">
        <f>E5*$G$5</f>
        <v>2125.86</v>
      </c>
      <c r="J5" t="s">
        <v>134</v>
      </c>
      <c r="K5" t="str">
        <f>_xlfn.XLOOKUP(J:J,'[3]FILTROS 2'!$A:$A,'[3]FILTROS 2'!$E:$E,"",0,1)</f>
        <v>IMPERGLOSI AGUACERO 3 AÑOS</v>
      </c>
      <c r="L5" s="30"/>
      <c r="M5" s="16">
        <f>$L$5*D5</f>
        <v>0</v>
      </c>
      <c r="N5" s="16">
        <f>$L5*E5</f>
        <v>0</v>
      </c>
      <c r="O5">
        <f>_xlfn.XLOOKUP(A:A,[4]TD90D!$A:$A,[4]TD90D!$CW:$CW,"",0,1)</f>
        <v>65</v>
      </c>
      <c r="P5">
        <f>_xlfn.XLOOKUP(A:A,[4]TD90D!$A:$A,[4]TD90D!$CX:$CX,"",0,1)</f>
        <v>25</v>
      </c>
      <c r="Q5">
        <f>_xlfn.XLOOKUP(A:A,[4]TD90D!$A:$A,[4]TD90D!$DA:$DA,"",0,1)</f>
        <v>2</v>
      </c>
      <c r="R5" s="31">
        <f>P5/C5</f>
        <v>0.4098360655737705</v>
      </c>
      <c r="S5">
        <f>_xlfn.XLOOKUP(A:A,'[4]TD90D PZAS'!$A:$A,'[4]TD90D PZAS'!$CW:$CW,"",0,1)</f>
        <v>244</v>
      </c>
      <c r="T5">
        <f>_xlfn.XLOOKUP(A:A,'[4]TD90D PZAS'!$A:$A,'[4]TD90D PZAS'!$CX:$CX,"",0,1)</f>
        <v>23</v>
      </c>
      <c r="U5">
        <f>_xlfn.XLOOKUP(A:A,'[4]TD90D PZAS'!$A:$A,'[4]TD90D PZAS'!$DA:$DA,"",0,1)</f>
        <v>2</v>
      </c>
    </row>
    <row r="6" spans="1:21" x14ac:dyDescent="0.35">
      <c r="A6" t="s">
        <v>135</v>
      </c>
      <c r="B6" s="17" t="str">
        <f>_xlfn.XLOOKUP(A:A,[1]Hoja1!$C:$C,[1]Hoja1!$D:$D,"",0,1)</f>
        <v>IMPERGLOSI AGUACERO TERRACOTA 3A</v>
      </c>
      <c r="C6" s="8">
        <v>52</v>
      </c>
      <c r="D6" s="13">
        <f>_xlfn.XLOOKUP(A:A,[2]Hoja1!$C:$C,[2]Hoja1!$H:$H,"",0,1)</f>
        <v>885.34</v>
      </c>
      <c r="E6" s="13">
        <f>_xlfn.XLOOKUP(A:A,[1]Hoja1!$C:$C,[1]Hoja1!$H:$H,"",0,1)</f>
        <v>708.62</v>
      </c>
      <c r="F6" s="14">
        <f>_xlfn.XLOOKUP(A:A,TD!A:A,TD!EC:EC,"",0,1)</f>
        <v>4.0769230769230766</v>
      </c>
      <c r="G6" s="15">
        <f t="shared" ref="G6:G69" si="0">INT(F6)</f>
        <v>4</v>
      </c>
      <c r="H6" s="16">
        <f t="shared" ref="H6:H69" si="1">D6*$G$5</f>
        <v>2656.02</v>
      </c>
      <c r="I6" s="16">
        <f t="shared" ref="I6:I69" si="2">E6*$G$5</f>
        <v>2125.86</v>
      </c>
      <c r="J6" t="s">
        <v>135</v>
      </c>
      <c r="K6" t="str">
        <f>_xlfn.XLOOKUP(J:J,'[3]FILTROS 2'!$A:$A,'[3]FILTROS 2'!$E:$E,"",0,1)</f>
        <v>IMPERGLOSI AGUACERO 3 AÑOS</v>
      </c>
      <c r="L6" s="30"/>
      <c r="M6" s="16">
        <f t="shared" ref="M6:M21" si="3">L6*D6</f>
        <v>0</v>
      </c>
      <c r="N6" s="16">
        <f t="shared" ref="N6:N22" si="4">$L6*E6</f>
        <v>0</v>
      </c>
      <c r="O6">
        <f>_xlfn.XLOOKUP(A:A,[4]TD90D!$A:$A,[4]TD90D!$CW:$CW,"",0,1)</f>
        <v>81</v>
      </c>
      <c r="P6">
        <f>_xlfn.XLOOKUP(A:A,[4]TD90D!$A:$A,[4]TD90D!$CX:$CX,"",0,1)</f>
        <v>25</v>
      </c>
      <c r="Q6">
        <f>_xlfn.XLOOKUP(A:A,[4]TD90D!$A:$A,[4]TD90D!$DA:$DA,"",0,1)</f>
        <v>1</v>
      </c>
      <c r="R6" s="31">
        <f t="shared" ref="R6:R69" si="5">P6/C6</f>
        <v>0.48076923076923078</v>
      </c>
      <c r="S6">
        <f>_xlfn.XLOOKUP(A:A,'[4]TD90D PZAS'!$A:$A,'[4]TD90D PZAS'!$CW:$CW,"",0,1)</f>
        <v>353</v>
      </c>
      <c r="T6">
        <f>_xlfn.XLOOKUP(A:A,'[4]TD90D PZAS'!$A:$A,'[4]TD90D PZAS'!$CX:$CX,"",0,1)</f>
        <v>23</v>
      </c>
      <c r="U6">
        <f>_xlfn.XLOOKUP(A:A,'[4]TD90D PZAS'!$A:$A,'[4]TD90D PZAS'!$DA:$DA,"",0,1)</f>
        <v>1</v>
      </c>
    </row>
    <row r="7" spans="1:21" x14ac:dyDescent="0.35">
      <c r="A7" t="s">
        <v>46</v>
      </c>
      <c r="B7" t="str">
        <f>_xlfn.XLOOKUP(A:A,[1]Hoja1!$C:$C,[1]Hoja1!$D:$D,"",0,1)</f>
        <v>BRILLON NEGRO</v>
      </c>
      <c r="C7" s="8">
        <v>52</v>
      </c>
      <c r="D7" s="13">
        <f>_xlfn.XLOOKUP(A:A,[2]Hoja1!$C:$C,[2]Hoja1!$H:$H,"",0,1)</f>
        <v>150.86000000000001</v>
      </c>
      <c r="E7" s="13">
        <f>_xlfn.XLOOKUP(A:A,[1]Hoja1!$C:$C,[1]Hoja1!$H:$H,"",0,1)</f>
        <v>112.93</v>
      </c>
      <c r="F7" s="14">
        <f>_xlfn.XLOOKUP(A:A,TD!A:A,TD!EC:EC,"",0,1)</f>
        <v>3.9423076923076925</v>
      </c>
      <c r="G7" s="19">
        <f t="shared" si="0"/>
        <v>3</v>
      </c>
      <c r="H7" s="18">
        <f t="shared" si="1"/>
        <v>452.58000000000004</v>
      </c>
      <c r="I7" s="16">
        <f t="shared" si="2"/>
        <v>338.79</v>
      </c>
      <c r="J7" s="27">
        <v>28984</v>
      </c>
      <c r="K7" t="str">
        <f>_xlfn.XLOOKUP(J:J,'[3]FILTROS 2'!$A:$A,'[3]FILTROS 2'!$E:$E,"",0,1)</f>
        <v>ESMALTE - BRILLON</v>
      </c>
      <c r="L7" s="30">
        <v>4</v>
      </c>
      <c r="M7" s="16">
        <f t="shared" si="3"/>
        <v>603.44000000000005</v>
      </c>
      <c r="N7" s="16">
        <f t="shared" si="4"/>
        <v>451.72</v>
      </c>
      <c r="O7">
        <f>_xlfn.XLOOKUP(A:A,[4]TD90D!$A:$A,[4]TD90D!$CW:$CW,"",0,1)</f>
        <v>58</v>
      </c>
      <c r="P7">
        <f>_xlfn.XLOOKUP(A:A,[4]TD90D!$A:$A,[4]TD90D!$CX:$CX,"",0,1)</f>
        <v>22</v>
      </c>
      <c r="Q7">
        <f>_xlfn.XLOOKUP(A:A,[4]TD90D!$A:$A,[4]TD90D!$DA:$DA,"",0,1)</f>
        <v>3</v>
      </c>
      <c r="R7" s="31">
        <f t="shared" si="5"/>
        <v>0.42307692307692307</v>
      </c>
      <c r="S7">
        <f>_xlfn.XLOOKUP(A:A,'[4]TD90D PZAS'!$A:$A,'[4]TD90D PZAS'!$CW:$CW,"",0,1)</f>
        <v>293</v>
      </c>
      <c r="T7">
        <f>_xlfn.XLOOKUP(A:A,'[4]TD90D PZAS'!$A:$A,'[4]TD90D PZAS'!$CX:$CX,"",0,1)</f>
        <v>21</v>
      </c>
      <c r="U7">
        <f>_xlfn.XLOOKUP(A:A,'[4]TD90D PZAS'!$A:$A,'[4]TD90D PZAS'!$DA:$DA,"",0,1)</f>
        <v>3</v>
      </c>
    </row>
    <row r="8" spans="1:21" x14ac:dyDescent="0.35">
      <c r="A8" t="s">
        <v>42</v>
      </c>
      <c r="B8" t="str">
        <f>_xlfn.XLOOKUP(A:A,[1]Hoja1!$C:$C,[1]Hoja1!$D:$D,"",0,1)</f>
        <v>ESMALTE BRILLON BLANCO</v>
      </c>
      <c r="C8" s="8">
        <v>48</v>
      </c>
      <c r="D8" s="13">
        <f>_xlfn.XLOOKUP(A:A,[2]Hoja1!$C:$C,[2]Hoja1!$H:$H,"",0,1)</f>
        <v>150.86000000000001</v>
      </c>
      <c r="E8" s="13">
        <f>_xlfn.XLOOKUP(A:A,[1]Hoja1!$C:$C,[1]Hoja1!$H:$H,"",0,1)</f>
        <v>112.93</v>
      </c>
      <c r="F8" s="14">
        <f>_xlfn.XLOOKUP(A:A,TD!A:A,TD!EC:EC,"",0,1)</f>
        <v>4.166666666666667</v>
      </c>
      <c r="G8" s="19">
        <f t="shared" si="0"/>
        <v>4</v>
      </c>
      <c r="H8" s="18">
        <f t="shared" si="1"/>
        <v>452.58000000000004</v>
      </c>
      <c r="I8" s="16">
        <f t="shared" si="2"/>
        <v>338.79</v>
      </c>
      <c r="J8" s="27">
        <v>28004</v>
      </c>
      <c r="K8" t="str">
        <f>_xlfn.XLOOKUP(J:J,'[3]FILTROS 2'!$A:$A,'[3]FILTROS 2'!$E:$E,"",0,1)</f>
        <v>ESMALTE - BRILLON</v>
      </c>
      <c r="L8" s="30">
        <v>4</v>
      </c>
      <c r="M8" s="16">
        <f t="shared" si="3"/>
        <v>603.44000000000005</v>
      </c>
      <c r="N8" s="16">
        <f t="shared" si="4"/>
        <v>451.72</v>
      </c>
      <c r="O8">
        <f>_xlfn.XLOOKUP(A:A,[4]TD90D!$A:$A,[4]TD90D!$CW:$CW,"",0,1)</f>
        <v>57</v>
      </c>
      <c r="P8">
        <f>_xlfn.XLOOKUP(A:A,[4]TD90D!$A:$A,[4]TD90D!$CX:$CX,"",0,1)</f>
        <v>21</v>
      </c>
      <c r="Q8">
        <f>_xlfn.XLOOKUP(A:A,[4]TD90D!$A:$A,[4]TD90D!$DA:$DA,"",0,1)</f>
        <v>4</v>
      </c>
      <c r="R8" s="31">
        <f t="shared" si="5"/>
        <v>0.4375</v>
      </c>
      <c r="S8">
        <f>_xlfn.XLOOKUP(A:A,'[4]TD90D PZAS'!$A:$A,'[4]TD90D PZAS'!$CW:$CW,"",0,1)</f>
        <v>308</v>
      </c>
      <c r="T8">
        <f>_xlfn.XLOOKUP(A:A,'[4]TD90D PZAS'!$A:$A,'[4]TD90D PZAS'!$CX:$CX,"",0,1)</f>
        <v>20</v>
      </c>
      <c r="U8">
        <f>_xlfn.XLOOKUP(A:A,'[4]TD90D PZAS'!$A:$A,'[4]TD90D PZAS'!$DA:$DA,"",0,1)</f>
        <v>4</v>
      </c>
    </row>
    <row r="9" spans="1:21" x14ac:dyDescent="0.35">
      <c r="A9" t="s">
        <v>59</v>
      </c>
      <c r="B9" t="str">
        <f>_xlfn.XLOOKUP(A:A,[1]Hoja1!$C:$C,[1]Hoja1!$D:$D,"",0,1)</f>
        <v>BRILLON BLANCO</v>
      </c>
      <c r="C9" s="8">
        <v>46</v>
      </c>
      <c r="D9" s="13">
        <f>_xlfn.XLOOKUP(A:A,[2]Hoja1!$C:$C,[2]Hoja1!$H:$H,"",0,1)</f>
        <v>90.52</v>
      </c>
      <c r="E9" s="13">
        <f>_xlfn.XLOOKUP(A:A,[1]Hoja1!$C:$C,[1]Hoja1!$H:$H,"",0,1)</f>
        <v>67.239999999999995</v>
      </c>
      <c r="F9" s="14">
        <f>_xlfn.XLOOKUP(A:A,TD!A:A,TD!EC:EC,"",0,1)</f>
        <v>3.6956521739130435</v>
      </c>
      <c r="G9" s="19">
        <f t="shared" si="0"/>
        <v>3</v>
      </c>
      <c r="H9" s="18">
        <f t="shared" si="1"/>
        <v>271.56</v>
      </c>
      <c r="I9" s="16">
        <f t="shared" si="2"/>
        <v>201.71999999999997</v>
      </c>
      <c r="J9" s="27">
        <v>28005</v>
      </c>
      <c r="K9" t="str">
        <f>_xlfn.XLOOKUP(J:J,'[3]FILTROS 2'!$A:$A,'[3]FILTROS 2'!$E:$E,"",0,1)</f>
        <v>ESMALTE - BRILLON</v>
      </c>
      <c r="L9" s="30">
        <v>3</v>
      </c>
      <c r="M9" s="16">
        <f t="shared" si="3"/>
        <v>271.56</v>
      </c>
      <c r="N9" s="16">
        <f t="shared" si="4"/>
        <v>201.71999999999997</v>
      </c>
      <c r="O9">
        <f>_xlfn.XLOOKUP(A:A,[4]TD90D!$A:$A,[4]TD90D!$CW:$CW,"",0,1)</f>
        <v>46</v>
      </c>
      <c r="P9">
        <f>_xlfn.XLOOKUP(A:A,[4]TD90D!$A:$A,[4]TD90D!$CX:$CX,"",0,1)</f>
        <v>16</v>
      </c>
      <c r="Q9">
        <f>_xlfn.XLOOKUP(A:A,[4]TD90D!$A:$A,[4]TD90D!$DA:$DA,"",0,1)</f>
        <v>5</v>
      </c>
      <c r="R9" s="31">
        <f t="shared" si="5"/>
        <v>0.34782608695652173</v>
      </c>
      <c r="S9">
        <f>_xlfn.XLOOKUP(A:A,'[4]TD90D PZAS'!$A:$A,'[4]TD90D PZAS'!$CW:$CW,"",0,1)</f>
        <v>211</v>
      </c>
      <c r="T9">
        <f>_xlfn.XLOOKUP(A:A,'[4]TD90D PZAS'!$A:$A,'[4]TD90D PZAS'!$CX:$CX,"",0,1)</f>
        <v>15</v>
      </c>
      <c r="U9">
        <f>_xlfn.XLOOKUP(A:A,'[4]TD90D PZAS'!$A:$A,'[4]TD90D PZAS'!$DA:$DA,"",0,1)</f>
        <v>6</v>
      </c>
    </row>
    <row r="10" spans="1:21" x14ac:dyDescent="0.35">
      <c r="A10" t="s">
        <v>74</v>
      </c>
      <c r="B10" t="str">
        <f>_xlfn.XLOOKUP(A:A,[1]Hoja1!$C:$C,[1]Hoja1!$D:$D,"",0,1)</f>
        <v>BRILLON NEGRO</v>
      </c>
      <c r="C10" s="8">
        <v>36</v>
      </c>
      <c r="D10" s="13">
        <f>_xlfn.XLOOKUP(A:A,[2]Hoja1!$C:$C,[2]Hoja1!$H:$H,"",0,1)</f>
        <v>90.52</v>
      </c>
      <c r="E10" s="13">
        <f>_xlfn.XLOOKUP(A:A,[1]Hoja1!$C:$C,[1]Hoja1!$H:$H,"",0,1)</f>
        <v>67.239999999999995</v>
      </c>
      <c r="F10" s="14">
        <f>_xlfn.XLOOKUP(A:A,TD!A:A,TD!EC:EC,"",0,1)</f>
        <v>4.1944444444444446</v>
      </c>
      <c r="G10" s="19">
        <f t="shared" si="0"/>
        <v>4</v>
      </c>
      <c r="H10" s="18">
        <f t="shared" si="1"/>
        <v>271.56</v>
      </c>
      <c r="I10" s="16">
        <f t="shared" si="2"/>
        <v>201.71999999999997</v>
      </c>
      <c r="J10" s="27">
        <v>28985</v>
      </c>
      <c r="K10" t="str">
        <f>_xlfn.XLOOKUP(J:J,'[3]FILTROS 2'!$A:$A,'[3]FILTROS 2'!$E:$E,"",0,1)</f>
        <v>ESMALTE - BRILLON</v>
      </c>
      <c r="L10" s="30">
        <v>4</v>
      </c>
      <c r="M10" s="16">
        <f t="shared" si="3"/>
        <v>362.08</v>
      </c>
      <c r="N10" s="16">
        <f t="shared" si="4"/>
        <v>268.95999999999998</v>
      </c>
      <c r="O10">
        <f>_xlfn.XLOOKUP(A:A,[4]TD90D!$A:$A,[4]TD90D!$CW:$CW,"",0,1)</f>
        <v>28</v>
      </c>
      <c r="P10">
        <f>_xlfn.XLOOKUP(A:A,[4]TD90D!$A:$A,[4]TD90D!$CX:$CX,"",0,1)</f>
        <v>12</v>
      </c>
      <c r="Q10">
        <f>_xlfn.XLOOKUP(A:A,[4]TD90D!$A:$A,[4]TD90D!$DA:$DA,"",0,1)</f>
        <v>8</v>
      </c>
      <c r="R10" s="31">
        <f t="shared" si="5"/>
        <v>0.33333333333333331</v>
      </c>
      <c r="S10">
        <f>_xlfn.XLOOKUP(A:A,'[4]TD90D PZAS'!$A:$A,'[4]TD90D PZAS'!$CW:$CW,"",0,1)</f>
        <v>105</v>
      </c>
      <c r="T10">
        <f>_xlfn.XLOOKUP(A:A,'[4]TD90D PZAS'!$A:$A,'[4]TD90D PZAS'!$CX:$CX,"",0,1)</f>
        <v>11</v>
      </c>
      <c r="U10">
        <f>_xlfn.XLOOKUP(A:A,'[4]TD90D PZAS'!$A:$A,'[4]TD90D PZAS'!$DA:$DA,"",0,1)</f>
        <v>11</v>
      </c>
    </row>
    <row r="11" spans="1:21" x14ac:dyDescent="0.35">
      <c r="A11" t="s">
        <v>133</v>
      </c>
      <c r="B11" t="str">
        <f>_xlfn.XLOOKUP(A:A,[1]Hoja1!$C:$C,[1]Hoja1!$D:$D,"",0,1)</f>
        <v>BRILLON NEGRO</v>
      </c>
      <c r="C11" s="8">
        <v>32</v>
      </c>
      <c r="D11" s="13">
        <f>_xlfn.XLOOKUP(A:A,[2]Hoja1!$C:$C,[2]Hoja1!$H:$H,"",0,1)</f>
        <v>58.62</v>
      </c>
      <c r="E11" s="13">
        <f>_xlfn.XLOOKUP(A:A,[1]Hoja1!$C:$C,[1]Hoja1!$H:$H,"",0,1)</f>
        <v>43.97</v>
      </c>
      <c r="F11" s="14">
        <f>_xlfn.XLOOKUP(A:A,TD!A:A,TD!EC:EC,"",0,1)</f>
        <v>5.21875</v>
      </c>
      <c r="G11" s="19">
        <f t="shared" si="0"/>
        <v>5</v>
      </c>
      <c r="H11" s="18">
        <f t="shared" si="1"/>
        <v>175.85999999999999</v>
      </c>
      <c r="I11" s="16">
        <f t="shared" si="2"/>
        <v>131.91</v>
      </c>
      <c r="J11" s="27">
        <v>28986</v>
      </c>
      <c r="K11" t="str">
        <f>_xlfn.XLOOKUP(J:J,'[3]FILTROS 2'!$A:$A,'[3]FILTROS 2'!$E:$E,"",0,1)</f>
        <v>ESMALTE - BRILLON</v>
      </c>
      <c r="L11" s="30">
        <v>4</v>
      </c>
      <c r="M11" s="16">
        <f t="shared" si="3"/>
        <v>234.48</v>
      </c>
      <c r="N11" s="16">
        <f t="shared" si="4"/>
        <v>175.88</v>
      </c>
      <c r="O11">
        <f>_xlfn.XLOOKUP(A:A,[4]TD90D!$A:$A,[4]TD90D!$CW:$CW,"",0,1)</f>
        <v>29</v>
      </c>
      <c r="P11">
        <f>_xlfn.XLOOKUP(A:A,[4]TD90D!$A:$A,[4]TD90D!$CX:$CX,"",0,1)</f>
        <v>11</v>
      </c>
      <c r="Q11">
        <f>_xlfn.XLOOKUP(A:A,[4]TD90D!$A:$A,[4]TD90D!$DA:$DA,"",0,1)</f>
        <v>10</v>
      </c>
      <c r="R11" s="31">
        <f t="shared" si="5"/>
        <v>0.34375</v>
      </c>
      <c r="S11">
        <f>_xlfn.XLOOKUP(A:A,'[4]TD90D PZAS'!$A:$A,'[4]TD90D PZAS'!$CW:$CW,"",0,1)</f>
        <v>154</v>
      </c>
      <c r="T11">
        <f>_xlfn.XLOOKUP(A:A,'[4]TD90D PZAS'!$A:$A,'[4]TD90D PZAS'!$CX:$CX,"",0,1)</f>
        <v>11</v>
      </c>
      <c r="U11">
        <f>_xlfn.XLOOKUP(A:A,'[4]TD90D PZAS'!$A:$A,'[4]TD90D PZAS'!$DA:$DA,"",0,1)</f>
        <v>8</v>
      </c>
    </row>
    <row r="12" spans="1:21" x14ac:dyDescent="0.35">
      <c r="A12" t="s">
        <v>79</v>
      </c>
      <c r="B12" t="str">
        <f>_xlfn.XLOOKUP(A:A,[1]Hoja1!$C:$C,[1]Hoja1!$D:$D,"",0,1)</f>
        <v>BRILLON BLANCO</v>
      </c>
      <c r="C12" s="8">
        <v>32</v>
      </c>
      <c r="D12" s="13">
        <f>_xlfn.XLOOKUP(A:A,[2]Hoja1!$C:$C,[2]Hoja1!$H:$H,"",0,1)</f>
        <v>58.62</v>
      </c>
      <c r="E12" s="13">
        <f>_xlfn.XLOOKUP(A:A,[1]Hoja1!$C:$C,[1]Hoja1!$H:$H,"",0,1)</f>
        <v>43.97</v>
      </c>
      <c r="F12" s="14">
        <f>_xlfn.XLOOKUP(A:A,TD!A:A,TD!EC:EC,"",0,1)</f>
        <v>5.21875</v>
      </c>
      <c r="G12" s="19">
        <f t="shared" si="0"/>
        <v>5</v>
      </c>
      <c r="H12" s="18">
        <f t="shared" si="1"/>
        <v>175.85999999999999</v>
      </c>
      <c r="I12" s="16">
        <f t="shared" si="2"/>
        <v>131.91</v>
      </c>
      <c r="J12" s="27">
        <v>28006</v>
      </c>
      <c r="K12" t="str">
        <f>_xlfn.XLOOKUP(J:J,'[3]FILTROS 2'!$A:$A,'[3]FILTROS 2'!$E:$E,"",0,1)</f>
        <v>ESMALTE - BRILLON</v>
      </c>
      <c r="L12" s="30">
        <v>4</v>
      </c>
      <c r="M12" s="16">
        <f t="shared" si="3"/>
        <v>234.48</v>
      </c>
      <c r="N12" s="16">
        <f t="shared" si="4"/>
        <v>175.88</v>
      </c>
      <c r="O12">
        <f>_xlfn.XLOOKUP(A:A,[4]TD90D!$A:$A,[4]TD90D!$CW:$CW,"",0,1)</f>
        <v>26</v>
      </c>
      <c r="P12">
        <f>_xlfn.XLOOKUP(A:A,[4]TD90D!$A:$A,[4]TD90D!$CX:$CX,"",0,1)</f>
        <v>11</v>
      </c>
      <c r="Q12">
        <f>_xlfn.XLOOKUP(A:A,[4]TD90D!$A:$A,[4]TD90D!$DA:$DA,"",0,1)</f>
        <v>12</v>
      </c>
      <c r="R12" s="31">
        <f t="shared" si="5"/>
        <v>0.34375</v>
      </c>
      <c r="S12">
        <f>_xlfn.XLOOKUP(A:A,'[4]TD90D PZAS'!$A:$A,'[4]TD90D PZAS'!$CW:$CW,"",0,1)</f>
        <v>130</v>
      </c>
      <c r="T12">
        <f>_xlfn.XLOOKUP(A:A,'[4]TD90D PZAS'!$A:$A,'[4]TD90D PZAS'!$CX:$CX,"",0,1)</f>
        <v>11</v>
      </c>
      <c r="U12">
        <f>_xlfn.XLOOKUP(A:A,'[4]TD90D PZAS'!$A:$A,'[4]TD90D PZAS'!$DA:$DA,"",0,1)</f>
        <v>10</v>
      </c>
    </row>
    <row r="13" spans="1:21" x14ac:dyDescent="0.35">
      <c r="A13" t="s">
        <v>9</v>
      </c>
      <c r="B13" t="str">
        <f>_xlfn.XLOOKUP(A:A,[1]Hoja1!$C:$C,[1]Hoja1!$D:$D,"",0,1)</f>
        <v>AEROSOL NEGRO BRILLANTE</v>
      </c>
      <c r="C13" s="8">
        <v>30</v>
      </c>
      <c r="D13" s="13">
        <f>_xlfn.XLOOKUP(A:A,[2]Hoja1!$C:$C,[2]Hoja1!$H:$H,"",0,1)</f>
        <v>55.17</v>
      </c>
      <c r="E13" s="13">
        <f>_xlfn.XLOOKUP(A:A,[1]Hoja1!$C:$C,[1]Hoja1!$H:$H,"",0,1)</f>
        <v>41.38</v>
      </c>
      <c r="F13" s="14">
        <f>_xlfn.XLOOKUP(A:A,TD!A:A,TD!EC:EC,"",0,1)</f>
        <v>6.2</v>
      </c>
      <c r="G13" s="19">
        <f t="shared" si="0"/>
        <v>6</v>
      </c>
      <c r="H13" s="18">
        <f t="shared" si="1"/>
        <v>165.51</v>
      </c>
      <c r="I13" s="16">
        <f t="shared" si="2"/>
        <v>124.14000000000001</v>
      </c>
      <c r="J13" s="27">
        <v>2399</v>
      </c>
      <c r="K13" t="str">
        <f>_xlfn.XLOOKUP(J:J,'[3]FILTROS 2'!$A:$A,'[3]FILTROS 2'!$E:$E,"",0,1)</f>
        <v>AEROSOLES PRISA</v>
      </c>
      <c r="L13" s="30">
        <v>6</v>
      </c>
      <c r="M13" s="16">
        <f t="shared" si="3"/>
        <v>331.02</v>
      </c>
      <c r="N13" s="16">
        <f t="shared" si="4"/>
        <v>248.28000000000003</v>
      </c>
      <c r="O13">
        <f>_xlfn.XLOOKUP(A:A,[4]TD90D!$A:$A,[4]TD90D!$CW:$CW,"",0,1)</f>
        <v>44</v>
      </c>
      <c r="P13">
        <f>_xlfn.XLOOKUP(A:A,[4]TD90D!$A:$A,[4]TD90D!$CX:$CX,"",0,1)</f>
        <v>16</v>
      </c>
      <c r="Q13">
        <f>_xlfn.XLOOKUP(A:A,[4]TD90D!$A:$A,[4]TD90D!$DA:$DA,"",0,1)</f>
        <v>6</v>
      </c>
      <c r="R13" s="31">
        <f t="shared" si="5"/>
        <v>0.53333333333333333</v>
      </c>
      <c r="S13">
        <f>_xlfn.XLOOKUP(A:A,'[4]TD90D PZAS'!$A:$A,'[4]TD90D PZAS'!$CW:$CW,"",0,1)</f>
        <v>502</v>
      </c>
      <c r="T13">
        <f>_xlfn.XLOOKUP(A:A,'[4]TD90D PZAS'!$A:$A,'[4]TD90D PZAS'!$CX:$CX,"",0,1)</f>
        <v>15</v>
      </c>
      <c r="U13">
        <f>_xlfn.XLOOKUP(A:A,'[4]TD90D PZAS'!$A:$A,'[4]TD90D PZAS'!$DA:$DA,"",0,1)</f>
        <v>5</v>
      </c>
    </row>
    <row r="14" spans="1:21" x14ac:dyDescent="0.35">
      <c r="A14" t="s">
        <v>13</v>
      </c>
      <c r="B14" t="str">
        <f>_xlfn.XLOOKUP(A:A,[1]Hoja1!$C:$C,[1]Hoja1!$D:$D,"",0,1)</f>
        <v>AEROSOL BLANCO BRILLANTE</v>
      </c>
      <c r="C14" s="8">
        <v>26</v>
      </c>
      <c r="D14" s="13">
        <f>_xlfn.XLOOKUP(A:A,[2]Hoja1!$C:$C,[2]Hoja1!$H:$H,"",0,1)</f>
        <v>55.17</v>
      </c>
      <c r="E14" s="13">
        <f>_xlfn.XLOOKUP(A:A,[1]Hoja1!$C:$C,[1]Hoja1!$H:$H,"",0,1)</f>
        <v>41.38</v>
      </c>
      <c r="F14" s="14">
        <f>_xlfn.XLOOKUP(A:A,TD!A:A,TD!EC:EC,"",0,1)</f>
        <v>6.884615384615385</v>
      </c>
      <c r="G14" s="19">
        <f t="shared" si="0"/>
        <v>6</v>
      </c>
      <c r="H14" s="18">
        <f t="shared" si="1"/>
        <v>165.51</v>
      </c>
      <c r="I14" s="16">
        <f t="shared" si="2"/>
        <v>124.14000000000001</v>
      </c>
      <c r="J14" s="27">
        <v>2300</v>
      </c>
      <c r="K14" t="str">
        <f>_xlfn.XLOOKUP(J:J,'[3]FILTROS 2'!$A:$A,'[3]FILTROS 2'!$E:$E,"",0,1)</f>
        <v>AEROSOLES PRISA</v>
      </c>
      <c r="L14" s="30">
        <v>6</v>
      </c>
      <c r="M14" s="16">
        <f t="shared" si="3"/>
        <v>331.02</v>
      </c>
      <c r="N14" s="16">
        <f t="shared" si="4"/>
        <v>248.28000000000003</v>
      </c>
      <c r="O14">
        <f>_xlfn.XLOOKUP(A:A,[4]TD90D!$A:$A,[4]TD90D!$CW:$CW,"",0,1)</f>
        <v>30</v>
      </c>
      <c r="P14">
        <f>_xlfn.XLOOKUP(A:A,[4]TD90D!$A:$A,[4]TD90D!$CX:$CX,"",0,1)</f>
        <v>13</v>
      </c>
      <c r="Q14">
        <f>_xlfn.XLOOKUP(A:A,[4]TD90D!$A:$A,[4]TD90D!$DA:$DA,"",0,1)</f>
        <v>7</v>
      </c>
      <c r="R14" s="31">
        <f t="shared" si="5"/>
        <v>0.5</v>
      </c>
      <c r="S14">
        <f>_xlfn.XLOOKUP(A:A,'[4]TD90D PZAS'!$A:$A,'[4]TD90D PZAS'!$CW:$CW,"",0,1)</f>
        <v>229</v>
      </c>
      <c r="T14">
        <f>_xlfn.XLOOKUP(A:A,'[4]TD90D PZAS'!$A:$A,'[4]TD90D PZAS'!$CX:$CX,"",0,1)</f>
        <v>13</v>
      </c>
      <c r="U14">
        <f>_xlfn.XLOOKUP(A:A,'[4]TD90D PZAS'!$A:$A,'[4]TD90D PZAS'!$DA:$DA,"",0,1)</f>
        <v>7</v>
      </c>
    </row>
    <row r="15" spans="1:21" x14ac:dyDescent="0.35">
      <c r="A15" t="s">
        <v>103</v>
      </c>
      <c r="B15" t="str">
        <f>_xlfn.XLOOKUP(A:A,[1]Hoja1!$C:$C,[1]Hoja1!$D:$D,"",0,1)</f>
        <v>RELLENADOR AUTOMOTRIZ C/CATAL. ROJO</v>
      </c>
      <c r="C15" s="8">
        <v>25</v>
      </c>
      <c r="D15" s="13">
        <f>_xlfn.XLOOKUP(A:A,[2]Hoja1!$C:$C,[2]Hoja1!$H:$H,"",0,1)</f>
        <v>137.07</v>
      </c>
      <c r="E15" s="13">
        <f>_xlfn.XLOOKUP(A:A,[1]Hoja1!$C:$C,[1]Hoja1!$H:$H,"",0,1)</f>
        <v>103.45</v>
      </c>
      <c r="F15" s="14">
        <f>_xlfn.XLOOKUP(A:A,TD!A:A,TD!EC:EC,"",0,1)</f>
        <v>5.16</v>
      </c>
      <c r="G15" s="19">
        <f t="shared" si="0"/>
        <v>5</v>
      </c>
      <c r="H15" s="18">
        <f t="shared" si="1"/>
        <v>411.21</v>
      </c>
      <c r="I15" s="16">
        <f t="shared" si="2"/>
        <v>310.35000000000002</v>
      </c>
      <c r="J15" s="27">
        <v>29014</v>
      </c>
      <c r="K15" t="str">
        <f>_xlfn.XLOOKUP(J:J,'[3]FILTROS 2'!$A:$A,'[3]FILTROS 2'!$E:$E,"",0,1)</f>
        <v>PASTA RELLENADORA</v>
      </c>
      <c r="L15" s="30">
        <v>3</v>
      </c>
      <c r="M15" s="16">
        <f t="shared" si="3"/>
        <v>411.21</v>
      </c>
      <c r="N15" s="16">
        <f t="shared" si="4"/>
        <v>310.35000000000002</v>
      </c>
      <c r="O15">
        <f>_xlfn.XLOOKUP(A:A,[4]TD90D!$A:$A,[4]TD90D!$CW:$CW,"",0,1)</f>
        <v>27</v>
      </c>
      <c r="P15">
        <f>_xlfn.XLOOKUP(A:A,[4]TD90D!$A:$A,[4]TD90D!$CX:$CX,"",0,1)</f>
        <v>11</v>
      </c>
      <c r="Q15">
        <f>_xlfn.XLOOKUP(A:A,[4]TD90D!$A:$A,[4]TD90D!$DA:$DA,"",0,1)</f>
        <v>11</v>
      </c>
      <c r="R15" s="31">
        <f t="shared" si="5"/>
        <v>0.44</v>
      </c>
      <c r="S15">
        <f>_xlfn.XLOOKUP(A:A,'[4]TD90D PZAS'!$A:$A,'[4]TD90D PZAS'!$CW:$CW,"",0,1)</f>
        <v>140</v>
      </c>
      <c r="T15">
        <f>_xlfn.XLOOKUP(A:A,'[4]TD90D PZAS'!$A:$A,'[4]TD90D PZAS'!$CX:$CX,"",0,1)</f>
        <v>11</v>
      </c>
      <c r="U15">
        <f>_xlfn.XLOOKUP(A:A,'[4]TD90D PZAS'!$A:$A,'[4]TD90D PZAS'!$DA:$DA,"",0,1)</f>
        <v>9</v>
      </c>
    </row>
    <row r="16" spans="1:21" x14ac:dyDescent="0.35">
      <c r="A16" t="s">
        <v>91</v>
      </c>
      <c r="B16" t="str">
        <f>_xlfn.XLOOKUP(A:A,[1]Hoja1!$C:$C,[1]Hoja1!$D:$D,"",0,1)</f>
        <v>SIAMIL ECONOMICO MI FL 20 KG</v>
      </c>
      <c r="C16" s="8">
        <v>22</v>
      </c>
      <c r="D16" s="13">
        <f>_xlfn.XLOOKUP(A:A,[2]Hoja1!$C:$C,[2]Hoja1!$H:$H,"",0,1)</f>
        <v>163.79</v>
      </c>
      <c r="E16" s="13">
        <f>_xlfn.XLOOKUP(A:A,[1]Hoja1!$C:$C,[1]Hoja1!$H:$H,"",0,1)</f>
        <v>123.28</v>
      </c>
      <c r="F16" s="14">
        <f>_xlfn.XLOOKUP(A:A,TD!A:A,TD!EC:EC,"",0,1)</f>
        <v>4.7727272727272725</v>
      </c>
      <c r="G16" s="19">
        <f t="shared" si="0"/>
        <v>4</v>
      </c>
      <c r="H16" s="18">
        <f t="shared" si="1"/>
        <v>491.37</v>
      </c>
      <c r="I16" s="16">
        <f t="shared" si="2"/>
        <v>369.84000000000003</v>
      </c>
      <c r="J16" s="27">
        <v>79234</v>
      </c>
      <c r="K16" t="str">
        <f>_xlfn.XLOOKUP(J:J,'[3]FILTROS 2'!$A:$A,'[3]FILTROS 2'!$E:$E,"",0,1)</f>
        <v>SIAMIL</v>
      </c>
      <c r="L16" s="30">
        <v>4</v>
      </c>
      <c r="M16" s="16">
        <f t="shared" si="3"/>
        <v>655.16</v>
      </c>
      <c r="N16" s="16">
        <f t="shared" si="4"/>
        <v>493.12</v>
      </c>
      <c r="O16">
        <f>_xlfn.XLOOKUP(A:A,[4]TD90D!$A:$A,[4]TD90D!$CW:$CW,"",0,1)</f>
        <v>31</v>
      </c>
      <c r="P16">
        <f>_xlfn.XLOOKUP(A:A,[4]TD90D!$A:$A,[4]TD90D!$CX:$CX,"",0,1)</f>
        <v>11</v>
      </c>
      <c r="Q16">
        <f>_xlfn.XLOOKUP(A:A,[4]TD90D!$A:$A,[4]TD90D!$DA:$DA,"",0,1)</f>
        <v>9</v>
      </c>
      <c r="R16" s="31">
        <f t="shared" si="5"/>
        <v>0.5</v>
      </c>
      <c r="S16">
        <f>_xlfn.XLOOKUP(A:A,'[4]TD90D PZAS'!$A:$A,'[4]TD90D PZAS'!$CW:$CW,"",0,1)</f>
        <v>211</v>
      </c>
      <c r="T16">
        <f>_xlfn.XLOOKUP(A:A,'[4]TD90D PZAS'!$A:$A,'[4]TD90D PZAS'!$CX:$CX,"",0,1)</f>
        <v>10</v>
      </c>
      <c r="U16">
        <f>_xlfn.XLOOKUP(A:A,'[4]TD90D PZAS'!$A:$A,'[4]TD90D PZAS'!$DA:$DA,"",0,1)</f>
        <v>12</v>
      </c>
    </row>
    <row r="17" spans="1:21" x14ac:dyDescent="0.35">
      <c r="A17" t="s">
        <v>52</v>
      </c>
      <c r="B17" s="17" t="str">
        <f>_xlfn.XLOOKUP(A:A,[1]Hoja1!$C:$C,[1]Hoja1!$D:$D,"",0,1)</f>
        <v>IMPERGLOSI AGUACERO TERRACOTA 5A</v>
      </c>
      <c r="C17" s="8">
        <v>18</v>
      </c>
      <c r="D17" s="13">
        <f>_xlfn.XLOOKUP(A:A,[2]Hoja1!$C:$C,[2]Hoja1!$H:$H,"",0,1)</f>
        <v>1118.97</v>
      </c>
      <c r="E17" s="13">
        <f>_xlfn.XLOOKUP(A:A,[1]Hoja1!$C:$C,[1]Hoja1!$H:$H,"",0,1)</f>
        <v>896.55</v>
      </c>
      <c r="F17" s="14">
        <f>_xlfn.XLOOKUP(A:A,TD!A:A,TD!EC:EC,"",0,1)</f>
        <v>3.6111111111111112</v>
      </c>
      <c r="G17" s="15">
        <f t="shared" si="0"/>
        <v>3</v>
      </c>
      <c r="H17" s="16">
        <f t="shared" si="1"/>
        <v>3356.91</v>
      </c>
      <c r="I17" s="16">
        <f t="shared" si="2"/>
        <v>2689.6499999999996</v>
      </c>
      <c r="J17" s="27" t="s">
        <v>52</v>
      </c>
      <c r="K17" t="str">
        <f>_xlfn.XLOOKUP(J:J,'[3]FILTROS 2'!$A:$A,'[3]FILTROS 2'!$E:$E,"",0,1)</f>
        <v>IMPERGLOSI AGUACERO 5 AÑOS</v>
      </c>
      <c r="L17" s="30"/>
      <c r="M17" s="16">
        <f t="shared" si="3"/>
        <v>0</v>
      </c>
      <c r="N17" s="16">
        <f t="shared" si="4"/>
        <v>0</v>
      </c>
      <c r="O17">
        <f>_xlfn.XLOOKUP(A:A,[4]TD90D!$A:$A,[4]TD90D!$CW:$CW,"",0,1)</f>
        <v>20</v>
      </c>
      <c r="P17">
        <f>_xlfn.XLOOKUP(A:A,[4]TD90D!$A:$A,[4]TD90D!$CX:$CX,"",0,1)</f>
        <v>7</v>
      </c>
      <c r="Q17">
        <f>_xlfn.XLOOKUP(A:A,[4]TD90D!$A:$A,[4]TD90D!$DA:$DA,"",0,1)</f>
        <v>0</v>
      </c>
      <c r="R17" s="31">
        <f t="shared" si="5"/>
        <v>0.3888888888888889</v>
      </c>
      <c r="S17">
        <f>_xlfn.XLOOKUP(A:A,'[4]TD90D PZAS'!$A:$A,'[4]TD90D PZAS'!$CW:$CW,"",0,1)</f>
        <v>109</v>
      </c>
      <c r="T17">
        <f>_xlfn.XLOOKUP(A:A,'[4]TD90D PZAS'!$A:$A,'[4]TD90D PZAS'!$CX:$CX,"",0,1)</f>
        <v>6</v>
      </c>
      <c r="U17">
        <f>_xlfn.XLOOKUP(A:A,'[4]TD90D PZAS'!$A:$A,'[4]TD90D PZAS'!$DA:$DA,"",0,1)</f>
        <v>14</v>
      </c>
    </row>
    <row r="18" spans="1:21" s="32" customFormat="1" x14ac:dyDescent="0.35">
      <c r="A18" s="32" t="s">
        <v>7</v>
      </c>
      <c r="B18" s="32" t="str">
        <f>_xlfn.XLOOKUP(A:A,[1]Hoja1!$C:$C,[1]Hoja1!$D:$D,"",0,1)</f>
        <v>AEROSOL NEGRO MATE</v>
      </c>
      <c r="C18" s="33">
        <v>18</v>
      </c>
      <c r="D18" s="34">
        <f>_xlfn.XLOOKUP(A:A,[2]Hoja1!$C:$C,[2]Hoja1!$H:$H,"",0,1)</f>
        <v>55.17</v>
      </c>
      <c r="E18" s="34">
        <f>_xlfn.XLOOKUP(A:A,[1]Hoja1!$C:$C,[1]Hoja1!$H:$H,"",0,1)</f>
        <v>41.38</v>
      </c>
      <c r="F18" s="35">
        <f>_xlfn.XLOOKUP(A:A,TD!A:A,TD!EC:EC,"",0,1)</f>
        <v>5.333333333333333</v>
      </c>
      <c r="G18" s="36">
        <f t="shared" si="0"/>
        <v>5</v>
      </c>
      <c r="H18" s="37">
        <f t="shared" si="1"/>
        <v>165.51</v>
      </c>
      <c r="I18" s="38">
        <f t="shared" si="2"/>
        <v>124.14000000000001</v>
      </c>
      <c r="J18" s="39">
        <v>2398</v>
      </c>
      <c r="K18" s="32" t="str">
        <f>_xlfn.XLOOKUP(J:J,'[3]FILTROS 2'!$A:$A,'[3]FILTROS 2'!$E:$E,"",0,1)</f>
        <v>AEROSOLES PRISA</v>
      </c>
      <c r="L18" s="40">
        <v>5</v>
      </c>
      <c r="M18" s="38">
        <f t="shared" si="3"/>
        <v>275.85000000000002</v>
      </c>
      <c r="N18" s="38">
        <f t="shared" si="4"/>
        <v>206.9</v>
      </c>
      <c r="O18" s="32">
        <f>_xlfn.XLOOKUP(A:A,[4]TD90D!$A:$A,[4]TD90D!$CW:$CW,"",0,1)</f>
        <v>26</v>
      </c>
      <c r="P18" s="32">
        <f>_xlfn.XLOOKUP(A:A,[4]TD90D!$A:$A,[4]TD90D!$CX:$CX,"",0,1)</f>
        <v>10</v>
      </c>
      <c r="Q18" s="32">
        <f>_xlfn.XLOOKUP(A:A,[4]TD90D!$A:$A,[4]TD90D!$DA:$DA,"",0,1)</f>
        <v>0</v>
      </c>
      <c r="R18" s="41">
        <f t="shared" si="5"/>
        <v>0.55555555555555558</v>
      </c>
      <c r="S18" s="32">
        <f>_xlfn.XLOOKUP(A:A,'[4]TD90D PZAS'!$A:$A,'[4]TD90D PZAS'!$CW:$CW,"",0,1)</f>
        <v>156</v>
      </c>
      <c r="T18" s="32">
        <f>_xlfn.XLOOKUP(A:A,'[4]TD90D PZAS'!$A:$A,'[4]TD90D PZAS'!$CX:$CX,"",0,1)</f>
        <v>9</v>
      </c>
      <c r="U18" s="32">
        <f>_xlfn.XLOOKUP(A:A,'[4]TD90D PZAS'!$A:$A,'[4]TD90D PZAS'!$DA:$DA,"",0,1)</f>
        <v>13</v>
      </c>
    </row>
    <row r="19" spans="1:21" x14ac:dyDescent="0.35">
      <c r="A19" t="s">
        <v>50</v>
      </c>
      <c r="B19" s="17" t="str">
        <f>_xlfn.XLOOKUP(A:A,[1]Hoja1!$C:$C,[1]Hoja1!$D:$D,"",0,1)</f>
        <v>IMPERGLOSI AGUACERO TERRACOTA 3A</v>
      </c>
      <c r="C19" s="8">
        <v>16</v>
      </c>
      <c r="D19" s="13">
        <f>_xlfn.XLOOKUP(A:A,[2]Hoja1!$C:$C,[2]Hoja1!$H:$H,"",0,1)</f>
        <v>225</v>
      </c>
      <c r="E19" s="13">
        <f>_xlfn.XLOOKUP(A:A,[1]Hoja1!$C:$C,[1]Hoja1!$H:$H,"",0,1)</f>
        <v>179.31</v>
      </c>
      <c r="F19" s="14">
        <f>_xlfn.XLOOKUP(A:A,TD!A:A,TD!EC:EC,"",0,1)</f>
        <v>3.125</v>
      </c>
      <c r="G19" s="20">
        <f t="shared" si="0"/>
        <v>3</v>
      </c>
      <c r="H19" s="18">
        <f t="shared" si="1"/>
        <v>675</v>
      </c>
      <c r="I19" s="16">
        <f t="shared" si="2"/>
        <v>537.93000000000006</v>
      </c>
      <c r="J19" s="27" t="s">
        <v>50</v>
      </c>
      <c r="K19" t="str">
        <f>_xlfn.XLOOKUP(J:J,'[3]FILTROS 2'!$A:$A,'[3]FILTROS 2'!$E:$E,"",0,1)</f>
        <v>IMPERGLOSI AGUACERO 3 AÑOS</v>
      </c>
      <c r="L19" s="30"/>
      <c r="M19" s="16">
        <f t="shared" si="3"/>
        <v>0</v>
      </c>
      <c r="N19" s="16">
        <f t="shared" si="4"/>
        <v>0</v>
      </c>
      <c r="O19">
        <f>_xlfn.XLOOKUP(A:A,[4]TD90D!$A:$A,[4]TD90D!$CW:$CW,"",0,1)</f>
        <v>11</v>
      </c>
      <c r="P19">
        <f>_xlfn.XLOOKUP(A:A,[4]TD90D!$A:$A,[4]TD90D!$CX:$CX,"",0,1)</f>
        <v>5</v>
      </c>
      <c r="Q19">
        <f>_xlfn.XLOOKUP(A:A,[4]TD90D!$A:$A,[4]TD90D!$DA:$DA,"",0,1)</f>
        <v>0</v>
      </c>
      <c r="R19" s="31">
        <f t="shared" si="5"/>
        <v>0.3125</v>
      </c>
      <c r="S19">
        <f>_xlfn.XLOOKUP(A:A,'[4]TD90D PZAS'!$A:$A,'[4]TD90D PZAS'!$CW:$CW,"",0,1)</f>
        <v>25</v>
      </c>
      <c r="T19">
        <f>_xlfn.XLOOKUP(A:A,'[4]TD90D PZAS'!$A:$A,'[4]TD90D PZAS'!$CX:$CX,"",0,1)</f>
        <v>3</v>
      </c>
      <c r="U19">
        <f>_xlfn.XLOOKUP(A:A,'[4]TD90D PZAS'!$A:$A,'[4]TD90D PZAS'!$DA:$DA,"",0,1)</f>
        <v>0</v>
      </c>
    </row>
    <row r="20" spans="1:21" x14ac:dyDescent="0.35">
      <c r="A20" t="s">
        <v>23</v>
      </c>
      <c r="B20" t="str">
        <f>_xlfn.XLOOKUP(A:A,[1]Hoja1!$C:$C,[1]Hoja1!$D:$D,"",0,1)</f>
        <v>AEROSOL ALUMINIO</v>
      </c>
      <c r="C20" s="8">
        <v>14</v>
      </c>
      <c r="D20" s="13">
        <f>_xlfn.XLOOKUP(A:A,[2]Hoja1!$C:$C,[2]Hoja1!$H:$H,"",0,1)</f>
        <v>55.17</v>
      </c>
      <c r="E20" s="13">
        <f>_xlfn.XLOOKUP(A:A,[1]Hoja1!$C:$C,[1]Hoja1!$H:$H,"",0,1)</f>
        <v>41.38</v>
      </c>
      <c r="F20" s="14">
        <f>_xlfn.XLOOKUP(A:A,TD!A:A,TD!EC:EC,"",0,1)</f>
        <v>3.5714285714285716</v>
      </c>
      <c r="G20" s="20">
        <f t="shared" si="0"/>
        <v>3</v>
      </c>
      <c r="H20" s="18">
        <f t="shared" si="1"/>
        <v>165.51</v>
      </c>
      <c r="I20" s="16">
        <f t="shared" si="2"/>
        <v>124.14000000000001</v>
      </c>
      <c r="J20" s="27">
        <v>2390</v>
      </c>
      <c r="K20" t="str">
        <f>_xlfn.XLOOKUP(J:J,'[3]FILTROS 2'!$A:$A,'[3]FILTROS 2'!$E:$E,"",0,1)</f>
        <v>AEROSOLES PRISA</v>
      </c>
      <c r="L20" s="30">
        <v>3</v>
      </c>
      <c r="M20" s="16">
        <f t="shared" si="3"/>
        <v>165.51</v>
      </c>
      <c r="N20" s="16">
        <f t="shared" si="4"/>
        <v>124.14000000000001</v>
      </c>
      <c r="O20">
        <f>_xlfn.XLOOKUP(A:A,[4]TD90D!$A:$A,[4]TD90D!$CW:$CW,"",0,1)</f>
        <v>16</v>
      </c>
      <c r="P20">
        <f>_xlfn.XLOOKUP(A:A,[4]TD90D!$A:$A,[4]TD90D!$CX:$CX,"",0,1)</f>
        <v>6</v>
      </c>
      <c r="Q20">
        <f>_xlfn.XLOOKUP(A:A,[4]TD90D!$A:$A,[4]TD90D!$DA:$DA,"",0,1)</f>
        <v>0</v>
      </c>
      <c r="R20" s="31">
        <f t="shared" si="5"/>
        <v>0.42857142857142855</v>
      </c>
      <c r="S20">
        <f>_xlfn.XLOOKUP(A:A,'[4]TD90D PZAS'!$A:$A,'[4]TD90D PZAS'!$CW:$CW,"",0,1)</f>
        <v>45</v>
      </c>
      <c r="T20">
        <f>_xlfn.XLOOKUP(A:A,'[4]TD90D PZAS'!$A:$A,'[4]TD90D PZAS'!$CX:$CX,"",0,1)</f>
        <v>4</v>
      </c>
      <c r="U20">
        <f>_xlfn.XLOOKUP(A:A,'[4]TD90D PZAS'!$A:$A,'[4]TD90D PZAS'!$DA:$DA,"",0,1)</f>
        <v>0</v>
      </c>
    </row>
    <row r="21" spans="1:21" x14ac:dyDescent="0.35">
      <c r="A21" t="s">
        <v>147</v>
      </c>
      <c r="B21" t="str">
        <f>_xlfn.XLOOKUP(A:A,[1]Hoja1!$C:$C,[1]Hoja1!$D:$D,"",0,1)</f>
        <v>ESMALTE GLOSI SR NEGRO BRILLANTE</v>
      </c>
      <c r="C21" s="8">
        <v>14</v>
      </c>
      <c r="D21" s="13">
        <f>_xlfn.XLOOKUP(A:A,[2]Hoja1!$C:$C,[2]Hoja1!$H:$H,"",0,1)</f>
        <v>205.17</v>
      </c>
      <c r="E21" s="13">
        <f>_xlfn.XLOOKUP(A:A,[1]Hoja1!$C:$C,[1]Hoja1!$H:$H,"",0,1)</f>
        <v>161.21</v>
      </c>
      <c r="F21" s="14">
        <f>_xlfn.XLOOKUP(A:A,TD!A:A,TD!EC:EC,"",0,1)</f>
        <v>5.0714285714285712</v>
      </c>
      <c r="G21" s="20">
        <f t="shared" si="0"/>
        <v>5</v>
      </c>
      <c r="H21" s="18">
        <f t="shared" si="1"/>
        <v>615.51</v>
      </c>
      <c r="I21" s="16">
        <f t="shared" si="2"/>
        <v>483.63</v>
      </c>
      <c r="J21" s="27" t="s">
        <v>147</v>
      </c>
      <c r="K21" t="str">
        <f>_xlfn.XLOOKUP(J:J,'[3]FILTROS 2'!$A:$A,'[3]FILTROS 2'!$E:$E,"",0,1)</f>
        <v>ESMALTE - GLOSI SECADO RAPIDO</v>
      </c>
      <c r="L21" s="30"/>
      <c r="M21" s="16">
        <f t="shared" si="3"/>
        <v>0</v>
      </c>
      <c r="N21" s="16">
        <f t="shared" si="4"/>
        <v>0</v>
      </c>
      <c r="O21">
        <f>_xlfn.XLOOKUP(A:A,[4]TD90D!$A:$A,[4]TD90D!$CW:$CW,"",0,1)</f>
        <v>10</v>
      </c>
      <c r="P21">
        <f>_xlfn.XLOOKUP(A:A,[4]TD90D!$A:$A,[4]TD90D!$CX:$CX,"",0,1)</f>
        <v>5</v>
      </c>
      <c r="Q21">
        <f>_xlfn.XLOOKUP(A:A,[4]TD90D!$A:$A,[4]TD90D!$DA:$DA,"",0,1)</f>
        <v>0</v>
      </c>
      <c r="R21" s="31">
        <f t="shared" si="5"/>
        <v>0.35714285714285715</v>
      </c>
      <c r="S21">
        <f>_xlfn.XLOOKUP(A:A,'[4]TD90D PZAS'!$A:$A,'[4]TD90D PZAS'!$CW:$CW,"",0,1)</f>
        <v>66</v>
      </c>
      <c r="T21">
        <f>_xlfn.XLOOKUP(A:A,'[4]TD90D PZAS'!$A:$A,'[4]TD90D PZAS'!$CX:$CX,"",0,1)</f>
        <v>5</v>
      </c>
      <c r="U21">
        <f>_xlfn.XLOOKUP(A:A,'[4]TD90D PZAS'!$A:$A,'[4]TD90D PZAS'!$DA:$DA,"",0,1)</f>
        <v>0</v>
      </c>
    </row>
    <row r="22" spans="1:21" x14ac:dyDescent="0.35">
      <c r="A22" t="s">
        <v>263</v>
      </c>
      <c r="B22" t="str">
        <f>_xlfn.XLOOKUP(A:A,[1]Hoja1!$C:$C,[1]Hoja1!$D:$D,"",0,1)</f>
        <v>VINILICA GLOSI BLANCO ULTRA</v>
      </c>
      <c r="C22" s="8">
        <v>14</v>
      </c>
      <c r="D22" s="13">
        <f>_xlfn.XLOOKUP(A:A,[2]Hoja1!$C:$C,[2]Hoja1!$H:$H,"",0,1)</f>
        <v>299.14</v>
      </c>
      <c r="E22" s="13">
        <f>_xlfn.XLOOKUP(A:A,[1]Hoja1!$C:$C,[1]Hoja1!$H:$H,"",0,1)</f>
        <v>224.14</v>
      </c>
      <c r="F22" s="14">
        <f>_xlfn.XLOOKUP(A:A,TD!A:A,TD!EC:EC,"",0,1)</f>
        <v>2.4285714285714284</v>
      </c>
      <c r="G22" s="20">
        <f t="shared" si="0"/>
        <v>2</v>
      </c>
      <c r="H22" s="18">
        <f t="shared" si="1"/>
        <v>897.42</v>
      </c>
      <c r="I22" s="16">
        <f t="shared" si="2"/>
        <v>672.42</v>
      </c>
      <c r="J22" s="27" t="s">
        <v>263</v>
      </c>
      <c r="K22" t="str">
        <f>_xlfn.XLOOKUP(J:J,'[3]FILTROS 2'!$A:$A,'[3]FILTROS 2'!$E:$E,"",0,1)</f>
        <v>VINILICA - GLOSI 3 AÑOS</v>
      </c>
      <c r="L22" s="30">
        <v>8</v>
      </c>
      <c r="M22" s="16">
        <f>L22*D22</f>
        <v>2393.12</v>
      </c>
      <c r="N22" s="16">
        <f t="shared" si="4"/>
        <v>1793.12</v>
      </c>
      <c r="O22">
        <f>_xlfn.XLOOKUP(A:A,[4]TD90D!$A:$A,[4]TD90D!$CW:$CW,"",0,1)</f>
        <v>13</v>
      </c>
      <c r="P22">
        <f>_xlfn.XLOOKUP(A:A,[4]TD90D!$A:$A,[4]TD90D!$CX:$CX,"",0,1)</f>
        <v>6</v>
      </c>
      <c r="Q22">
        <f>_xlfn.XLOOKUP(A:A,[4]TD90D!$A:$A,[4]TD90D!$DA:$DA,"",0,1)</f>
        <v>0</v>
      </c>
      <c r="R22" s="31">
        <f t="shared" si="5"/>
        <v>0.42857142857142855</v>
      </c>
      <c r="S22">
        <f>_xlfn.XLOOKUP(A:A,'[4]TD90D PZAS'!$A:$A,'[4]TD90D PZAS'!$CW:$CW,"",0,1)</f>
        <v>39</v>
      </c>
      <c r="T22">
        <f>_xlfn.XLOOKUP(A:A,'[4]TD90D PZAS'!$A:$A,'[4]TD90D PZAS'!$CX:$CX,"",0,1)</f>
        <v>5</v>
      </c>
      <c r="U22">
        <f>_xlfn.XLOOKUP(A:A,'[4]TD90D PZAS'!$A:$A,'[4]TD90D PZAS'!$DA:$DA,"",0,1)</f>
        <v>0</v>
      </c>
    </row>
    <row r="23" spans="1:21" x14ac:dyDescent="0.35">
      <c r="A23" t="s">
        <v>90</v>
      </c>
      <c r="B23" t="str">
        <f>_xlfn.XLOOKUP(A:A,[1]Hoja1!$C:$C,[1]Hoja1!$D:$D,"",0,1)</f>
        <v>ESMALTE GLOSI SR BLANCO</v>
      </c>
      <c r="C23" s="8">
        <v>14</v>
      </c>
      <c r="D23" s="13">
        <f>_xlfn.XLOOKUP(A:A,[2]Hoja1!$C:$C,[2]Hoja1!$H:$H,"",0,1)</f>
        <v>205.17</v>
      </c>
      <c r="E23" s="13">
        <f>_xlfn.XLOOKUP(A:A,[1]Hoja1!$C:$C,[1]Hoja1!$H:$H,"",0,1)</f>
        <v>161.21</v>
      </c>
      <c r="F23" s="14">
        <f>_xlfn.XLOOKUP(A:A,TD!A:A,TD!EC:EC,"",0,1)</f>
        <v>4.2142857142857144</v>
      </c>
      <c r="G23" s="15">
        <f t="shared" si="0"/>
        <v>4</v>
      </c>
      <c r="H23" s="16">
        <f t="shared" si="1"/>
        <v>615.51</v>
      </c>
      <c r="I23" s="16">
        <f t="shared" si="2"/>
        <v>483.63</v>
      </c>
      <c r="J23" s="27" t="s">
        <v>90</v>
      </c>
      <c r="K23" t="str">
        <f>_xlfn.XLOOKUP(J:J,'[3]FILTROS 2'!$A:$A,'[3]FILTROS 2'!$E:$E,"",0,1)</f>
        <v>ESMALTE - GLOSI SECADO RAPIDO</v>
      </c>
      <c r="L23" s="30"/>
      <c r="O23">
        <f>_xlfn.XLOOKUP(A:A,[4]TD90D!$A:$A,[4]TD90D!$CW:$CW,"",0,1)</f>
        <v>6</v>
      </c>
      <c r="P23">
        <f>_xlfn.XLOOKUP(A:A,[4]TD90D!$A:$A,[4]TD90D!$CX:$CX,"",0,1)</f>
        <v>3</v>
      </c>
      <c r="Q23">
        <f>_xlfn.XLOOKUP(A:A,[4]TD90D!$A:$A,[4]TD90D!$DA:$DA,"",0,1)</f>
        <v>0</v>
      </c>
      <c r="R23" s="31">
        <f t="shared" si="5"/>
        <v>0.21428571428571427</v>
      </c>
      <c r="S23">
        <f>_xlfn.XLOOKUP(A:A,'[4]TD90D PZAS'!$A:$A,'[4]TD90D PZAS'!$CW:$CW,"",0,1)</f>
        <v>28</v>
      </c>
      <c r="T23">
        <f>_xlfn.XLOOKUP(A:A,'[4]TD90D PZAS'!$A:$A,'[4]TD90D PZAS'!$CX:$CX,"",0,1)</f>
        <v>3</v>
      </c>
      <c r="U23">
        <f>_xlfn.XLOOKUP(A:A,'[4]TD90D PZAS'!$A:$A,'[4]TD90D PZAS'!$DA:$DA,"",0,1)</f>
        <v>0</v>
      </c>
    </row>
    <row r="24" spans="1:21" x14ac:dyDescent="0.35">
      <c r="A24" t="s">
        <v>138</v>
      </c>
      <c r="B24" t="str">
        <f>_xlfn.XLOOKUP(A:A,[1]Hoja1!$C:$C,[1]Hoja1!$D:$D,"",0,1)</f>
        <v>IMPERGLOSI AGUACERO BLANCO 5A</v>
      </c>
      <c r="C24" s="8">
        <v>13</v>
      </c>
      <c r="D24" s="13">
        <f>_xlfn.XLOOKUP(A:A,[2]Hoja1!$C:$C,[2]Hoja1!$H:$H,"",0,1)</f>
        <v>1118.97</v>
      </c>
      <c r="E24" s="13">
        <f>_xlfn.XLOOKUP(A:A,[1]Hoja1!$C:$C,[1]Hoja1!$H:$H,"",0,1)</f>
        <v>896.55</v>
      </c>
      <c r="F24" s="14">
        <f>_xlfn.XLOOKUP(A:A,TD!A:A,TD!EC:EC,"",0,1)</f>
        <v>7</v>
      </c>
      <c r="G24" s="15">
        <f t="shared" si="0"/>
        <v>7</v>
      </c>
      <c r="H24" s="16">
        <f t="shared" si="1"/>
        <v>3356.91</v>
      </c>
      <c r="I24" s="16">
        <f t="shared" si="2"/>
        <v>2689.6499999999996</v>
      </c>
      <c r="J24" s="27" t="s">
        <v>138</v>
      </c>
      <c r="K24" t="str">
        <f>_xlfn.XLOOKUP(J:J,'[3]FILTROS 2'!$A:$A,'[3]FILTROS 2'!$E:$E,"",0,1)</f>
        <v>IMPERGLOSI AGUACERO 5 AÑOS</v>
      </c>
      <c r="L24" s="30"/>
      <c r="O24">
        <f>_xlfn.XLOOKUP(A:A,[4]TD90D!$A:$A,[4]TD90D!$CW:$CW,"",0,1)</f>
        <v>4</v>
      </c>
      <c r="P24">
        <f>_xlfn.XLOOKUP(A:A,[4]TD90D!$A:$A,[4]TD90D!$CX:$CX,"",0,1)</f>
        <v>2</v>
      </c>
      <c r="Q24">
        <f>_xlfn.XLOOKUP(A:A,[4]TD90D!$A:$A,[4]TD90D!$DA:$DA,"",0,1)</f>
        <v>0</v>
      </c>
      <c r="R24" s="31">
        <f t="shared" si="5"/>
        <v>0.15384615384615385</v>
      </c>
      <c r="S24">
        <f>_xlfn.XLOOKUP(A:A,'[4]TD90D PZAS'!$A:$A,'[4]TD90D PZAS'!$CW:$CW,"",0,1)</f>
        <v>63</v>
      </c>
      <c r="T24">
        <f>_xlfn.XLOOKUP(A:A,'[4]TD90D PZAS'!$A:$A,'[4]TD90D PZAS'!$CX:$CX,"",0,1)</f>
        <v>2</v>
      </c>
      <c r="U24">
        <f>_xlfn.XLOOKUP(A:A,'[4]TD90D PZAS'!$A:$A,'[4]TD90D PZAS'!$DA:$DA,"",0,1)</f>
        <v>0</v>
      </c>
    </row>
    <row r="25" spans="1:21" x14ac:dyDescent="0.35">
      <c r="A25" t="s">
        <v>323</v>
      </c>
      <c r="B25" t="str">
        <f>_xlfn.XLOOKUP(A:A,[1]Hoja1!$C:$C,[1]Hoja1!$D:$D,"",0,1)</f>
        <v>VINILICA GLOSI BLANCO ULTRA</v>
      </c>
      <c r="C25" s="8">
        <v>13</v>
      </c>
      <c r="D25" s="11">
        <f>_xlfn.XLOOKUP(A:A,[2]Hoja1!$C:$C,[2]Hoja1!$H:$H,"",0,1)</f>
        <v>1213.79</v>
      </c>
      <c r="E25" s="13">
        <f>_xlfn.XLOOKUP(A:A,[1]Hoja1!$C:$C,[1]Hoja1!$H:$H,"",0,1)</f>
        <v>909.48</v>
      </c>
      <c r="F25" s="14">
        <f>_xlfn.XLOOKUP(A:A,TD!A:A,TD!EC:EC,"",0,1)</f>
        <v>1.8461538461538463</v>
      </c>
      <c r="G25" s="15">
        <f t="shared" si="0"/>
        <v>1</v>
      </c>
      <c r="H25" s="16">
        <f t="shared" si="1"/>
        <v>3641.37</v>
      </c>
      <c r="I25" s="16">
        <f t="shared" si="2"/>
        <v>2728.44</v>
      </c>
      <c r="J25" s="27" t="s">
        <v>323</v>
      </c>
      <c r="K25" t="str">
        <f>_xlfn.XLOOKUP(J:J,'[3]FILTROS 2'!$A:$A,'[3]FILTROS 2'!$E:$E,"",0,1)</f>
        <v>VINILICA - GLOSI 3 AÑOS</v>
      </c>
      <c r="L25" s="30"/>
      <c r="O25">
        <f>_xlfn.XLOOKUP(A:A,[4]TD90D!$A:$A,[4]TD90D!$CW:$CW,"",0,1)</f>
        <v>10</v>
      </c>
      <c r="P25">
        <f>_xlfn.XLOOKUP(A:A,[4]TD90D!$A:$A,[4]TD90D!$CX:$CX,"",0,1)</f>
        <v>5</v>
      </c>
      <c r="Q25">
        <f>_xlfn.XLOOKUP(A:A,[4]TD90D!$A:$A,[4]TD90D!$DA:$DA,"",0,1)</f>
        <v>0</v>
      </c>
      <c r="R25" s="31">
        <f t="shared" si="5"/>
        <v>0.38461538461538464</v>
      </c>
      <c r="S25">
        <f>_xlfn.XLOOKUP(A:A,'[4]TD90D PZAS'!$A:$A,'[4]TD90D PZAS'!$CW:$CW,"",0,1)</f>
        <v>36</v>
      </c>
      <c r="T25">
        <f>_xlfn.XLOOKUP(A:A,'[4]TD90D PZAS'!$A:$A,'[4]TD90D PZAS'!$CX:$CX,"",0,1)</f>
        <v>5</v>
      </c>
      <c r="U25">
        <f>_xlfn.XLOOKUP(A:A,'[4]TD90D PZAS'!$A:$A,'[4]TD90D PZAS'!$DA:$DA,"",0,1)</f>
        <v>0</v>
      </c>
    </row>
    <row r="26" spans="1:21" x14ac:dyDescent="0.35">
      <c r="A26" t="s">
        <v>48</v>
      </c>
      <c r="B26" t="str">
        <f>_xlfn.XLOOKUP(A:A,[1]Hoja1!$C:$C,[1]Hoja1!$D:$D,"",0,1)</f>
        <v>IMPERGLOSI AGUACERO BLANCO 3A</v>
      </c>
      <c r="C26" s="8">
        <v>12</v>
      </c>
      <c r="D26" s="11">
        <f>_xlfn.XLOOKUP(A:A,[2]Hoja1!$C:$C,[2]Hoja1!$H:$H,"",0,1)</f>
        <v>225</v>
      </c>
      <c r="E26" s="11">
        <f>_xlfn.XLOOKUP(A:A,[1]Hoja1!$C:$C,[1]Hoja1!$H:$H,"",0,1)</f>
        <v>179.31</v>
      </c>
      <c r="F26" s="14">
        <f>_xlfn.XLOOKUP(A:A,TD!A:A,TD!EC:EC,"",0,1)</f>
        <v>2.75</v>
      </c>
      <c r="G26" s="15">
        <f t="shared" si="0"/>
        <v>2</v>
      </c>
      <c r="H26" s="16">
        <f t="shared" si="1"/>
        <v>675</v>
      </c>
      <c r="I26" s="16">
        <f t="shared" si="2"/>
        <v>537.93000000000006</v>
      </c>
      <c r="J26" s="27" t="s">
        <v>48</v>
      </c>
      <c r="K26" t="str">
        <f>_xlfn.XLOOKUP(J:J,'[3]FILTROS 2'!$A:$A,'[3]FILTROS 2'!$E:$E,"",0,1)</f>
        <v>IMPERGLOSI AGUACERO 3 AÑOS</v>
      </c>
      <c r="L26" s="30"/>
      <c r="O26">
        <f>_xlfn.XLOOKUP(A:A,[4]TD90D!$A:$A,[4]TD90D!$CW:$CW,"",0,1)</f>
        <v>2</v>
      </c>
      <c r="P26">
        <f>_xlfn.XLOOKUP(A:A,[4]TD90D!$A:$A,[4]TD90D!$CX:$CX,"",0,1)</f>
        <v>1</v>
      </c>
      <c r="Q26">
        <f>_xlfn.XLOOKUP(A:A,[4]TD90D!$A:$A,[4]TD90D!$DA:$DA,"",0,1)</f>
        <v>0</v>
      </c>
      <c r="R26" s="31">
        <f t="shared" si="5"/>
        <v>8.3333333333333329E-2</v>
      </c>
      <c r="S26">
        <f>_xlfn.XLOOKUP(A:A,'[4]TD90D PZAS'!$A:$A,'[4]TD90D PZAS'!$CW:$CW,"",0,1)</f>
        <v>0</v>
      </c>
      <c r="T26">
        <f>_xlfn.XLOOKUP(A:A,'[4]TD90D PZAS'!$A:$A,'[4]TD90D PZAS'!$CX:$CX,"",0,1)</f>
        <v>0</v>
      </c>
      <c r="U26">
        <f>_xlfn.XLOOKUP(A:A,'[4]TD90D PZAS'!$A:$A,'[4]TD90D PZAS'!$DA:$DA,"",0,1)</f>
        <v>0</v>
      </c>
    </row>
    <row r="27" spans="1:21" x14ac:dyDescent="0.35">
      <c r="A27" t="s">
        <v>21</v>
      </c>
      <c r="B27" t="str">
        <f>_xlfn.XLOOKUP(A:A,[1]Hoja1!$C:$C,[1]Hoja1!$D:$D,"",0,1)</f>
        <v>AEROSOL ROJO</v>
      </c>
      <c r="C27" s="8">
        <v>11</v>
      </c>
      <c r="D27" s="11">
        <f>_xlfn.XLOOKUP(A:A,[2]Hoja1!$C:$C,[2]Hoja1!$H:$H,"",0,1)</f>
        <v>55.17</v>
      </c>
      <c r="E27" s="11">
        <f>_xlfn.XLOOKUP(A:A,[1]Hoja1!$C:$C,[1]Hoja1!$H:$H,"",0,1)</f>
        <v>41.38</v>
      </c>
      <c r="F27" s="14">
        <f>_xlfn.XLOOKUP(A:A,TD!A:A,TD!EC:EC,"",0,1)</f>
        <v>4.9090909090909092</v>
      </c>
      <c r="G27" s="15">
        <f t="shared" si="0"/>
        <v>4</v>
      </c>
      <c r="H27" s="16">
        <f t="shared" si="1"/>
        <v>165.51</v>
      </c>
      <c r="I27" s="16">
        <f t="shared" si="2"/>
        <v>124.14000000000001</v>
      </c>
      <c r="J27" s="27">
        <v>2345</v>
      </c>
      <c r="K27" t="str">
        <f>_xlfn.XLOOKUP(J:J,'[3]FILTROS 2'!$A:$A,'[3]FILTROS 2'!$E:$E,"",0,1)</f>
        <v>AEROSOLES PRISA</v>
      </c>
      <c r="L27" s="30"/>
      <c r="O27">
        <f>_xlfn.XLOOKUP(A:A,[4]TD90D!$A:$A,[4]TD90D!$CW:$CW,"",0,1)</f>
        <v>16</v>
      </c>
      <c r="P27">
        <f>_xlfn.XLOOKUP(A:A,[4]TD90D!$A:$A,[4]TD90D!$CX:$CX,"",0,1)</f>
        <v>6</v>
      </c>
      <c r="Q27">
        <f>_xlfn.XLOOKUP(A:A,[4]TD90D!$A:$A,[4]TD90D!$DA:$DA,"",0,1)</f>
        <v>0</v>
      </c>
      <c r="R27" s="31">
        <f t="shared" si="5"/>
        <v>0.54545454545454541</v>
      </c>
      <c r="S27">
        <f>_xlfn.XLOOKUP(A:A,'[4]TD90D PZAS'!$A:$A,'[4]TD90D PZAS'!$CW:$CW,"",0,1)</f>
        <v>61</v>
      </c>
      <c r="T27">
        <f>_xlfn.XLOOKUP(A:A,'[4]TD90D PZAS'!$A:$A,'[4]TD90D PZAS'!$CX:$CX,"",0,1)</f>
        <v>4</v>
      </c>
      <c r="U27">
        <f>_xlfn.XLOOKUP(A:A,'[4]TD90D PZAS'!$A:$A,'[4]TD90D PZAS'!$DA:$DA,"",0,1)</f>
        <v>0</v>
      </c>
    </row>
    <row r="28" spans="1:21" x14ac:dyDescent="0.35">
      <c r="A28" t="s">
        <v>123</v>
      </c>
      <c r="B28" t="str">
        <f>_xlfn.XLOOKUP(A:A,[1]Hoja1!$C:$C,[1]Hoja1!$D:$D,"",0,1)</f>
        <v>ESMALTE GLOSI SR BLANCO</v>
      </c>
      <c r="C28" s="8">
        <v>11</v>
      </c>
      <c r="D28" s="11">
        <f>_xlfn.XLOOKUP(A:A,[2]Hoja1!$C:$C,[2]Hoja1!$H:$H,"",0,1)</f>
        <v>730.17</v>
      </c>
      <c r="E28" s="11">
        <f>_xlfn.XLOOKUP(A:A,[1]Hoja1!$C:$C,[1]Hoja1!$H:$H,"",0,1)</f>
        <v>584.48</v>
      </c>
      <c r="F28" s="14">
        <f>_xlfn.XLOOKUP(A:A,TD!A:A,TD!EC:EC,"",0,1)</f>
        <v>1.7272727272727273</v>
      </c>
      <c r="G28" s="15">
        <f t="shared" si="0"/>
        <v>1</v>
      </c>
      <c r="H28" s="16">
        <f t="shared" si="1"/>
        <v>2190.5099999999998</v>
      </c>
      <c r="I28" s="16">
        <f t="shared" si="2"/>
        <v>1753.44</v>
      </c>
      <c r="J28" s="27" t="s">
        <v>123</v>
      </c>
      <c r="K28" t="str">
        <f>_xlfn.XLOOKUP(J:J,'[3]FILTROS 2'!$A:$A,'[3]FILTROS 2'!$E:$E,"",0,1)</f>
        <v>ESMALTE - GLOSI SECADO RAPIDO</v>
      </c>
      <c r="L28" s="30"/>
      <c r="O28">
        <f>_xlfn.XLOOKUP(A:A,[4]TD90D!$A:$A,[4]TD90D!$CW:$CW,"",0,1)</f>
        <v>8</v>
      </c>
      <c r="P28">
        <f>_xlfn.XLOOKUP(A:A,[4]TD90D!$A:$A,[4]TD90D!$CX:$CX,"",0,1)</f>
        <v>3</v>
      </c>
      <c r="Q28">
        <f>_xlfn.XLOOKUP(A:A,[4]TD90D!$A:$A,[4]TD90D!$DA:$DA,"",0,1)</f>
        <v>0</v>
      </c>
      <c r="R28" s="31">
        <f t="shared" si="5"/>
        <v>0.27272727272727271</v>
      </c>
      <c r="S28">
        <f>_xlfn.XLOOKUP(A:A,'[4]TD90D PZAS'!$A:$A,'[4]TD90D PZAS'!$CW:$CW,"",0,1)</f>
        <v>19</v>
      </c>
      <c r="T28">
        <f>_xlfn.XLOOKUP(A:A,'[4]TD90D PZAS'!$A:$A,'[4]TD90D PZAS'!$CX:$CX,"",0,1)</f>
        <v>3</v>
      </c>
      <c r="U28">
        <f>_xlfn.XLOOKUP(A:A,'[4]TD90D PZAS'!$A:$A,'[4]TD90D PZAS'!$DA:$DA,"",0,1)</f>
        <v>0</v>
      </c>
    </row>
    <row r="29" spans="1:21" x14ac:dyDescent="0.35">
      <c r="A29" t="s">
        <v>248</v>
      </c>
      <c r="B29" t="str">
        <f>_xlfn.XLOOKUP(A:A,[1]Hoja1!$C:$C,[1]Hoja1!$D:$D,"",0,1)</f>
        <v>PRIMARIO GLOSI ESTRUCTURAS GRIS</v>
      </c>
      <c r="C29" s="8">
        <v>11</v>
      </c>
      <c r="D29" s="11">
        <f>_xlfn.XLOOKUP(A:A,[2]Hoja1!$C:$C,[2]Hoja1!$H:$H,"",0,1)</f>
        <v>138.79</v>
      </c>
      <c r="E29" s="11">
        <f>_xlfn.XLOOKUP(A:A,[1]Hoja1!$C:$C,[1]Hoja1!$H:$H,"",0,1)</f>
        <v>105.17</v>
      </c>
      <c r="F29" s="14">
        <f>_xlfn.XLOOKUP(A:A,TD!A:A,TD!EC:EC,"",0,1)</f>
        <v>3</v>
      </c>
      <c r="G29" s="15">
        <f t="shared" si="0"/>
        <v>3</v>
      </c>
      <c r="H29" s="16">
        <f t="shared" si="1"/>
        <v>416.37</v>
      </c>
      <c r="I29" s="16">
        <f t="shared" si="2"/>
        <v>315.51</v>
      </c>
      <c r="J29" s="27" t="s">
        <v>248</v>
      </c>
      <c r="K29" t="str">
        <f>_xlfn.XLOOKUP(J:J,'[3]FILTROS 2'!$A:$A,'[3]FILTROS 2'!$E:$E,"",0,1)</f>
        <v>ESMALTE - ESTRUCTURAS GLOSI</v>
      </c>
      <c r="L29" s="30"/>
      <c r="O29">
        <f>_xlfn.XLOOKUP(A:A,[4]TD90D!$A:$A,[4]TD90D!$CW:$CW,"",0,1)</f>
        <v>2</v>
      </c>
      <c r="P29">
        <f>_xlfn.XLOOKUP(A:A,[4]TD90D!$A:$A,[4]TD90D!$CX:$CX,"",0,1)</f>
        <v>1</v>
      </c>
      <c r="Q29">
        <f>_xlfn.XLOOKUP(A:A,[4]TD90D!$A:$A,[4]TD90D!$DA:$DA,"",0,1)</f>
        <v>0</v>
      </c>
      <c r="R29" s="31">
        <f t="shared" si="5"/>
        <v>9.0909090909090912E-2</v>
      </c>
      <c r="S29">
        <f>_xlfn.XLOOKUP(A:A,'[4]TD90D PZAS'!$A:$A,'[4]TD90D PZAS'!$CW:$CW,"",0,1)</f>
        <v>3</v>
      </c>
      <c r="T29">
        <f>_xlfn.XLOOKUP(A:A,'[4]TD90D PZAS'!$A:$A,'[4]TD90D PZAS'!$CX:$CX,"",0,1)</f>
        <v>1</v>
      </c>
      <c r="U29">
        <f>_xlfn.XLOOKUP(A:A,'[4]TD90D PZAS'!$A:$A,'[4]TD90D PZAS'!$DA:$DA,"",0,1)</f>
        <v>0</v>
      </c>
    </row>
    <row r="30" spans="1:21" x14ac:dyDescent="0.35">
      <c r="A30" t="s">
        <v>25</v>
      </c>
      <c r="B30" t="str">
        <f>_xlfn.XLOOKUP(A:A,[1]Hoja1!$C:$C,[1]Hoja1!$D:$D,"",0,1)</f>
        <v>AEROSOL  NEGRO SEMI BRILLANTE</v>
      </c>
      <c r="C30" s="8">
        <v>11</v>
      </c>
      <c r="D30" s="11">
        <f>_xlfn.XLOOKUP(A:A,[2]Hoja1!$C:$C,[2]Hoja1!$H:$H,"",0,1)</f>
        <v>55.17</v>
      </c>
      <c r="E30" s="11">
        <f>_xlfn.XLOOKUP(A:A,[1]Hoja1!$C:$C,[1]Hoja1!$H:$H,"",0,1)</f>
        <v>41.38</v>
      </c>
      <c r="F30" s="14">
        <f>_xlfn.XLOOKUP(A:A,TD!A:A,TD!EC:EC,"",0,1)</f>
        <v>5.4545454545454541</v>
      </c>
      <c r="G30" s="15">
        <f t="shared" si="0"/>
        <v>5</v>
      </c>
      <c r="H30" s="16">
        <f t="shared" si="1"/>
        <v>165.51</v>
      </c>
      <c r="I30" s="16">
        <f t="shared" si="2"/>
        <v>124.14000000000001</v>
      </c>
      <c r="J30" s="27">
        <v>2397</v>
      </c>
      <c r="K30" t="str">
        <f>_xlfn.XLOOKUP(J:J,'[3]FILTROS 2'!$A:$A,'[3]FILTROS 2'!$E:$E,"",0,1)</f>
        <v>AEROSOLES PRISA</v>
      </c>
      <c r="L30" s="30"/>
      <c r="O30">
        <f>_xlfn.XLOOKUP(A:A,[4]TD90D!$A:$A,[4]TD90D!$CW:$CW,"",0,1)</f>
        <v>11</v>
      </c>
      <c r="P30">
        <f>_xlfn.XLOOKUP(A:A,[4]TD90D!$A:$A,[4]TD90D!$CX:$CX,"",0,1)</f>
        <v>5</v>
      </c>
      <c r="Q30">
        <f>_xlfn.XLOOKUP(A:A,[4]TD90D!$A:$A,[4]TD90D!$DA:$DA,"",0,1)</f>
        <v>0</v>
      </c>
      <c r="R30" s="31">
        <f t="shared" si="5"/>
        <v>0.45454545454545453</v>
      </c>
      <c r="S30">
        <f>_xlfn.XLOOKUP(A:A,'[4]TD90D PZAS'!$A:$A,'[4]TD90D PZAS'!$CW:$CW,"",0,1)</f>
        <v>97</v>
      </c>
      <c r="T30">
        <f>_xlfn.XLOOKUP(A:A,'[4]TD90D PZAS'!$A:$A,'[4]TD90D PZAS'!$CX:$CX,"",0,1)</f>
        <v>4</v>
      </c>
      <c r="U30">
        <f>_xlfn.XLOOKUP(A:A,'[4]TD90D PZAS'!$A:$A,'[4]TD90D PZAS'!$DA:$DA,"",0,1)</f>
        <v>0</v>
      </c>
    </row>
    <row r="31" spans="1:21" x14ac:dyDescent="0.35">
      <c r="A31" t="s">
        <v>11</v>
      </c>
      <c r="B31" t="str">
        <f>_xlfn.XLOOKUP(A:A,[1]Hoja1!$C:$C,[1]Hoja1!$D:$D,"",0,1)</f>
        <v>AEROSOL SUPER ORO</v>
      </c>
      <c r="C31" s="8">
        <v>10</v>
      </c>
      <c r="D31" s="11">
        <f>_xlfn.XLOOKUP(A:A,[2]Hoja1!$C:$C,[2]Hoja1!$H:$H,"",0,1)</f>
        <v>73.28</v>
      </c>
      <c r="E31" s="11">
        <f>_xlfn.XLOOKUP(A:A,[1]Hoja1!$C:$C,[1]Hoja1!$H:$H,"",0,1)</f>
        <v>55.17</v>
      </c>
      <c r="F31" s="14">
        <f>_xlfn.XLOOKUP(A:A,TD!A:A,TD!EC:EC,"",0,1)</f>
        <v>5.5</v>
      </c>
      <c r="G31" s="15">
        <f t="shared" si="0"/>
        <v>5</v>
      </c>
      <c r="H31" s="16">
        <f t="shared" si="1"/>
        <v>219.84</v>
      </c>
      <c r="I31" s="16">
        <f t="shared" si="2"/>
        <v>165.51</v>
      </c>
      <c r="J31" s="27">
        <v>2451</v>
      </c>
      <c r="K31" t="str">
        <f>_xlfn.XLOOKUP(J:J,'[3]FILTROS 2'!$A:$A,'[3]FILTROS 2'!$E:$E,"",0,1)</f>
        <v>AEROSOLES PRISA</v>
      </c>
      <c r="L31" s="30"/>
      <c r="O31">
        <f>_xlfn.XLOOKUP(A:A,[4]TD90D!$A:$A,[4]TD90D!$CW:$CW,"",0,1)</f>
        <v>6</v>
      </c>
      <c r="P31">
        <f>_xlfn.XLOOKUP(A:A,[4]TD90D!$A:$A,[4]TD90D!$CX:$CX,"",0,1)</f>
        <v>2</v>
      </c>
      <c r="Q31">
        <f>_xlfn.XLOOKUP(A:A,[4]TD90D!$A:$A,[4]TD90D!$DA:$DA,"",0,1)</f>
        <v>0</v>
      </c>
      <c r="R31" s="31">
        <f t="shared" si="5"/>
        <v>0.2</v>
      </c>
      <c r="S31">
        <f>_xlfn.XLOOKUP(A:A,'[4]TD90D PZAS'!$A:$A,'[4]TD90D PZAS'!$CW:$CW,"",0,1)</f>
        <v>12</v>
      </c>
      <c r="T31">
        <f>_xlfn.XLOOKUP(A:A,'[4]TD90D PZAS'!$A:$A,'[4]TD90D PZAS'!$CX:$CX,"",0,1)</f>
        <v>1</v>
      </c>
      <c r="U31">
        <f>_xlfn.XLOOKUP(A:A,'[4]TD90D PZAS'!$A:$A,'[4]TD90D PZAS'!$DA:$DA,"",0,1)</f>
        <v>0</v>
      </c>
    </row>
    <row r="32" spans="1:21" x14ac:dyDescent="0.35">
      <c r="A32" t="s">
        <v>82</v>
      </c>
      <c r="B32" t="str">
        <f>_xlfn.XLOOKUP(A:A,[1]Hoja1!$C:$C,[1]Hoja1!$D:$D,"",0,1)</f>
        <v>BRILLON BLANCO MATE</v>
      </c>
      <c r="C32" s="8">
        <v>10</v>
      </c>
      <c r="D32" s="11">
        <f>_xlfn.XLOOKUP(A:A,[2]Hoja1!$C:$C,[2]Hoja1!$H:$H,"",0,1)</f>
        <v>150.86000000000001</v>
      </c>
      <c r="E32" s="11">
        <f>_xlfn.XLOOKUP(A:A,[1]Hoja1!$C:$C,[1]Hoja1!$H:$H,"",0,1)</f>
        <v>112.93</v>
      </c>
      <c r="F32" s="14">
        <f>_xlfn.XLOOKUP(A:A,TD!A:A,TD!EC:EC,"",0,1)</f>
        <v>3.7</v>
      </c>
      <c r="G32" s="15">
        <f t="shared" si="0"/>
        <v>3</v>
      </c>
      <c r="H32" s="16">
        <f t="shared" si="1"/>
        <v>452.58000000000004</v>
      </c>
      <c r="I32" s="16">
        <f t="shared" si="2"/>
        <v>338.79</v>
      </c>
      <c r="J32" s="27">
        <v>28014</v>
      </c>
      <c r="K32" t="str">
        <f>_xlfn.XLOOKUP(J:J,'[3]FILTROS 2'!$A:$A,'[3]FILTROS 2'!$E:$E,"",0,1)</f>
        <v>ESMALTE - BRILLON</v>
      </c>
      <c r="L32" s="30"/>
      <c r="O32">
        <f>_xlfn.XLOOKUP(A:A,[4]TD90D!$A:$A,[4]TD90D!$CW:$CW,"",0,1)</f>
        <v>8</v>
      </c>
      <c r="P32">
        <f>_xlfn.XLOOKUP(A:A,[4]TD90D!$A:$A,[4]TD90D!$CX:$CX,"",0,1)</f>
        <v>4</v>
      </c>
      <c r="Q32">
        <f>_xlfn.XLOOKUP(A:A,[4]TD90D!$A:$A,[4]TD90D!$DA:$DA,"",0,1)</f>
        <v>0</v>
      </c>
      <c r="R32" s="31">
        <f t="shared" si="5"/>
        <v>0.4</v>
      </c>
      <c r="S32">
        <f>_xlfn.XLOOKUP(A:A,'[4]TD90D PZAS'!$A:$A,'[4]TD90D PZAS'!$CW:$CW,"",0,1)</f>
        <v>28</v>
      </c>
      <c r="T32">
        <f>_xlfn.XLOOKUP(A:A,'[4]TD90D PZAS'!$A:$A,'[4]TD90D PZAS'!$CX:$CX,"",0,1)</f>
        <v>3</v>
      </c>
      <c r="U32">
        <f>_xlfn.XLOOKUP(A:A,'[4]TD90D PZAS'!$A:$A,'[4]TD90D PZAS'!$DA:$DA,"",0,1)</f>
        <v>0</v>
      </c>
    </row>
    <row r="33" spans="1:21" x14ac:dyDescent="0.35">
      <c r="A33" t="s">
        <v>280</v>
      </c>
      <c r="B33" t="str">
        <f>_xlfn.XLOOKUP(A:A,[1]Hoja1!$C:$C,[1]Hoja1!$D:$D,"",0,1)</f>
        <v>VINILICA GLOSI BLANCO ULTRA</v>
      </c>
      <c r="C33" s="8">
        <v>10</v>
      </c>
      <c r="D33" s="11">
        <f>_xlfn.XLOOKUP(A:A,[2]Hoja1!$C:$C,[2]Hoja1!$H:$H,"",0,1)</f>
        <v>107.76</v>
      </c>
      <c r="E33" s="11">
        <f>_xlfn.XLOOKUP(A:A,[1]Hoja1!$C:$C,[1]Hoja1!$H:$H,"",0,1)</f>
        <v>78.45</v>
      </c>
      <c r="F33" s="14">
        <f>_xlfn.XLOOKUP(A:A,TD!A:A,TD!EC:EC,"",0,1)</f>
        <v>3.9</v>
      </c>
      <c r="G33" s="15">
        <f t="shared" si="0"/>
        <v>3</v>
      </c>
      <c r="H33" s="16">
        <f t="shared" si="1"/>
        <v>323.28000000000003</v>
      </c>
      <c r="I33" s="16">
        <f t="shared" si="2"/>
        <v>235.35000000000002</v>
      </c>
      <c r="J33" s="27" t="s">
        <v>280</v>
      </c>
      <c r="K33" t="str">
        <f>_xlfn.XLOOKUP(J:J,'[3]FILTROS 2'!$A:$A,'[3]FILTROS 2'!$E:$E,"",0,1)</f>
        <v>VINILICA - GLOSI 3 AÑOS</v>
      </c>
      <c r="L33" s="30"/>
      <c r="O33">
        <f>_xlfn.XLOOKUP(A:A,[4]TD90D!$A:$A,[4]TD90D!$CW:$CW,"",0,1)</f>
        <v>9</v>
      </c>
      <c r="P33">
        <f>_xlfn.XLOOKUP(A:A,[4]TD90D!$A:$A,[4]TD90D!$CX:$CX,"",0,1)</f>
        <v>4</v>
      </c>
      <c r="Q33">
        <f>_xlfn.XLOOKUP(A:A,[4]TD90D!$A:$A,[4]TD90D!$DA:$DA,"",0,1)</f>
        <v>0</v>
      </c>
      <c r="R33" s="31">
        <f t="shared" si="5"/>
        <v>0.4</v>
      </c>
      <c r="S33">
        <f>_xlfn.XLOOKUP(A:A,'[4]TD90D PZAS'!$A:$A,'[4]TD90D PZAS'!$CW:$CW,"",0,1)</f>
        <v>45</v>
      </c>
      <c r="T33">
        <f>_xlfn.XLOOKUP(A:A,'[4]TD90D PZAS'!$A:$A,'[4]TD90D PZAS'!$CX:$CX,"",0,1)</f>
        <v>4</v>
      </c>
      <c r="U33">
        <f>_xlfn.XLOOKUP(A:A,'[4]TD90D PZAS'!$A:$A,'[4]TD90D PZAS'!$DA:$DA,"",0,1)</f>
        <v>0</v>
      </c>
    </row>
    <row r="34" spans="1:21" x14ac:dyDescent="0.35">
      <c r="A34" t="s">
        <v>142</v>
      </c>
      <c r="B34" t="str">
        <f>_xlfn.XLOOKUP(A:A,[1]Hoja1!$C:$C,[1]Hoja1!$D:$D,"",0,1)</f>
        <v>BRILLON DORADO</v>
      </c>
      <c r="C34" s="8">
        <v>9</v>
      </c>
      <c r="D34" s="11">
        <f>_xlfn.XLOOKUP(A:A,[2]Hoja1!$C:$C,[2]Hoja1!$H:$H,"",0,1)</f>
        <v>58.62</v>
      </c>
      <c r="E34" s="11">
        <f>_xlfn.XLOOKUP(A:A,[1]Hoja1!$C:$C,[1]Hoja1!$H:$H,"",0,1)</f>
        <v>43.97</v>
      </c>
      <c r="F34" s="14">
        <f>_xlfn.XLOOKUP(A:A,TD!A:A,TD!EC:EC,"",0,1)</f>
        <v>4.1111111111111107</v>
      </c>
      <c r="G34" s="15">
        <f t="shared" si="0"/>
        <v>4</v>
      </c>
      <c r="H34" s="16">
        <f t="shared" si="1"/>
        <v>175.85999999999999</v>
      </c>
      <c r="I34" s="16">
        <f t="shared" si="2"/>
        <v>131.91</v>
      </c>
      <c r="J34" s="27">
        <v>28916</v>
      </c>
      <c r="K34" t="str">
        <f>_xlfn.XLOOKUP(J:J,'[3]FILTROS 2'!$A:$A,'[3]FILTROS 2'!$E:$E,"",0,1)</f>
        <v>ESMALTE - BRILLON</v>
      </c>
      <c r="L34" s="30"/>
      <c r="O34">
        <f>_xlfn.XLOOKUP(A:A,[4]TD90D!$A:$A,[4]TD90D!$CW:$CW,"",0,1)</f>
        <v>5</v>
      </c>
      <c r="P34">
        <f>_xlfn.XLOOKUP(A:A,[4]TD90D!$A:$A,[4]TD90D!$CX:$CX,"",0,1)</f>
        <v>2</v>
      </c>
      <c r="Q34">
        <f>_xlfn.XLOOKUP(A:A,[4]TD90D!$A:$A,[4]TD90D!$DA:$DA,"",0,1)</f>
        <v>0</v>
      </c>
      <c r="R34" s="31">
        <f t="shared" si="5"/>
        <v>0.22222222222222221</v>
      </c>
      <c r="S34">
        <f>_xlfn.XLOOKUP(A:A,'[4]TD90D PZAS'!$A:$A,'[4]TD90D PZAS'!$CW:$CW,"",0,1)</f>
        <v>18</v>
      </c>
      <c r="T34">
        <f>_xlfn.XLOOKUP(A:A,'[4]TD90D PZAS'!$A:$A,'[4]TD90D PZAS'!$CX:$CX,"",0,1)</f>
        <v>2</v>
      </c>
      <c r="U34">
        <f>_xlfn.XLOOKUP(A:A,'[4]TD90D PZAS'!$A:$A,'[4]TD90D PZAS'!$DA:$DA,"",0,1)</f>
        <v>0</v>
      </c>
    </row>
    <row r="35" spans="1:21" x14ac:dyDescent="0.35">
      <c r="A35" t="s">
        <v>65</v>
      </c>
      <c r="B35" t="str">
        <f>_xlfn.XLOOKUP(A:A,[1]Hoja1!$C:$C,[1]Hoja1!$D:$D,"",0,1)</f>
        <v>BRILLON CACAO</v>
      </c>
      <c r="C35" s="8">
        <v>9</v>
      </c>
      <c r="D35" s="11">
        <f>_xlfn.XLOOKUP(A:A,[2]Hoja1!$C:$C,[2]Hoja1!$H:$H,"",0,1)</f>
        <v>58.62</v>
      </c>
      <c r="E35" s="11">
        <f>_xlfn.XLOOKUP(A:A,[1]Hoja1!$C:$C,[1]Hoja1!$H:$H,"",0,1)</f>
        <v>43.97</v>
      </c>
      <c r="F35" s="14">
        <f>_xlfn.XLOOKUP(A:A,TD!A:A,TD!EC:EC,"",0,1)</f>
        <v>5.333333333333333</v>
      </c>
      <c r="G35" s="15">
        <f t="shared" si="0"/>
        <v>5</v>
      </c>
      <c r="H35" s="16">
        <f t="shared" si="1"/>
        <v>175.85999999999999</v>
      </c>
      <c r="I35" s="16">
        <f t="shared" si="2"/>
        <v>131.91</v>
      </c>
      <c r="J35" s="27">
        <v>28586</v>
      </c>
      <c r="K35" t="str">
        <f>_xlfn.XLOOKUP(J:J,'[3]FILTROS 2'!$A:$A,'[3]FILTROS 2'!$E:$E,"",0,1)</f>
        <v>ESMALTE - BRILLON</v>
      </c>
      <c r="L35" s="30"/>
      <c r="O35">
        <f>_xlfn.XLOOKUP(A:A,[4]TD90D!$A:$A,[4]TD90D!$CW:$CW,"",0,1)</f>
        <v>6</v>
      </c>
      <c r="P35">
        <f>_xlfn.XLOOKUP(A:A,[4]TD90D!$A:$A,[4]TD90D!$CX:$CX,"",0,1)</f>
        <v>2</v>
      </c>
      <c r="Q35">
        <f>_xlfn.XLOOKUP(A:A,[4]TD90D!$A:$A,[4]TD90D!$DA:$DA,"",0,1)</f>
        <v>0</v>
      </c>
      <c r="R35" s="31">
        <f t="shared" si="5"/>
        <v>0.22222222222222221</v>
      </c>
      <c r="S35">
        <f>_xlfn.XLOOKUP(A:A,'[4]TD90D PZAS'!$A:$A,'[4]TD90D PZAS'!$CW:$CW,"",0,1)</f>
        <v>12</v>
      </c>
      <c r="T35">
        <f>_xlfn.XLOOKUP(A:A,'[4]TD90D PZAS'!$A:$A,'[4]TD90D PZAS'!$CX:$CX,"",0,1)</f>
        <v>2</v>
      </c>
      <c r="U35">
        <f>_xlfn.XLOOKUP(A:A,'[4]TD90D PZAS'!$A:$A,'[4]TD90D PZAS'!$DA:$DA,"",0,1)</f>
        <v>0</v>
      </c>
    </row>
    <row r="36" spans="1:21" x14ac:dyDescent="0.35">
      <c r="A36" t="s">
        <v>329</v>
      </c>
      <c r="B36" t="str">
        <f>_xlfn.XLOOKUP(A:A,[1]Hoja1!$C:$C,[1]Hoja1!$D:$D,"",0,1)</f>
        <v>VINILICA GLOSI BLANCO BASIC</v>
      </c>
      <c r="C36" s="8">
        <v>9</v>
      </c>
      <c r="D36" s="11">
        <f>_xlfn.XLOOKUP(A:A,[2]Hoja1!$C:$C,[2]Hoja1!$H:$H,"",0,1)</f>
        <v>874.14</v>
      </c>
      <c r="E36" s="11">
        <f>_xlfn.XLOOKUP(A:A,[1]Hoja1!$C:$C,[1]Hoja1!$H:$H,"",0,1)</f>
        <v>656.03</v>
      </c>
      <c r="F36" s="14">
        <f>_xlfn.XLOOKUP(A:A,TD!A:A,TD!EC:EC,"",0,1)</f>
        <v>2.2222222222222223</v>
      </c>
      <c r="G36" s="15">
        <f t="shared" si="0"/>
        <v>2</v>
      </c>
      <c r="H36" s="16">
        <f t="shared" si="1"/>
        <v>2622.42</v>
      </c>
      <c r="I36" s="16">
        <f t="shared" si="2"/>
        <v>1968.09</v>
      </c>
      <c r="J36" s="27" t="s">
        <v>329</v>
      </c>
      <c r="K36" t="str">
        <f>_xlfn.XLOOKUP(J:J,'[3]FILTROS 2'!$A:$A,'[3]FILTROS 2'!$E:$E,"",0,1)</f>
        <v>VINILICA - GLOSI 3 AÑOS</v>
      </c>
      <c r="L36" s="30"/>
      <c r="O36">
        <f>_xlfn.XLOOKUP(A:A,[4]TD90D!$A:$A,[4]TD90D!$CW:$CW,"",0,1)</f>
        <v>10</v>
      </c>
      <c r="P36">
        <f>_xlfn.XLOOKUP(A:A,[4]TD90D!$A:$A,[4]TD90D!$CX:$CX,"",0,1)</f>
        <v>5</v>
      </c>
      <c r="Q36">
        <f>_xlfn.XLOOKUP(A:A,[4]TD90D!$A:$A,[4]TD90D!$DA:$DA,"",0,1)</f>
        <v>0</v>
      </c>
      <c r="R36" s="31">
        <f t="shared" si="5"/>
        <v>0.55555555555555558</v>
      </c>
      <c r="S36">
        <f>_xlfn.XLOOKUP(A:A,'[4]TD90D PZAS'!$A:$A,'[4]TD90D PZAS'!$CW:$CW,"",0,1)</f>
        <v>24</v>
      </c>
      <c r="T36">
        <f>_xlfn.XLOOKUP(A:A,'[4]TD90D PZAS'!$A:$A,'[4]TD90D PZAS'!$CX:$CX,"",0,1)</f>
        <v>5</v>
      </c>
      <c r="U36">
        <f>_xlfn.XLOOKUP(A:A,'[4]TD90D PZAS'!$A:$A,'[4]TD90D PZAS'!$DA:$DA,"",0,1)</f>
        <v>0</v>
      </c>
    </row>
    <row r="37" spans="1:21" x14ac:dyDescent="0.35">
      <c r="A37" t="s">
        <v>108</v>
      </c>
      <c r="B37" t="str">
        <f>_xlfn.XLOOKUP(A:A,[1]Hoja1!$C:$C,[1]Hoja1!$D:$D,"",0,1)</f>
        <v>BARNIZ ALQ. TRANSP. NATURAL</v>
      </c>
      <c r="C37" s="8">
        <v>9</v>
      </c>
      <c r="D37" s="11">
        <f>_xlfn.XLOOKUP(A:A,[2]Hoja1!$C:$C,[2]Hoja1!$H:$H,"",0,1)</f>
        <v>78.45</v>
      </c>
      <c r="E37" s="11">
        <f>_xlfn.XLOOKUP(A:A,[1]Hoja1!$C:$C,[1]Hoja1!$H:$H,"",0,1)</f>
        <v>56.03</v>
      </c>
      <c r="F37" s="14">
        <f>_xlfn.XLOOKUP(A:A,TD!A:A,TD!EC:EC,"",0,1)</f>
        <v>4.666666666666667</v>
      </c>
      <c r="G37" s="15">
        <f t="shared" si="0"/>
        <v>4</v>
      </c>
      <c r="H37" s="16">
        <f t="shared" si="1"/>
        <v>235.35000000000002</v>
      </c>
      <c r="I37" s="16">
        <f t="shared" si="2"/>
        <v>168.09</v>
      </c>
      <c r="J37" s="27">
        <v>28806</v>
      </c>
      <c r="K37" t="str">
        <f>_xlfn.XLOOKUP(J:J,'[3]FILTROS 2'!$A:$A,'[3]FILTROS 2'!$E:$E,"",0,1)</f>
        <v>BARNIZ ALQUIDALICO SIGLO</v>
      </c>
      <c r="L37" s="30"/>
      <c r="O37">
        <f>_xlfn.XLOOKUP(A:A,[4]TD90D!$A:$A,[4]TD90D!$CW:$CW,"",0,1)</f>
        <v>8</v>
      </c>
      <c r="P37">
        <f>_xlfn.XLOOKUP(A:A,[4]TD90D!$A:$A,[4]TD90D!$CX:$CX,"",0,1)</f>
        <v>3</v>
      </c>
      <c r="Q37">
        <f>_xlfn.XLOOKUP(A:A,[4]TD90D!$A:$A,[4]TD90D!$DA:$DA,"",0,1)</f>
        <v>0</v>
      </c>
      <c r="R37" s="31">
        <f t="shared" si="5"/>
        <v>0.33333333333333331</v>
      </c>
      <c r="S37">
        <f>_xlfn.XLOOKUP(A:A,'[4]TD90D PZAS'!$A:$A,'[4]TD90D PZAS'!$CW:$CW,"",0,1)</f>
        <v>36</v>
      </c>
      <c r="T37">
        <f>_xlfn.XLOOKUP(A:A,'[4]TD90D PZAS'!$A:$A,'[4]TD90D PZAS'!$CX:$CX,"",0,1)</f>
        <v>3</v>
      </c>
      <c r="U37">
        <f>_xlfn.XLOOKUP(A:A,'[4]TD90D PZAS'!$A:$A,'[4]TD90D PZAS'!$DA:$DA,"",0,1)</f>
        <v>0</v>
      </c>
    </row>
    <row r="38" spans="1:21" x14ac:dyDescent="0.35">
      <c r="A38" t="s">
        <v>93</v>
      </c>
      <c r="B38" t="str">
        <f>_xlfn.XLOOKUP(A:A,[1]Hoja1!$C:$C,[1]Hoja1!$D:$D,"",0,1)</f>
        <v>RELLENADOR AUTOMOTRIZ C/CATAL. ROJO</v>
      </c>
      <c r="C38" s="8">
        <v>9</v>
      </c>
      <c r="D38" s="11">
        <f>_xlfn.XLOOKUP(A:A,[2]Hoja1!$C:$C,[2]Hoja1!$H:$H,"",0,1)</f>
        <v>408.62</v>
      </c>
      <c r="E38" s="11">
        <f>_xlfn.XLOOKUP(A:A,[1]Hoja1!$C:$C,[1]Hoja1!$H:$H,"",0,1)</f>
        <v>305.17</v>
      </c>
      <c r="F38" s="14">
        <f>_xlfn.XLOOKUP(A:A,TD!A:A,TD!EC:EC,"",0,1)</f>
        <v>6.4444444444444446</v>
      </c>
      <c r="G38" s="15">
        <f t="shared" si="0"/>
        <v>6</v>
      </c>
      <c r="H38" s="16">
        <f t="shared" si="1"/>
        <v>1225.8600000000001</v>
      </c>
      <c r="I38" s="16">
        <f t="shared" si="2"/>
        <v>915.51</v>
      </c>
      <c r="J38" s="27">
        <v>29012</v>
      </c>
      <c r="K38" t="str">
        <f>_xlfn.XLOOKUP(J:J,'[3]FILTROS 2'!$A:$A,'[3]FILTROS 2'!$E:$E,"",0,1)</f>
        <v>PASTA RELLENADORA</v>
      </c>
      <c r="L38" s="30"/>
      <c r="O38">
        <f>_xlfn.XLOOKUP(A:A,[4]TD90D!$A:$A,[4]TD90D!$CW:$CW,"",0,1)</f>
        <v>11</v>
      </c>
      <c r="P38">
        <f>_xlfn.XLOOKUP(A:A,[4]TD90D!$A:$A,[4]TD90D!$CX:$CX,"",0,1)</f>
        <v>3</v>
      </c>
      <c r="Q38">
        <f>_xlfn.XLOOKUP(A:A,[4]TD90D!$A:$A,[4]TD90D!$DA:$DA,"",0,1)</f>
        <v>0</v>
      </c>
      <c r="R38" s="31">
        <f t="shared" si="5"/>
        <v>0.33333333333333331</v>
      </c>
      <c r="S38">
        <f>_xlfn.XLOOKUP(A:A,'[4]TD90D PZAS'!$A:$A,'[4]TD90D PZAS'!$CW:$CW,"",0,1)</f>
        <v>100</v>
      </c>
      <c r="T38">
        <f>_xlfn.XLOOKUP(A:A,'[4]TD90D PZAS'!$A:$A,'[4]TD90D PZAS'!$CX:$CX,"",0,1)</f>
        <v>3</v>
      </c>
      <c r="U38">
        <f>_xlfn.XLOOKUP(A:A,'[4]TD90D PZAS'!$A:$A,'[4]TD90D PZAS'!$DA:$DA,"",0,1)</f>
        <v>0</v>
      </c>
    </row>
    <row r="39" spans="1:21" x14ac:dyDescent="0.35">
      <c r="A39" t="s">
        <v>110</v>
      </c>
      <c r="B39" t="str">
        <f>_xlfn.XLOOKUP(A:A,[1]Hoja1!$C:$C,[1]Hoja1!$D:$D,"",0,1)</f>
        <v>BARNIZ GLOSI ALQUI CAOBA</v>
      </c>
      <c r="C39" s="8">
        <v>9</v>
      </c>
      <c r="D39" s="11">
        <f>_xlfn.XLOOKUP(A:A,[2]Hoja1!$C:$C,[2]Hoja1!$H:$H,"",0,1)</f>
        <v>68.97</v>
      </c>
      <c r="E39" s="11">
        <f>_xlfn.XLOOKUP(A:A,[1]Hoja1!$C:$C,[1]Hoja1!$H:$H,"",0,1)</f>
        <v>52.59</v>
      </c>
      <c r="F39" s="14">
        <f>_xlfn.XLOOKUP(A:A,TD!A:A,TD!EC:EC,"",0,1)</f>
        <v>3.3333333333333335</v>
      </c>
      <c r="G39" s="15">
        <f t="shared" si="0"/>
        <v>3</v>
      </c>
      <c r="H39" s="16">
        <f t="shared" si="1"/>
        <v>206.91</v>
      </c>
      <c r="I39" s="16">
        <f t="shared" si="2"/>
        <v>157.77000000000001</v>
      </c>
      <c r="J39" s="27" t="s">
        <v>110</v>
      </c>
      <c r="K39" t="str">
        <f>_xlfn.XLOOKUP(J:J,'[3]FILTROS 2'!$A:$A,'[3]FILTROS 2'!$E:$E,"",0,1)</f>
        <v>BARNIZ ALQUIDALICO GLOSI 3-1</v>
      </c>
      <c r="L39" s="30"/>
      <c r="O39">
        <f>_xlfn.XLOOKUP(A:A,[4]TD90D!$A:$A,[4]TD90D!$CW:$CW,"",0,1)</f>
        <v>4</v>
      </c>
      <c r="P39">
        <f>_xlfn.XLOOKUP(A:A,[4]TD90D!$A:$A,[4]TD90D!$CX:$CX,"",0,1)</f>
        <v>1</v>
      </c>
      <c r="Q39">
        <f>_xlfn.XLOOKUP(A:A,[4]TD90D!$A:$A,[4]TD90D!$DA:$DA,"",0,1)</f>
        <v>0</v>
      </c>
      <c r="R39" s="31">
        <f t="shared" si="5"/>
        <v>0.1111111111111111</v>
      </c>
      <c r="S39">
        <f>_xlfn.XLOOKUP(A:A,'[4]TD90D PZAS'!$A:$A,'[4]TD90D PZAS'!$CW:$CW,"",0,1)</f>
        <v>6</v>
      </c>
      <c r="T39">
        <f>_xlfn.XLOOKUP(A:A,'[4]TD90D PZAS'!$A:$A,'[4]TD90D PZAS'!$CX:$CX,"",0,1)</f>
        <v>1</v>
      </c>
      <c r="U39">
        <f>_xlfn.XLOOKUP(A:A,'[4]TD90D PZAS'!$A:$A,'[4]TD90D PZAS'!$DA:$DA,"",0,1)</f>
        <v>0</v>
      </c>
    </row>
    <row r="40" spans="1:21" x14ac:dyDescent="0.35">
      <c r="A40" t="s">
        <v>57</v>
      </c>
      <c r="B40" t="str">
        <f>_xlfn.XLOOKUP(A:A,[1]Hoja1!$C:$C,[1]Hoja1!$D:$D,"",0,1)</f>
        <v>AEROSOL GRIS CLARO</v>
      </c>
      <c r="C40" s="8">
        <v>8</v>
      </c>
      <c r="D40" s="11">
        <f>_xlfn.XLOOKUP(A:A,[2]Hoja1!$C:$C,[2]Hoja1!$H:$H,"",0,1)</f>
        <v>55.17</v>
      </c>
      <c r="E40" s="11">
        <f>_xlfn.XLOOKUP(A:A,[1]Hoja1!$C:$C,[1]Hoja1!$H:$H,"",0,1)</f>
        <v>41.38</v>
      </c>
      <c r="F40" s="14">
        <f>_xlfn.XLOOKUP(A:A,TD!A:A,TD!EC:EC,"",0,1)</f>
        <v>5.25</v>
      </c>
      <c r="G40" s="15">
        <f t="shared" si="0"/>
        <v>5</v>
      </c>
      <c r="H40" s="16">
        <f t="shared" si="1"/>
        <v>165.51</v>
      </c>
      <c r="I40" s="16">
        <f t="shared" si="2"/>
        <v>124.14000000000001</v>
      </c>
      <c r="J40" s="27">
        <v>2393</v>
      </c>
      <c r="K40" t="str">
        <f>_xlfn.XLOOKUP(J:J,'[3]FILTROS 2'!$A:$A,'[3]FILTROS 2'!$E:$E,"",0,1)</f>
        <v>AEROSOLES PRISA</v>
      </c>
      <c r="L40" s="30"/>
      <c r="O40">
        <f>_xlfn.XLOOKUP(A:A,[4]TD90D!$A:$A,[4]TD90D!$CW:$CW,"",0,1)</f>
        <v>6</v>
      </c>
      <c r="P40">
        <f>_xlfn.XLOOKUP(A:A,[4]TD90D!$A:$A,[4]TD90D!$CX:$CX,"",0,1)</f>
        <v>3</v>
      </c>
      <c r="Q40">
        <f>_xlfn.XLOOKUP(A:A,[4]TD90D!$A:$A,[4]TD90D!$DA:$DA,"",0,1)</f>
        <v>0</v>
      </c>
      <c r="R40" s="31">
        <f t="shared" si="5"/>
        <v>0.375</v>
      </c>
      <c r="S40">
        <f>_xlfn.XLOOKUP(A:A,'[4]TD90D PZAS'!$A:$A,'[4]TD90D PZAS'!$CW:$CW,"",0,1)</f>
        <v>36</v>
      </c>
      <c r="T40">
        <f>_xlfn.XLOOKUP(A:A,'[4]TD90D PZAS'!$A:$A,'[4]TD90D PZAS'!$CX:$CX,"",0,1)</f>
        <v>2</v>
      </c>
      <c r="U40">
        <f>_xlfn.XLOOKUP(A:A,'[4]TD90D PZAS'!$A:$A,'[4]TD90D PZAS'!$DA:$DA,"",0,1)</f>
        <v>0</v>
      </c>
    </row>
    <row r="41" spans="1:21" x14ac:dyDescent="0.35">
      <c r="A41" t="s">
        <v>330</v>
      </c>
      <c r="B41" t="str">
        <f>_xlfn.XLOOKUP(A:A,[1]Hoja1!$C:$C,[1]Hoja1!$D:$D,"",0,1)</f>
        <v>VINILICA GLOSI BLANCO BASIC</v>
      </c>
      <c r="C41" s="8">
        <v>8</v>
      </c>
      <c r="D41" s="11">
        <f>_xlfn.XLOOKUP(A:A,[2]Hoja1!$C:$C,[2]Hoja1!$H:$H,"",0,1)</f>
        <v>219.83</v>
      </c>
      <c r="E41" s="11">
        <f>_xlfn.XLOOKUP(A:A,[1]Hoja1!$C:$C,[1]Hoja1!$H:$H,"",0,1)</f>
        <v>163.79</v>
      </c>
      <c r="F41" s="14">
        <f>_xlfn.XLOOKUP(A:A,TD!A:A,TD!EC:EC,"",0,1)</f>
        <v>3.5</v>
      </c>
      <c r="G41" s="15">
        <f t="shared" si="0"/>
        <v>3</v>
      </c>
      <c r="H41" s="16">
        <f t="shared" si="1"/>
        <v>659.49</v>
      </c>
      <c r="I41" s="16">
        <f t="shared" si="2"/>
        <v>491.37</v>
      </c>
      <c r="J41" s="27" t="s">
        <v>330</v>
      </c>
      <c r="K41" t="str">
        <f>_xlfn.XLOOKUP(J:J,'[3]FILTROS 2'!$A:$A,'[3]FILTROS 2'!$E:$E,"",0,1)</f>
        <v>VINILICA - GLOSI BASIC</v>
      </c>
      <c r="L41" s="30"/>
      <c r="O41">
        <f>_xlfn.XLOOKUP(A:A,[4]TD90D!$A:$A,[4]TD90D!$CW:$CW,"",0,1)</f>
        <v>9</v>
      </c>
      <c r="P41">
        <f>_xlfn.XLOOKUP(A:A,[4]TD90D!$A:$A,[4]TD90D!$CX:$CX,"",0,1)</f>
        <v>4</v>
      </c>
      <c r="Q41">
        <f>_xlfn.XLOOKUP(A:A,[4]TD90D!$A:$A,[4]TD90D!$DA:$DA,"",0,1)</f>
        <v>0</v>
      </c>
      <c r="R41" s="31">
        <f t="shared" si="5"/>
        <v>0.5</v>
      </c>
      <c r="S41">
        <f>_xlfn.XLOOKUP(A:A,'[4]TD90D PZAS'!$A:$A,'[4]TD90D PZAS'!$CW:$CW,"",0,1)</f>
        <v>38</v>
      </c>
      <c r="T41">
        <f>_xlfn.XLOOKUP(A:A,'[4]TD90D PZAS'!$A:$A,'[4]TD90D PZAS'!$CX:$CX,"",0,1)</f>
        <v>4</v>
      </c>
      <c r="U41">
        <f>_xlfn.XLOOKUP(A:A,'[4]TD90D PZAS'!$A:$A,'[4]TD90D PZAS'!$DA:$DA,"",0,1)</f>
        <v>0</v>
      </c>
    </row>
    <row r="42" spans="1:21" x14ac:dyDescent="0.35">
      <c r="A42" t="s">
        <v>112</v>
      </c>
      <c r="B42" t="str">
        <f>_xlfn.XLOOKUP(A:A,[1]Hoja1!$C:$C,[1]Hoja1!$D:$D,"",0,1)</f>
        <v>BARNIZ GLOSI ALQUI NOGAL</v>
      </c>
      <c r="C42" s="8">
        <v>8</v>
      </c>
      <c r="D42" s="11">
        <f>_xlfn.XLOOKUP(A:A,[2]Hoja1!$C:$C,[2]Hoja1!$H:$H,"",0,1)</f>
        <v>68.97</v>
      </c>
      <c r="E42" s="11">
        <f>_xlfn.XLOOKUP(A:A,[1]Hoja1!$C:$C,[1]Hoja1!$H:$H,"",0,1)</f>
        <v>52.59</v>
      </c>
      <c r="F42" s="14">
        <f>_xlfn.XLOOKUP(A:A,TD!A:A,TD!EC:EC,"",0,1)</f>
        <v>2.25</v>
      </c>
      <c r="G42" s="15">
        <f t="shared" si="0"/>
        <v>2</v>
      </c>
      <c r="H42" s="16">
        <f t="shared" si="1"/>
        <v>206.91</v>
      </c>
      <c r="I42" s="16">
        <f t="shared" si="2"/>
        <v>157.77000000000001</v>
      </c>
      <c r="J42" s="27" t="s">
        <v>112</v>
      </c>
      <c r="K42" t="str">
        <f>_xlfn.XLOOKUP(J:J,'[3]FILTROS 2'!$A:$A,'[3]FILTROS 2'!$E:$E,"",0,1)</f>
        <v>BARNIZ ALQUIDALICO GLOSI 3-1</v>
      </c>
      <c r="L42" s="30"/>
      <c r="O42">
        <f>_xlfn.XLOOKUP(A:A,[4]TD90D!$A:$A,[4]TD90D!$CW:$CW,"",0,1)</f>
        <v>5</v>
      </c>
      <c r="P42">
        <f>_xlfn.XLOOKUP(A:A,[4]TD90D!$A:$A,[4]TD90D!$CX:$CX,"",0,1)</f>
        <v>2</v>
      </c>
      <c r="Q42">
        <f>_xlfn.XLOOKUP(A:A,[4]TD90D!$A:$A,[4]TD90D!$DA:$DA,"",0,1)</f>
        <v>0</v>
      </c>
      <c r="R42" s="31">
        <f t="shared" si="5"/>
        <v>0.25</v>
      </c>
      <c r="S42">
        <f>_xlfn.XLOOKUP(A:A,'[4]TD90D PZAS'!$A:$A,'[4]TD90D PZAS'!$CW:$CW,"",0,1)</f>
        <v>12</v>
      </c>
      <c r="T42">
        <f>_xlfn.XLOOKUP(A:A,'[4]TD90D PZAS'!$A:$A,'[4]TD90D PZAS'!$CX:$CX,"",0,1)</f>
        <v>2</v>
      </c>
      <c r="U42">
        <f>_xlfn.XLOOKUP(A:A,'[4]TD90D PZAS'!$A:$A,'[4]TD90D PZAS'!$DA:$DA,"",0,1)</f>
        <v>0</v>
      </c>
    </row>
    <row r="43" spans="1:21" x14ac:dyDescent="0.35">
      <c r="A43" t="s">
        <v>68</v>
      </c>
      <c r="B43" t="str">
        <f>_xlfn.XLOOKUP(A:A,[1]Hoja1!$C:$C,[1]Hoja1!$D:$D,"",0,1)</f>
        <v>BRILLON GRIS</v>
      </c>
      <c r="C43" s="8">
        <v>8</v>
      </c>
      <c r="D43" s="11">
        <f>_xlfn.XLOOKUP(A:A,[2]Hoja1!$C:$C,[2]Hoja1!$H:$H,"",0,1)</f>
        <v>150.86000000000001</v>
      </c>
      <c r="E43" s="11">
        <f>_xlfn.XLOOKUP(A:A,[1]Hoja1!$C:$C,[1]Hoja1!$H:$H,"",0,1)</f>
        <v>112.93</v>
      </c>
      <c r="F43" s="14">
        <f>_xlfn.XLOOKUP(A:A,TD!A:A,TD!EC:EC,"",0,1)</f>
        <v>4.875</v>
      </c>
      <c r="G43" s="15">
        <f t="shared" si="0"/>
        <v>4</v>
      </c>
      <c r="H43" s="16">
        <f t="shared" si="1"/>
        <v>452.58000000000004</v>
      </c>
      <c r="I43" s="16">
        <f t="shared" si="2"/>
        <v>338.79</v>
      </c>
      <c r="J43" s="27">
        <v>28934</v>
      </c>
      <c r="K43" t="str">
        <f>_xlfn.XLOOKUP(J:J,'[3]FILTROS 2'!$A:$A,'[3]FILTROS 2'!$E:$E,"",0,1)</f>
        <v>ESMALTE - BRILLON</v>
      </c>
      <c r="L43" s="30"/>
      <c r="O43">
        <f>_xlfn.XLOOKUP(A:A,[4]TD90D!$A:$A,[4]TD90D!$CW:$CW,"",0,1)</f>
        <v>2</v>
      </c>
      <c r="P43">
        <f>_xlfn.XLOOKUP(A:A,[4]TD90D!$A:$A,[4]TD90D!$CX:$CX,"",0,1)</f>
        <v>1</v>
      </c>
      <c r="Q43">
        <f>_xlfn.XLOOKUP(A:A,[4]TD90D!$A:$A,[4]TD90D!$DA:$DA,"",0,1)</f>
        <v>0</v>
      </c>
      <c r="R43" s="31">
        <f t="shared" si="5"/>
        <v>0.125</v>
      </c>
      <c r="S43">
        <f>_xlfn.XLOOKUP(A:A,'[4]TD90D PZAS'!$A:$A,'[4]TD90D PZAS'!$CW:$CW,"",0,1)</f>
        <v>12</v>
      </c>
      <c r="T43">
        <f>_xlfn.XLOOKUP(A:A,'[4]TD90D PZAS'!$A:$A,'[4]TD90D PZAS'!$CX:$CX,"",0,1)</f>
        <v>1</v>
      </c>
      <c r="U43">
        <f>_xlfn.XLOOKUP(A:A,'[4]TD90D PZAS'!$A:$A,'[4]TD90D PZAS'!$DA:$DA,"",0,1)</f>
        <v>0</v>
      </c>
    </row>
    <row r="44" spans="1:21" x14ac:dyDescent="0.35">
      <c r="A44" t="s">
        <v>15</v>
      </c>
      <c r="B44" t="str">
        <f>_xlfn.XLOOKUP(A:A,[1]Hoja1!$C:$C,[1]Hoja1!$D:$D,"",0,1)</f>
        <v>AEROSOL BLANCO MATE</v>
      </c>
      <c r="C44" s="8">
        <v>8</v>
      </c>
      <c r="D44" s="11">
        <f>_xlfn.XLOOKUP(A:A,[2]Hoja1!$C:$C,[2]Hoja1!$H:$H,"",0,1)</f>
        <v>55.17</v>
      </c>
      <c r="E44" s="11">
        <f>_xlfn.XLOOKUP(A:A,[1]Hoja1!$C:$C,[1]Hoja1!$H:$H,"",0,1)</f>
        <v>41.38</v>
      </c>
      <c r="F44" s="14">
        <f>_xlfn.XLOOKUP(A:A,TD!A:A,TD!EC:EC,"",0,1)</f>
        <v>5.125</v>
      </c>
      <c r="G44" s="15">
        <f t="shared" si="0"/>
        <v>5</v>
      </c>
      <c r="H44" s="16">
        <f t="shared" si="1"/>
        <v>165.51</v>
      </c>
      <c r="I44" s="16">
        <f t="shared" si="2"/>
        <v>124.14000000000001</v>
      </c>
      <c r="J44" s="27">
        <v>2301</v>
      </c>
      <c r="K44" t="str">
        <f>_xlfn.XLOOKUP(J:J,'[3]FILTROS 2'!$A:$A,'[3]FILTROS 2'!$E:$E,"",0,1)</f>
        <v>AEROSOLES PRISA</v>
      </c>
      <c r="L44" s="30"/>
      <c r="O44">
        <f>_xlfn.XLOOKUP(A:A,[4]TD90D!$A:$A,[4]TD90D!$CW:$CW,"",0,1)</f>
        <v>5</v>
      </c>
      <c r="P44">
        <f>_xlfn.XLOOKUP(A:A,[4]TD90D!$A:$A,[4]TD90D!$CX:$CX,"",0,1)</f>
        <v>2</v>
      </c>
      <c r="Q44">
        <f>_xlfn.XLOOKUP(A:A,[4]TD90D!$A:$A,[4]TD90D!$DA:$DA,"",0,1)</f>
        <v>0</v>
      </c>
      <c r="R44" s="31">
        <f t="shared" si="5"/>
        <v>0.25</v>
      </c>
      <c r="S44">
        <f>_xlfn.XLOOKUP(A:A,'[4]TD90D PZAS'!$A:$A,'[4]TD90D PZAS'!$CW:$CW,"",0,1)</f>
        <v>18</v>
      </c>
      <c r="T44">
        <f>_xlfn.XLOOKUP(A:A,'[4]TD90D PZAS'!$A:$A,'[4]TD90D PZAS'!$CX:$CX,"",0,1)</f>
        <v>2</v>
      </c>
      <c r="U44">
        <f>_xlfn.XLOOKUP(A:A,'[4]TD90D PZAS'!$A:$A,'[4]TD90D PZAS'!$DA:$DA,"",0,1)</f>
        <v>0</v>
      </c>
    </row>
    <row r="45" spans="1:21" x14ac:dyDescent="0.35">
      <c r="A45" t="s">
        <v>77</v>
      </c>
      <c r="B45" t="str">
        <f>_xlfn.XLOOKUP(A:A,[1]Hoja1!$C:$C,[1]Hoja1!$D:$D,"",0,1)</f>
        <v>ESMALTE GLOSI SR NEGRO MATE</v>
      </c>
      <c r="C45" s="8">
        <v>8</v>
      </c>
      <c r="D45" s="11">
        <f>_xlfn.XLOOKUP(A:A,[2]Hoja1!$C:$C,[2]Hoja1!$H:$H,"",0,1)</f>
        <v>730.17</v>
      </c>
      <c r="E45" s="11">
        <f>_xlfn.XLOOKUP(A:A,[1]Hoja1!$C:$C,[1]Hoja1!$H:$H,"",0,1)</f>
        <v>584.48</v>
      </c>
      <c r="F45" s="14">
        <f>_xlfn.XLOOKUP(A:A,TD!A:A,TD!EC:EC,"",0,1)</f>
        <v>1.25</v>
      </c>
      <c r="G45" s="15">
        <f t="shared" si="0"/>
        <v>1</v>
      </c>
      <c r="H45" s="16">
        <f t="shared" si="1"/>
        <v>2190.5099999999998</v>
      </c>
      <c r="I45" s="16">
        <f t="shared" si="2"/>
        <v>1753.44</v>
      </c>
      <c r="J45" s="27" t="s">
        <v>77</v>
      </c>
      <c r="K45" t="str">
        <f>_xlfn.XLOOKUP(J:J,'[3]FILTROS 2'!$A:$A,'[3]FILTROS 2'!$E:$E,"",0,1)</f>
        <v>ESMALTE - GLOSI SECADO RAPIDO</v>
      </c>
      <c r="L45" s="30"/>
      <c r="O45">
        <f>_xlfn.XLOOKUP(A:A,[4]TD90D!$A:$A,[4]TD90D!$CW:$CW,"",0,1)</f>
        <v>11</v>
      </c>
      <c r="P45">
        <f>_xlfn.XLOOKUP(A:A,[4]TD90D!$A:$A,[4]TD90D!$CX:$CX,"",0,1)</f>
        <v>2</v>
      </c>
      <c r="Q45">
        <f>_xlfn.XLOOKUP(A:A,[4]TD90D!$A:$A,[4]TD90D!$DA:$DA,"",0,1)</f>
        <v>0</v>
      </c>
      <c r="R45" s="31">
        <f t="shared" si="5"/>
        <v>0.25</v>
      </c>
      <c r="S45">
        <f>_xlfn.XLOOKUP(A:A,'[4]TD90D PZAS'!$A:$A,'[4]TD90D PZAS'!$CW:$CW,"",0,1)</f>
        <v>48</v>
      </c>
      <c r="T45">
        <f>_xlfn.XLOOKUP(A:A,'[4]TD90D PZAS'!$A:$A,'[4]TD90D PZAS'!$CX:$CX,"",0,1)</f>
        <v>2</v>
      </c>
      <c r="U45">
        <f>_xlfn.XLOOKUP(A:A,'[4]TD90D PZAS'!$A:$A,'[4]TD90D PZAS'!$DA:$DA,"",0,1)</f>
        <v>0</v>
      </c>
    </row>
    <row r="46" spans="1:21" x14ac:dyDescent="0.35">
      <c r="A46" t="s">
        <v>44</v>
      </c>
      <c r="B46" t="str">
        <f>_xlfn.XLOOKUP(A:A,[1]Hoja1!$C:$C,[1]Hoja1!$D:$D,"",0,1)</f>
        <v>BRILLON CACAO</v>
      </c>
      <c r="C46" s="8">
        <v>7</v>
      </c>
      <c r="D46" s="11">
        <f>_xlfn.XLOOKUP(A:A,[2]Hoja1!$C:$C,[2]Hoja1!$H:$H,"",0,1)</f>
        <v>150.86000000000001</v>
      </c>
      <c r="E46" s="11">
        <f>_xlfn.XLOOKUP(A:A,[1]Hoja1!$C:$C,[1]Hoja1!$H:$H,"",0,1)</f>
        <v>112.93</v>
      </c>
      <c r="F46" s="14">
        <f>_xlfn.XLOOKUP(A:A,TD!A:A,TD!EC:EC,"",0,1)</f>
        <v>4.2857142857142856</v>
      </c>
      <c r="G46" s="15">
        <f t="shared" si="0"/>
        <v>4</v>
      </c>
      <c r="H46" s="16">
        <f t="shared" si="1"/>
        <v>452.58000000000004</v>
      </c>
      <c r="I46" s="16">
        <f t="shared" si="2"/>
        <v>338.79</v>
      </c>
      <c r="J46" s="27">
        <v>28584</v>
      </c>
      <c r="K46" t="str">
        <f>_xlfn.XLOOKUP(J:J,'[3]FILTROS 2'!$A:$A,'[3]FILTROS 2'!$E:$E,"",0,1)</f>
        <v>ESMALTE - BRILLON</v>
      </c>
      <c r="L46" s="30"/>
      <c r="O46">
        <f>_xlfn.XLOOKUP(A:A,[4]TD90D!$A:$A,[4]TD90D!$CW:$CW,"",0,1)</f>
        <v>2</v>
      </c>
      <c r="P46">
        <f>_xlfn.XLOOKUP(A:A,[4]TD90D!$A:$A,[4]TD90D!$CX:$CX,"",0,1)</f>
        <v>1</v>
      </c>
      <c r="Q46">
        <f>_xlfn.XLOOKUP(A:A,[4]TD90D!$A:$A,[4]TD90D!$DA:$DA,"",0,1)</f>
        <v>0</v>
      </c>
      <c r="R46" s="31">
        <f t="shared" si="5"/>
        <v>0.14285714285714285</v>
      </c>
      <c r="S46">
        <f>_xlfn.XLOOKUP(A:A,'[4]TD90D PZAS'!$A:$A,'[4]TD90D PZAS'!$CW:$CW,"",0,1)</f>
        <v>12</v>
      </c>
      <c r="T46">
        <f>_xlfn.XLOOKUP(A:A,'[4]TD90D PZAS'!$A:$A,'[4]TD90D PZAS'!$CX:$CX,"",0,1)</f>
        <v>1</v>
      </c>
      <c r="U46">
        <f>_xlfn.XLOOKUP(A:A,'[4]TD90D PZAS'!$A:$A,'[4]TD90D PZAS'!$DA:$DA,"",0,1)</f>
        <v>0</v>
      </c>
    </row>
    <row r="47" spans="1:21" x14ac:dyDescent="0.35">
      <c r="A47" t="s">
        <v>40</v>
      </c>
      <c r="B47" t="str">
        <f>_xlfn.XLOOKUP(A:A,[1]Hoja1!$C:$C,[1]Hoja1!$D:$D,"",0,1)</f>
        <v>VINILICA GLOSI BLANCO 5A</v>
      </c>
      <c r="C47" s="8">
        <v>7</v>
      </c>
      <c r="D47" s="11">
        <f>_xlfn.XLOOKUP(A:A,[2]Hoja1!$C:$C,[2]Hoja1!$H:$H,"",0,1)</f>
        <v>1213.79</v>
      </c>
      <c r="E47" s="11">
        <f>_xlfn.XLOOKUP(A:A,[1]Hoja1!$C:$C,[1]Hoja1!$H:$H,"",0,1)</f>
        <v>909.48</v>
      </c>
      <c r="F47" s="14">
        <f>_xlfn.XLOOKUP(A:A,TD!A:A,TD!EC:EC,"",0,1)</f>
        <v>3.8571428571428572</v>
      </c>
      <c r="G47" s="15">
        <f t="shared" si="0"/>
        <v>3</v>
      </c>
      <c r="H47" s="16">
        <f t="shared" si="1"/>
        <v>3641.37</v>
      </c>
      <c r="I47" s="16">
        <f t="shared" si="2"/>
        <v>2728.44</v>
      </c>
      <c r="J47" s="27" t="s">
        <v>40</v>
      </c>
      <c r="K47" t="str">
        <f>_xlfn.XLOOKUP(J:J,'[3]FILTROS 2'!$A:$A,'[3]FILTROS 2'!$E:$E,"",0,1)</f>
        <v>VINILICA - GLOSI 5 AÑOS</v>
      </c>
      <c r="L47" s="30"/>
      <c r="O47">
        <f>_xlfn.XLOOKUP(A:A,[4]TD90D!$A:$A,[4]TD90D!$CW:$CW,"",0,1)</f>
        <v>6</v>
      </c>
      <c r="P47">
        <f>_xlfn.XLOOKUP(A:A,[4]TD90D!$A:$A,[4]TD90D!$CX:$CX,"",0,1)</f>
        <v>3</v>
      </c>
      <c r="Q47">
        <f>_xlfn.XLOOKUP(A:A,[4]TD90D!$A:$A,[4]TD90D!$DA:$DA,"",0,1)</f>
        <v>0</v>
      </c>
      <c r="R47" s="31">
        <f t="shared" si="5"/>
        <v>0.42857142857142855</v>
      </c>
      <c r="S47">
        <f>_xlfn.XLOOKUP(A:A,'[4]TD90D PZAS'!$A:$A,'[4]TD90D PZAS'!$CW:$CW,"",0,1)</f>
        <v>19</v>
      </c>
      <c r="T47">
        <f>_xlfn.XLOOKUP(A:A,'[4]TD90D PZAS'!$A:$A,'[4]TD90D PZAS'!$CX:$CX,"",0,1)</f>
        <v>3</v>
      </c>
      <c r="U47">
        <f>_xlfn.XLOOKUP(A:A,'[4]TD90D PZAS'!$A:$A,'[4]TD90D PZAS'!$DA:$DA,"",0,1)</f>
        <v>0</v>
      </c>
    </row>
    <row r="48" spans="1:21" x14ac:dyDescent="0.35">
      <c r="A48" t="s">
        <v>72</v>
      </c>
      <c r="B48" t="str">
        <f>_xlfn.XLOOKUP(A:A,[1]Hoja1!$C:$C,[1]Hoja1!$D:$D,"",0,1)</f>
        <v>BRILLON NEGRO MATE</v>
      </c>
      <c r="C48" s="8">
        <v>7</v>
      </c>
      <c r="D48" s="11">
        <f>_xlfn.XLOOKUP(A:A,[2]Hoja1!$C:$C,[2]Hoja1!$H:$H,"",0,1)</f>
        <v>150.86000000000001</v>
      </c>
      <c r="E48" s="11">
        <f>_xlfn.XLOOKUP(A:A,[1]Hoja1!$C:$C,[1]Hoja1!$H:$H,"",0,1)</f>
        <v>112.93</v>
      </c>
      <c r="F48" s="14">
        <f>_xlfn.XLOOKUP(A:A,TD!A:A,TD!EC:EC,"",0,1)</f>
        <v>3.5714285714285716</v>
      </c>
      <c r="G48" s="15">
        <f t="shared" si="0"/>
        <v>3</v>
      </c>
      <c r="H48" s="16">
        <f t="shared" si="1"/>
        <v>452.58000000000004</v>
      </c>
      <c r="I48" s="16">
        <f t="shared" si="2"/>
        <v>338.79</v>
      </c>
      <c r="J48" s="27">
        <v>28964</v>
      </c>
      <c r="K48" t="str">
        <f>_xlfn.XLOOKUP(J:J,'[3]FILTROS 2'!$A:$A,'[3]FILTROS 2'!$E:$E,"",0,1)</f>
        <v>ESMALTE - BRILLON</v>
      </c>
      <c r="L48" s="30"/>
      <c r="O48">
        <f>_xlfn.XLOOKUP(A:A,[4]TD90D!$A:$A,[4]TD90D!$CW:$CW,"",0,1)</f>
        <v>6</v>
      </c>
      <c r="P48">
        <f>_xlfn.XLOOKUP(A:A,[4]TD90D!$A:$A,[4]TD90D!$CX:$CX,"",0,1)</f>
        <v>2</v>
      </c>
      <c r="Q48">
        <f>_xlfn.XLOOKUP(A:A,[4]TD90D!$A:$A,[4]TD90D!$DA:$DA,"",0,1)</f>
        <v>0</v>
      </c>
      <c r="R48" s="31">
        <f t="shared" si="5"/>
        <v>0.2857142857142857</v>
      </c>
      <c r="S48">
        <f>_xlfn.XLOOKUP(A:A,'[4]TD90D PZAS'!$A:$A,'[4]TD90D PZAS'!$CW:$CW,"",0,1)</f>
        <v>19</v>
      </c>
      <c r="T48">
        <f>_xlfn.XLOOKUP(A:A,'[4]TD90D PZAS'!$A:$A,'[4]TD90D PZAS'!$CX:$CX,"",0,1)</f>
        <v>2</v>
      </c>
      <c r="U48">
        <f>_xlfn.XLOOKUP(A:A,'[4]TD90D PZAS'!$A:$A,'[4]TD90D PZAS'!$DA:$DA,"",0,1)</f>
        <v>0</v>
      </c>
    </row>
    <row r="49" spans="1:21" x14ac:dyDescent="0.35">
      <c r="A49" t="s">
        <v>86</v>
      </c>
      <c r="B49" t="str">
        <f>_xlfn.XLOOKUP(A:A,[1]Hoja1!$C:$C,[1]Hoja1!$D:$D,"",0,1)</f>
        <v>ESMALTE BRILLON BLANCO.</v>
      </c>
      <c r="C49" s="8">
        <v>7</v>
      </c>
      <c r="D49" s="11">
        <f>_xlfn.XLOOKUP(A:A,[2]Hoja1!$C:$C,[2]Hoja1!$H:$H,"",0,1)</f>
        <v>533.62</v>
      </c>
      <c r="E49" s="11">
        <f>_xlfn.XLOOKUP(A:A,[1]Hoja1!$C:$C,[1]Hoja1!$H:$H,"",0,1)</f>
        <v>401.72</v>
      </c>
      <c r="F49" s="14">
        <f>_xlfn.XLOOKUP(A:A,TD!A:A,TD!EC:EC,"",0,1)</f>
        <v>2.4285714285714284</v>
      </c>
      <c r="G49" s="15">
        <f t="shared" si="0"/>
        <v>2</v>
      </c>
      <c r="H49" s="16">
        <f t="shared" si="1"/>
        <v>1600.8600000000001</v>
      </c>
      <c r="I49" s="16">
        <f t="shared" si="2"/>
        <v>1205.1600000000001</v>
      </c>
      <c r="J49" s="27">
        <v>28003</v>
      </c>
      <c r="K49" t="str">
        <f>_xlfn.XLOOKUP(J:J,'[3]FILTROS 2'!$A:$A,'[3]FILTROS 2'!$E:$E,"",0,1)</f>
        <v>ESMALTE - BRILLON</v>
      </c>
      <c r="L49" s="30"/>
      <c r="O49">
        <f>_xlfn.XLOOKUP(A:A,[4]TD90D!$A:$A,[4]TD90D!$CW:$CW,"",0,1)</f>
        <v>6</v>
      </c>
      <c r="P49">
        <f>_xlfn.XLOOKUP(A:A,[4]TD90D!$A:$A,[4]TD90D!$CX:$CX,"",0,1)</f>
        <v>2</v>
      </c>
      <c r="Q49">
        <f>_xlfn.XLOOKUP(A:A,[4]TD90D!$A:$A,[4]TD90D!$DA:$DA,"",0,1)</f>
        <v>0</v>
      </c>
      <c r="R49" s="31">
        <f t="shared" si="5"/>
        <v>0.2857142857142857</v>
      </c>
      <c r="S49">
        <f>_xlfn.XLOOKUP(A:A,'[4]TD90D PZAS'!$A:$A,'[4]TD90D PZAS'!$CW:$CW,"",0,1)</f>
        <v>18</v>
      </c>
      <c r="T49">
        <f>_xlfn.XLOOKUP(A:A,'[4]TD90D PZAS'!$A:$A,'[4]TD90D PZAS'!$CX:$CX,"",0,1)</f>
        <v>2</v>
      </c>
      <c r="U49">
        <f>_xlfn.XLOOKUP(A:A,'[4]TD90D PZAS'!$A:$A,'[4]TD90D PZAS'!$DA:$DA,"",0,1)</f>
        <v>0</v>
      </c>
    </row>
    <row r="50" spans="1:21" x14ac:dyDescent="0.35">
      <c r="A50" t="s">
        <v>126</v>
      </c>
      <c r="B50" t="str">
        <f>_xlfn.XLOOKUP(A:A,[1]Hoja1!$C:$C,[1]Hoja1!$D:$D,"",0,1)</f>
        <v>BARNIZ GLOSI ALQUI CEDRO</v>
      </c>
      <c r="C50" s="8">
        <v>7</v>
      </c>
      <c r="D50" s="11">
        <f>_xlfn.XLOOKUP(A:A,[2]Hoja1!$C:$C,[2]Hoja1!$H:$H,"",0,1)</f>
        <v>68.97</v>
      </c>
      <c r="E50" s="11">
        <f>_xlfn.XLOOKUP(A:A,[1]Hoja1!$C:$C,[1]Hoja1!$H:$H,"",0,1)</f>
        <v>52.59</v>
      </c>
      <c r="F50" s="14">
        <f>_xlfn.XLOOKUP(A:A,TD!A:A,TD!EC:EC,"",0,1)</f>
        <v>5.1428571428571432</v>
      </c>
      <c r="G50" s="15">
        <f t="shared" si="0"/>
        <v>5</v>
      </c>
      <c r="H50" s="16">
        <f t="shared" si="1"/>
        <v>206.91</v>
      </c>
      <c r="I50" s="16">
        <f t="shared" si="2"/>
        <v>157.77000000000001</v>
      </c>
      <c r="J50" s="27" t="s">
        <v>126</v>
      </c>
      <c r="K50" t="str">
        <f>_xlfn.XLOOKUP(J:J,'[3]FILTROS 2'!$A:$A,'[3]FILTROS 2'!$E:$E,"",0,1)</f>
        <v>BARNIZ ALQUIDALICO GLOSI 3-1</v>
      </c>
      <c r="L50" s="30"/>
      <c r="O50">
        <f>_xlfn.XLOOKUP(A:A,[4]TD90D!$A:$A,[4]TD90D!$CW:$CW,"",0,1)</f>
        <v>2</v>
      </c>
      <c r="P50">
        <f>_xlfn.XLOOKUP(A:A,[4]TD90D!$A:$A,[4]TD90D!$CX:$CX,"",0,1)</f>
        <v>1</v>
      </c>
      <c r="Q50">
        <f>_xlfn.XLOOKUP(A:A,[4]TD90D!$A:$A,[4]TD90D!$DA:$DA,"",0,1)</f>
        <v>0</v>
      </c>
      <c r="R50" s="31">
        <f t="shared" si="5"/>
        <v>0.14285714285714285</v>
      </c>
      <c r="S50">
        <f>_xlfn.XLOOKUP(A:A,'[4]TD90D PZAS'!$A:$A,'[4]TD90D PZAS'!$CW:$CW,"",0,1)</f>
        <v>6</v>
      </c>
      <c r="T50">
        <f>_xlfn.XLOOKUP(A:A,'[4]TD90D PZAS'!$A:$A,'[4]TD90D PZAS'!$CX:$CX,"",0,1)</f>
        <v>1</v>
      </c>
      <c r="U50">
        <f>_xlfn.XLOOKUP(A:A,'[4]TD90D PZAS'!$A:$A,'[4]TD90D PZAS'!$DA:$DA,"",0,1)</f>
        <v>0</v>
      </c>
    </row>
    <row r="51" spans="1:21" x14ac:dyDescent="0.35">
      <c r="A51" t="s">
        <v>146</v>
      </c>
      <c r="B51" t="str">
        <f>_xlfn.XLOOKUP(A:A,[1]Hoja1!$C:$C,[1]Hoja1!$D:$D,"",0,1)</f>
        <v>VINILICA GLOSI BLANCO 3A</v>
      </c>
      <c r="C51" s="8">
        <v>7</v>
      </c>
      <c r="D51" s="11">
        <f>_xlfn.XLOOKUP(A:A,[2]Hoja1!$C:$C,[2]Hoja1!$H:$H,"",0,1)</f>
        <v>80.17</v>
      </c>
      <c r="E51" s="11">
        <f>_xlfn.XLOOKUP(A:A,[1]Hoja1!$C:$C,[1]Hoja1!$H:$H,"",0,1)</f>
        <v>56.9</v>
      </c>
      <c r="F51" s="14">
        <f>_xlfn.XLOOKUP(A:A,TD!A:A,TD!EC:EC,"",0,1)</f>
        <v>4.4285714285714288</v>
      </c>
      <c r="G51" s="15">
        <f t="shared" si="0"/>
        <v>4</v>
      </c>
      <c r="H51" s="16">
        <f t="shared" si="1"/>
        <v>240.51</v>
      </c>
      <c r="I51" s="16">
        <f t="shared" si="2"/>
        <v>170.7</v>
      </c>
      <c r="J51" s="27" t="s">
        <v>146</v>
      </c>
      <c r="K51" t="str">
        <f>_xlfn.XLOOKUP(J:J,'[3]FILTROS 2'!$A:$A,'[3]FILTROS 2'!$E:$E,"",0,1)</f>
        <v>VINILICA - GLOSI 3 AÑOS</v>
      </c>
      <c r="L51" s="30"/>
      <c r="O51">
        <f>_xlfn.XLOOKUP(A:A,[4]TD90D!$A:$A,[4]TD90D!$CW:$CW,"",0,1)</f>
        <v>10</v>
      </c>
      <c r="P51">
        <f>_xlfn.XLOOKUP(A:A,[4]TD90D!$A:$A,[4]TD90D!$CX:$CX,"",0,1)</f>
        <v>4</v>
      </c>
      <c r="Q51">
        <f>_xlfn.XLOOKUP(A:A,[4]TD90D!$A:$A,[4]TD90D!$DA:$DA,"",0,1)</f>
        <v>0</v>
      </c>
      <c r="R51" s="31">
        <f t="shared" si="5"/>
        <v>0.5714285714285714</v>
      </c>
      <c r="S51">
        <f>_xlfn.XLOOKUP(A:A,'[4]TD90D PZAS'!$A:$A,'[4]TD90D PZAS'!$CW:$CW,"",0,1)</f>
        <v>36</v>
      </c>
      <c r="T51">
        <f>_xlfn.XLOOKUP(A:A,'[4]TD90D PZAS'!$A:$A,'[4]TD90D PZAS'!$CX:$CX,"",0,1)</f>
        <v>3</v>
      </c>
      <c r="U51">
        <f>_xlfn.XLOOKUP(A:A,'[4]TD90D PZAS'!$A:$A,'[4]TD90D PZAS'!$DA:$DA,"",0,1)</f>
        <v>0</v>
      </c>
    </row>
    <row r="52" spans="1:21" x14ac:dyDescent="0.35">
      <c r="A52" t="s">
        <v>89</v>
      </c>
      <c r="B52" t="str">
        <f>_xlfn.XLOOKUP(A:A,[1]Hoja1!$C:$C,[1]Hoja1!$D:$D,"",0,1)</f>
        <v>ESMALTE GLOSI SR NEGRO BRILLANTE</v>
      </c>
      <c r="C52" s="8">
        <v>7</v>
      </c>
      <c r="D52" s="11">
        <f>_xlfn.XLOOKUP(A:A,[2]Hoja1!$C:$C,[2]Hoja1!$H:$H,"",0,1)</f>
        <v>730.17</v>
      </c>
      <c r="E52" s="11">
        <f>_xlfn.XLOOKUP(A:A,[1]Hoja1!$C:$C,[1]Hoja1!$H:$H,"",0,1)</f>
        <v>584.48</v>
      </c>
      <c r="F52" s="14">
        <f>_xlfn.XLOOKUP(A:A,TD!A:A,TD!EC:EC,"",0,1)</f>
        <v>3.2857142857142856</v>
      </c>
      <c r="G52" s="15">
        <f t="shared" si="0"/>
        <v>3</v>
      </c>
      <c r="H52" s="16">
        <f t="shared" si="1"/>
        <v>2190.5099999999998</v>
      </c>
      <c r="I52" s="16">
        <f t="shared" si="2"/>
        <v>1753.44</v>
      </c>
      <c r="J52" s="27" t="s">
        <v>89</v>
      </c>
      <c r="K52" t="str">
        <f>_xlfn.XLOOKUP(J:J,'[3]FILTROS 2'!$A:$A,'[3]FILTROS 2'!$E:$E,"",0,1)</f>
        <v>ESMALTE - GLOSI SECADO RAPIDO</v>
      </c>
      <c r="L52" s="30"/>
      <c r="O52" t="str">
        <f>_xlfn.XLOOKUP(A:A,[4]TD90D!$A:$A,[4]TD90D!$CW:$CW,"",0,1)</f>
        <v/>
      </c>
      <c r="P52" t="str">
        <f>_xlfn.XLOOKUP(A:A,[4]TD90D!$A:$A,[4]TD90D!$CX:$CX,"",0,1)</f>
        <v/>
      </c>
      <c r="Q52" t="str">
        <f>_xlfn.XLOOKUP(A:A,[4]TD90D!$A:$A,[4]TD90D!$DA:$DA,"",0,1)</f>
        <v/>
      </c>
      <c r="R52" s="31" t="e">
        <f t="shared" si="5"/>
        <v>#VALUE!</v>
      </c>
      <c r="S52" t="str">
        <f>_xlfn.XLOOKUP(A:A,'[4]TD90D PZAS'!$A:$A,'[4]TD90D PZAS'!$CW:$CW,"",0,1)</f>
        <v/>
      </c>
      <c r="T52" t="str">
        <f>_xlfn.XLOOKUP(A:A,'[4]TD90D PZAS'!$A:$A,'[4]TD90D PZAS'!$CX:$CX,"",0,1)</f>
        <v/>
      </c>
      <c r="U52" t="str">
        <f>_xlfn.XLOOKUP(A:A,'[4]TD90D PZAS'!$A:$A,'[4]TD90D PZAS'!$DA:$DA,"",0,1)</f>
        <v/>
      </c>
    </row>
    <row r="53" spans="1:21" x14ac:dyDescent="0.35">
      <c r="A53" t="s">
        <v>325</v>
      </c>
      <c r="B53" t="str">
        <f>_xlfn.XLOOKUP(A:A,[1]Hoja1!$C:$C,[1]Hoja1!$D:$D,"",0,1)</f>
        <v>VINILICA GLOSI BLANCO BASIC</v>
      </c>
      <c r="C53" s="8">
        <v>6</v>
      </c>
      <c r="D53" s="11">
        <f>_xlfn.XLOOKUP(A:A,[2]Hoja1!$C:$C,[2]Hoja1!$H:$H,"",0,1)</f>
        <v>80.17</v>
      </c>
      <c r="E53" s="11">
        <f>_xlfn.XLOOKUP(A:A,[1]Hoja1!$C:$C,[1]Hoja1!$H:$H,"",0,1)</f>
        <v>56.9</v>
      </c>
      <c r="F53" s="14">
        <f>_xlfn.XLOOKUP(A:A,TD!A:A,TD!EC:EC,"",0,1)</f>
        <v>4.5</v>
      </c>
      <c r="G53" s="15">
        <f t="shared" si="0"/>
        <v>4</v>
      </c>
      <c r="H53" s="16">
        <f t="shared" si="1"/>
        <v>240.51</v>
      </c>
      <c r="I53" s="16">
        <f t="shared" si="2"/>
        <v>170.7</v>
      </c>
      <c r="J53" s="27" t="s">
        <v>325</v>
      </c>
      <c r="K53" t="str">
        <f>_xlfn.XLOOKUP(J:J,'[3]FILTROS 2'!$A:$A,'[3]FILTROS 2'!$E:$E,"",0,1)</f>
        <v>VINILICA - GLOSI BASIC</v>
      </c>
      <c r="L53" s="30"/>
      <c r="O53">
        <f>_xlfn.XLOOKUP(A:A,[4]TD90D!$A:$A,[4]TD90D!$CW:$CW,"",0,1)</f>
        <v>8</v>
      </c>
      <c r="P53">
        <f>_xlfn.XLOOKUP(A:A,[4]TD90D!$A:$A,[4]TD90D!$CX:$CX,"",0,1)</f>
        <v>4</v>
      </c>
      <c r="Q53">
        <f>_xlfn.XLOOKUP(A:A,[4]TD90D!$A:$A,[4]TD90D!$DA:$DA,"",0,1)</f>
        <v>0</v>
      </c>
      <c r="R53" s="31">
        <f t="shared" si="5"/>
        <v>0.66666666666666663</v>
      </c>
      <c r="S53">
        <f>_xlfn.XLOOKUP(A:A,'[4]TD90D PZAS'!$A:$A,'[4]TD90D PZAS'!$CW:$CW,"",0,1)</f>
        <v>42</v>
      </c>
      <c r="T53">
        <f>_xlfn.XLOOKUP(A:A,'[4]TD90D PZAS'!$A:$A,'[4]TD90D PZAS'!$CX:$CX,"",0,1)</f>
        <v>2</v>
      </c>
      <c r="U53">
        <f>_xlfn.XLOOKUP(A:A,'[4]TD90D PZAS'!$A:$A,'[4]TD90D PZAS'!$DA:$DA,"",0,1)</f>
        <v>0</v>
      </c>
    </row>
    <row r="54" spans="1:21" x14ac:dyDescent="0.35">
      <c r="A54" t="s">
        <v>54</v>
      </c>
      <c r="B54" t="str">
        <f>_xlfn.XLOOKUP(A:A,[1]Hoja1!$C:$C,[1]Hoja1!$D:$D,"",0,1)</f>
        <v>VINILICA GLOSI BLANCO 3A</v>
      </c>
      <c r="C54" s="8">
        <v>6</v>
      </c>
      <c r="D54" s="11">
        <f>_xlfn.XLOOKUP(A:A,[2]Hoja1!$C:$C,[2]Hoja1!$H:$H,"",0,1)</f>
        <v>219.83</v>
      </c>
      <c r="E54" s="11">
        <f>_xlfn.XLOOKUP(A:A,[1]Hoja1!$C:$C,[1]Hoja1!$H:$H,"",0,1)</f>
        <v>163.79</v>
      </c>
      <c r="F54" s="14">
        <f>_xlfn.XLOOKUP(A:A,TD!A:A,TD!EC:EC,"",0,1)</f>
        <v>5</v>
      </c>
      <c r="G54" s="15">
        <f t="shared" si="0"/>
        <v>5</v>
      </c>
      <c r="H54" s="16">
        <f t="shared" si="1"/>
        <v>659.49</v>
      </c>
      <c r="I54" s="16">
        <f t="shared" si="2"/>
        <v>491.37</v>
      </c>
      <c r="J54" s="27" t="s">
        <v>54</v>
      </c>
      <c r="K54" t="str">
        <f>_xlfn.XLOOKUP(J:J,'[3]FILTROS 2'!$A:$A,'[3]FILTROS 2'!$E:$E,"",0,1)</f>
        <v>VINILICA - GLOSI 3 AÑOS</v>
      </c>
      <c r="L54" s="30"/>
      <c r="O54">
        <f>_xlfn.XLOOKUP(A:A,[4]TD90D!$A:$A,[4]TD90D!$CW:$CW,"",0,1)</f>
        <v>6</v>
      </c>
      <c r="P54">
        <f>_xlfn.XLOOKUP(A:A,[4]TD90D!$A:$A,[4]TD90D!$CX:$CX,"",0,1)</f>
        <v>3</v>
      </c>
      <c r="Q54">
        <f>_xlfn.XLOOKUP(A:A,[4]TD90D!$A:$A,[4]TD90D!$DA:$DA,"",0,1)</f>
        <v>0</v>
      </c>
      <c r="R54" s="31">
        <f t="shared" si="5"/>
        <v>0.5</v>
      </c>
      <c r="S54">
        <f>_xlfn.XLOOKUP(A:A,'[4]TD90D PZAS'!$A:$A,'[4]TD90D PZAS'!$CW:$CW,"",0,1)</f>
        <v>23</v>
      </c>
      <c r="T54">
        <f>_xlfn.XLOOKUP(A:A,'[4]TD90D PZAS'!$A:$A,'[4]TD90D PZAS'!$CX:$CX,"",0,1)</f>
        <v>3</v>
      </c>
      <c r="U54">
        <f>_xlfn.XLOOKUP(A:A,'[4]TD90D PZAS'!$A:$A,'[4]TD90D PZAS'!$DA:$DA,"",0,1)</f>
        <v>0</v>
      </c>
    </row>
    <row r="55" spans="1:21" x14ac:dyDescent="0.35">
      <c r="A55" t="s">
        <v>38</v>
      </c>
      <c r="B55" t="str">
        <f>_xlfn.XLOOKUP(A:A,[1]Hoja1!$C:$C,[1]Hoja1!$D:$D,"",0,1)</f>
        <v>ESMALTE GLOSI SR NEGRO BRILLANTE</v>
      </c>
      <c r="C55" s="8">
        <v>6</v>
      </c>
      <c r="D55" s="11">
        <f>_xlfn.XLOOKUP(A:A,[2]Hoja1!$C:$C,[2]Hoja1!$H:$H,"",0,1)</f>
        <v>121.55</v>
      </c>
      <c r="E55" s="11">
        <f>_xlfn.XLOOKUP(A:A,[1]Hoja1!$C:$C,[1]Hoja1!$H:$H,"",0,1)</f>
        <v>100</v>
      </c>
      <c r="F55" s="14">
        <f>_xlfn.XLOOKUP(A:A,TD!A:A,TD!EC:EC,"",0,1)</f>
        <v>3.6666666666666665</v>
      </c>
      <c r="G55" s="15">
        <f t="shared" si="0"/>
        <v>3</v>
      </c>
      <c r="H55" s="16">
        <f t="shared" si="1"/>
        <v>364.65</v>
      </c>
      <c r="I55" s="16">
        <f t="shared" si="2"/>
        <v>300</v>
      </c>
      <c r="J55" s="27" t="s">
        <v>38</v>
      </c>
      <c r="K55" t="str">
        <f>_xlfn.XLOOKUP(J:J,'[3]FILTROS 2'!$A:$A,'[3]FILTROS 2'!$E:$E,"",0,1)</f>
        <v>ESMALTE - GLOSI SECADO RAPIDO</v>
      </c>
      <c r="L55" s="30"/>
      <c r="O55" t="str">
        <f>_xlfn.XLOOKUP(A:A,[4]TD90D!$A:$A,[4]TD90D!$CW:$CW,"",0,1)</f>
        <v/>
      </c>
      <c r="P55" t="str">
        <f>_xlfn.XLOOKUP(A:A,[4]TD90D!$A:$A,[4]TD90D!$CX:$CX,"",0,1)</f>
        <v/>
      </c>
      <c r="Q55" t="str">
        <f>_xlfn.XLOOKUP(A:A,[4]TD90D!$A:$A,[4]TD90D!$DA:$DA,"",0,1)</f>
        <v/>
      </c>
      <c r="R55" s="31" t="e">
        <f t="shared" si="5"/>
        <v>#VALUE!</v>
      </c>
      <c r="S55" t="str">
        <f>_xlfn.XLOOKUP(A:A,'[4]TD90D PZAS'!$A:$A,'[4]TD90D PZAS'!$CW:$CW,"",0,1)</f>
        <v/>
      </c>
      <c r="T55" t="str">
        <f>_xlfn.XLOOKUP(A:A,'[4]TD90D PZAS'!$A:$A,'[4]TD90D PZAS'!$CX:$CX,"",0,1)</f>
        <v/>
      </c>
      <c r="U55" t="str">
        <f>_xlfn.XLOOKUP(A:A,'[4]TD90D PZAS'!$A:$A,'[4]TD90D PZAS'!$DA:$DA,"",0,1)</f>
        <v/>
      </c>
    </row>
    <row r="56" spans="1:21" x14ac:dyDescent="0.35">
      <c r="A56" t="s">
        <v>27</v>
      </c>
      <c r="B56" t="str">
        <f>_xlfn.XLOOKUP(A:A,[1]Hoja1!$C:$C,[1]Hoja1!$D:$D,"",0,1)</f>
        <v>AEROSOL PRISA SUPER CROMO</v>
      </c>
      <c r="C56" s="8">
        <v>6</v>
      </c>
      <c r="D56" s="11">
        <f>_xlfn.XLOOKUP(A:A,[2]Hoja1!$C:$C,[2]Hoja1!$H:$H,"",0,1)</f>
        <v>71.55</v>
      </c>
      <c r="E56" s="11">
        <f>_xlfn.XLOOKUP(A:A,[1]Hoja1!$C:$C,[1]Hoja1!$H:$H,"",0,1)</f>
        <v>53.45</v>
      </c>
      <c r="F56" s="14">
        <f>_xlfn.XLOOKUP(A:A,TD!A:A,TD!EC:EC,"",0,1)</f>
        <v>5.5</v>
      </c>
      <c r="G56" s="15">
        <f t="shared" si="0"/>
        <v>5</v>
      </c>
      <c r="H56" s="16">
        <f t="shared" si="1"/>
        <v>214.64999999999998</v>
      </c>
      <c r="I56" s="16">
        <f t="shared" si="2"/>
        <v>160.35000000000002</v>
      </c>
      <c r="J56" s="27">
        <v>2454</v>
      </c>
      <c r="K56" t="str">
        <f>_xlfn.XLOOKUP(J:J,'[3]FILTROS 2'!$A:$A,'[3]FILTROS 2'!$E:$E,"",0,1)</f>
        <v>AEROSOLES PRISA</v>
      </c>
      <c r="L56" s="30"/>
      <c r="O56">
        <f>_xlfn.XLOOKUP(A:A,[4]TD90D!$A:$A,[4]TD90D!$CW:$CW,"",0,1)</f>
        <v>5</v>
      </c>
      <c r="P56">
        <f>_xlfn.XLOOKUP(A:A,[4]TD90D!$A:$A,[4]TD90D!$CX:$CX,"",0,1)</f>
        <v>2</v>
      </c>
      <c r="Q56">
        <f>_xlfn.XLOOKUP(A:A,[4]TD90D!$A:$A,[4]TD90D!$DA:$DA,"",0,1)</f>
        <v>0</v>
      </c>
      <c r="R56" s="31">
        <f t="shared" si="5"/>
        <v>0.33333333333333331</v>
      </c>
      <c r="S56">
        <f>_xlfn.XLOOKUP(A:A,'[4]TD90D PZAS'!$A:$A,'[4]TD90D PZAS'!$CW:$CW,"",0,1)</f>
        <v>42</v>
      </c>
      <c r="T56">
        <f>_xlfn.XLOOKUP(A:A,'[4]TD90D PZAS'!$A:$A,'[4]TD90D PZAS'!$CX:$CX,"",0,1)</f>
        <v>2</v>
      </c>
      <c r="U56">
        <f>_xlfn.XLOOKUP(A:A,'[4]TD90D PZAS'!$A:$A,'[4]TD90D PZAS'!$DA:$DA,"",0,1)</f>
        <v>0</v>
      </c>
    </row>
    <row r="57" spans="1:21" x14ac:dyDescent="0.35">
      <c r="A57" t="s">
        <v>165</v>
      </c>
      <c r="B57" t="str">
        <f>_xlfn.XLOOKUP(A:A,[1]Hoja1!$C:$C,[1]Hoja1!$D:$D,"",0,1)</f>
        <v>BARNIZ GLOSI ALQUI CEDRO</v>
      </c>
      <c r="C57" s="8">
        <v>6</v>
      </c>
      <c r="D57" s="11">
        <f>_xlfn.XLOOKUP(A:A,[2]Hoja1!$C:$C,[2]Hoja1!$H:$H,"",0,1)</f>
        <v>106.03</v>
      </c>
      <c r="E57" s="11">
        <f>_xlfn.XLOOKUP(A:A,[1]Hoja1!$C:$C,[1]Hoja1!$H:$H,"",0,1)</f>
        <v>83.62</v>
      </c>
      <c r="F57" s="14">
        <f>_xlfn.XLOOKUP(A:A,TD!A:A,TD!EC:EC,"",0,1)</f>
        <v>1.5</v>
      </c>
      <c r="G57" s="15">
        <f t="shared" si="0"/>
        <v>1</v>
      </c>
      <c r="H57" s="16">
        <f t="shared" si="1"/>
        <v>318.09000000000003</v>
      </c>
      <c r="I57" s="16">
        <f t="shared" si="2"/>
        <v>250.86</v>
      </c>
      <c r="J57" s="27" t="s">
        <v>165</v>
      </c>
      <c r="K57" t="str">
        <f>_xlfn.XLOOKUP(J:J,'[3]FILTROS 2'!$A:$A,'[3]FILTROS 2'!$E:$E,"",0,1)</f>
        <v>BARNIZ ALQUIDALICO GLOSI 3-1</v>
      </c>
      <c r="L57" s="30"/>
      <c r="O57">
        <f>_xlfn.XLOOKUP(A:A,[4]TD90D!$A:$A,[4]TD90D!$CW:$CW,"",0,1)</f>
        <v>4</v>
      </c>
      <c r="P57">
        <f>_xlfn.XLOOKUP(A:A,[4]TD90D!$A:$A,[4]TD90D!$CX:$CX,"",0,1)</f>
        <v>1</v>
      </c>
      <c r="Q57">
        <f>_xlfn.XLOOKUP(A:A,[4]TD90D!$A:$A,[4]TD90D!$DA:$DA,"",0,1)</f>
        <v>0</v>
      </c>
      <c r="R57" s="31">
        <f t="shared" si="5"/>
        <v>0.16666666666666666</v>
      </c>
      <c r="S57">
        <f>_xlfn.XLOOKUP(A:A,'[4]TD90D PZAS'!$A:$A,'[4]TD90D PZAS'!$CW:$CW,"",0,1)</f>
        <v>6</v>
      </c>
      <c r="T57">
        <f>_xlfn.XLOOKUP(A:A,'[4]TD90D PZAS'!$A:$A,'[4]TD90D PZAS'!$CX:$CX,"",0,1)</f>
        <v>1</v>
      </c>
      <c r="U57">
        <f>_xlfn.XLOOKUP(A:A,'[4]TD90D PZAS'!$A:$A,'[4]TD90D PZAS'!$DA:$DA,"",0,1)</f>
        <v>0</v>
      </c>
    </row>
    <row r="58" spans="1:21" x14ac:dyDescent="0.35">
      <c r="A58" t="s">
        <v>207</v>
      </c>
      <c r="B58" t="str">
        <f>_xlfn.XLOOKUP(A:A,[1]Hoja1!$C:$C,[1]Hoja1!$D:$D,"",0,1)</f>
        <v>BARNIZ ALQ. TRANSP. NATURAL</v>
      </c>
      <c r="C58" s="8">
        <v>6</v>
      </c>
      <c r="D58" s="11">
        <f>_xlfn.XLOOKUP(A:A,[2]Hoja1!$C:$C,[2]Hoja1!$H:$H,"",0,1)</f>
        <v>232.76</v>
      </c>
      <c r="E58" s="11">
        <f>_xlfn.XLOOKUP(A:A,[1]Hoja1!$C:$C,[1]Hoja1!$H:$H,"",0,1)</f>
        <v>138.79</v>
      </c>
      <c r="F58" s="14">
        <f>_xlfn.XLOOKUP(A:A,TD!A:A,TD!EC:EC,"",0,1)</f>
        <v>3.8333333333333335</v>
      </c>
      <c r="G58" s="15">
        <f t="shared" si="0"/>
        <v>3</v>
      </c>
      <c r="H58" s="16">
        <f t="shared" si="1"/>
        <v>698.28</v>
      </c>
      <c r="I58" s="16">
        <f t="shared" si="2"/>
        <v>416.37</v>
      </c>
      <c r="J58" s="27">
        <v>28804</v>
      </c>
      <c r="K58" t="str">
        <f>_xlfn.XLOOKUP(J:J,'[3]FILTROS 2'!$A:$A,'[3]FILTROS 2'!$E:$E,"",0,1)</f>
        <v>BARNIZ ALQUIDALICO SIGLO</v>
      </c>
      <c r="L58" s="30"/>
      <c r="O58">
        <f>_xlfn.XLOOKUP(A:A,[4]TD90D!$A:$A,[4]TD90D!$CW:$CW,"",0,1)</f>
        <v>2</v>
      </c>
      <c r="P58">
        <f>_xlfn.XLOOKUP(A:A,[4]TD90D!$A:$A,[4]TD90D!$CX:$CX,"",0,1)</f>
        <v>1</v>
      </c>
      <c r="Q58">
        <f>_xlfn.XLOOKUP(A:A,[4]TD90D!$A:$A,[4]TD90D!$DA:$DA,"",0,1)</f>
        <v>0</v>
      </c>
      <c r="R58" s="31">
        <f t="shared" si="5"/>
        <v>0.16666666666666666</v>
      </c>
      <c r="S58">
        <f>_xlfn.XLOOKUP(A:A,'[4]TD90D PZAS'!$A:$A,'[4]TD90D PZAS'!$CW:$CW,"",0,1)</f>
        <v>6</v>
      </c>
      <c r="T58">
        <f>_xlfn.XLOOKUP(A:A,'[4]TD90D PZAS'!$A:$A,'[4]TD90D PZAS'!$CX:$CX,"",0,1)</f>
        <v>1</v>
      </c>
      <c r="U58">
        <f>_xlfn.XLOOKUP(A:A,'[4]TD90D PZAS'!$A:$A,'[4]TD90D PZAS'!$DA:$DA,"",0,1)</f>
        <v>0</v>
      </c>
    </row>
    <row r="59" spans="1:21" x14ac:dyDescent="0.35">
      <c r="A59" t="s">
        <v>176</v>
      </c>
      <c r="B59" t="str">
        <f>_xlfn.XLOOKUP(A:A,[1]Hoja1!$C:$C,[1]Hoja1!$D:$D,"",0,1)</f>
        <v>FONDO GRIS CLARO 3211</v>
      </c>
      <c r="C59" s="8">
        <v>6</v>
      </c>
      <c r="D59" s="11">
        <f>_xlfn.XLOOKUP(A:A,[2]Hoja1!$C:$C,[2]Hoja1!$H:$H,"",0,1)</f>
        <v>243.97</v>
      </c>
      <c r="E59" s="11">
        <f>_xlfn.XLOOKUP(A:A,[1]Hoja1!$C:$C,[1]Hoja1!$H:$H,"",0,1)</f>
        <v>171.55</v>
      </c>
      <c r="F59" s="14">
        <f>_xlfn.XLOOKUP(A:A,TD!A:A,TD!EC:EC,"",0,1)</f>
        <v>0.16666666666666666</v>
      </c>
      <c r="G59" s="15">
        <f t="shared" si="0"/>
        <v>0</v>
      </c>
      <c r="H59" s="16">
        <f t="shared" si="1"/>
        <v>731.91</v>
      </c>
      <c r="I59" s="16">
        <f t="shared" si="2"/>
        <v>514.65000000000009</v>
      </c>
      <c r="J59" s="27">
        <v>29384</v>
      </c>
      <c r="K59" t="str">
        <f>_xlfn.XLOOKUP(J:J,'[3]FILTROS 2'!$A:$A,'[3]FILTROS 2'!$E:$E,"",0,1)</f>
        <v>FONDO DE NITRO AUTOMOTRIZ</v>
      </c>
      <c r="L59" s="30"/>
      <c r="O59">
        <f>_xlfn.XLOOKUP(A:A,[4]TD90D!$A:$A,[4]TD90D!$CW:$CW,"",0,1)</f>
        <v>3</v>
      </c>
      <c r="P59">
        <f>_xlfn.XLOOKUP(A:A,[4]TD90D!$A:$A,[4]TD90D!$CX:$CX,"",0,1)</f>
        <v>1</v>
      </c>
      <c r="Q59">
        <f>_xlfn.XLOOKUP(A:A,[4]TD90D!$A:$A,[4]TD90D!$DA:$DA,"",0,1)</f>
        <v>0</v>
      </c>
      <c r="R59" s="31">
        <f t="shared" si="5"/>
        <v>0.16666666666666666</v>
      </c>
      <c r="S59">
        <f>_xlfn.XLOOKUP(A:A,'[4]TD90D PZAS'!$A:$A,'[4]TD90D PZAS'!$CW:$CW,"",0,1)</f>
        <v>-2</v>
      </c>
      <c r="T59">
        <f>_xlfn.XLOOKUP(A:A,'[4]TD90D PZAS'!$A:$A,'[4]TD90D PZAS'!$CX:$CX,"",0,1)</f>
        <v>0</v>
      </c>
      <c r="U59">
        <f>_xlfn.XLOOKUP(A:A,'[4]TD90D PZAS'!$A:$A,'[4]TD90D PZAS'!$DA:$DA,"",0,1)</f>
        <v>0</v>
      </c>
    </row>
    <row r="60" spans="1:21" x14ac:dyDescent="0.35">
      <c r="A60" t="s">
        <v>87</v>
      </c>
      <c r="B60" t="str">
        <f>_xlfn.XLOOKUP(A:A,[1]Hoja1!$C:$C,[1]Hoja1!$D:$D,"",0,1)</f>
        <v>BRILLON SANDIA</v>
      </c>
      <c r="C60" s="8">
        <v>5</v>
      </c>
      <c r="D60" s="11">
        <f>_xlfn.XLOOKUP(A:A,[2]Hoja1!$C:$C,[2]Hoja1!$H:$H,"",0,1)</f>
        <v>150.86000000000001</v>
      </c>
      <c r="E60" s="11">
        <f>_xlfn.XLOOKUP(A:A,[1]Hoja1!$C:$C,[1]Hoja1!$H:$H,"",0,1)</f>
        <v>112.93</v>
      </c>
      <c r="F60" s="14">
        <f>_xlfn.XLOOKUP(A:A,TD!A:A,TD!EC:EC,"",0,1)</f>
        <v>4.8</v>
      </c>
      <c r="G60" s="15">
        <f t="shared" si="0"/>
        <v>4</v>
      </c>
      <c r="H60" s="16">
        <f t="shared" si="1"/>
        <v>452.58000000000004</v>
      </c>
      <c r="I60" s="16">
        <f t="shared" si="2"/>
        <v>338.79</v>
      </c>
      <c r="J60" s="27">
        <v>28454</v>
      </c>
      <c r="K60" t="str">
        <f>_xlfn.XLOOKUP(J:J,'[3]FILTROS 2'!$A:$A,'[3]FILTROS 2'!$E:$E,"",0,1)</f>
        <v>ESMALTE - BRILLON</v>
      </c>
      <c r="L60" s="30"/>
      <c r="O60">
        <f>_xlfn.XLOOKUP(A:A,[4]TD90D!$A:$A,[4]TD90D!$CW:$CW,"",0,1)</f>
        <v>2</v>
      </c>
      <c r="P60">
        <f>_xlfn.XLOOKUP(A:A,[4]TD90D!$A:$A,[4]TD90D!$CX:$CX,"",0,1)</f>
        <v>1</v>
      </c>
      <c r="Q60">
        <f>_xlfn.XLOOKUP(A:A,[4]TD90D!$A:$A,[4]TD90D!$DA:$DA,"",0,1)</f>
        <v>0</v>
      </c>
      <c r="R60" s="31">
        <f t="shared" si="5"/>
        <v>0.2</v>
      </c>
      <c r="S60">
        <f>_xlfn.XLOOKUP(A:A,'[4]TD90D PZAS'!$A:$A,'[4]TD90D PZAS'!$CW:$CW,"",0,1)</f>
        <v>12</v>
      </c>
      <c r="T60">
        <f>_xlfn.XLOOKUP(A:A,'[4]TD90D PZAS'!$A:$A,'[4]TD90D PZAS'!$CX:$CX,"",0,1)</f>
        <v>1</v>
      </c>
      <c r="U60">
        <f>_xlfn.XLOOKUP(A:A,'[4]TD90D PZAS'!$A:$A,'[4]TD90D PZAS'!$DA:$DA,"",0,1)</f>
        <v>0</v>
      </c>
    </row>
    <row r="61" spans="1:21" x14ac:dyDescent="0.35">
      <c r="A61" t="s">
        <v>106</v>
      </c>
      <c r="B61" t="str">
        <f>_xlfn.XLOOKUP(A:A,[1]Hoja1!$C:$C,[1]Hoja1!$D:$D,"",0,1)</f>
        <v>BRILLON CACAO</v>
      </c>
      <c r="C61" s="8">
        <v>5</v>
      </c>
      <c r="D61" s="11">
        <f>_xlfn.XLOOKUP(A:A,[2]Hoja1!$C:$C,[2]Hoja1!$H:$H,"",0,1)</f>
        <v>90.52</v>
      </c>
      <c r="E61" s="11">
        <f>_xlfn.XLOOKUP(A:A,[1]Hoja1!$C:$C,[1]Hoja1!$H:$H,"",0,1)</f>
        <v>67.239999999999995</v>
      </c>
      <c r="F61" s="14">
        <f>_xlfn.XLOOKUP(A:A,TD!A:A,TD!EC:EC,"",0,1)</f>
        <v>3.6</v>
      </c>
      <c r="G61" s="15">
        <f t="shared" si="0"/>
        <v>3</v>
      </c>
      <c r="H61" s="16">
        <f t="shared" si="1"/>
        <v>271.56</v>
      </c>
      <c r="I61" s="16">
        <f t="shared" si="2"/>
        <v>201.71999999999997</v>
      </c>
      <c r="J61" s="27">
        <v>28585</v>
      </c>
      <c r="K61" t="str">
        <f>_xlfn.XLOOKUP(J:J,'[3]FILTROS 2'!$A:$A,'[3]FILTROS 2'!$E:$E,"",0,1)</f>
        <v>ESMALTE - BRILLON</v>
      </c>
      <c r="L61" s="30"/>
      <c r="O61">
        <f>_xlfn.XLOOKUP(A:A,[4]TD90D!$A:$A,[4]TD90D!$CW:$CW,"",0,1)</f>
        <v>4</v>
      </c>
      <c r="P61">
        <f>_xlfn.XLOOKUP(A:A,[4]TD90D!$A:$A,[4]TD90D!$CX:$CX,"",0,1)</f>
        <v>2</v>
      </c>
      <c r="Q61">
        <f>_xlfn.XLOOKUP(A:A,[4]TD90D!$A:$A,[4]TD90D!$DA:$DA,"",0,1)</f>
        <v>0</v>
      </c>
      <c r="R61" s="31">
        <f t="shared" si="5"/>
        <v>0.4</v>
      </c>
      <c r="S61">
        <f>_xlfn.XLOOKUP(A:A,'[4]TD90D PZAS'!$A:$A,'[4]TD90D PZAS'!$CW:$CW,"",0,1)</f>
        <v>12</v>
      </c>
      <c r="T61">
        <f>_xlfn.XLOOKUP(A:A,'[4]TD90D PZAS'!$A:$A,'[4]TD90D PZAS'!$CX:$CX,"",0,1)</f>
        <v>2</v>
      </c>
      <c r="U61">
        <f>_xlfn.XLOOKUP(A:A,'[4]TD90D PZAS'!$A:$A,'[4]TD90D PZAS'!$DA:$DA,"",0,1)</f>
        <v>0</v>
      </c>
    </row>
    <row r="62" spans="1:21" x14ac:dyDescent="0.35">
      <c r="A62" t="s">
        <v>352</v>
      </c>
      <c r="B62" t="str">
        <f>_xlfn.XLOOKUP(A:A,[1]Hoja1!$C:$C,[1]Hoja1!$D:$D,"",0,1)</f>
        <v>ESTRUCTURAS ROJO OXIDO</v>
      </c>
      <c r="C62" s="8">
        <v>5</v>
      </c>
      <c r="D62" s="11">
        <f>_xlfn.XLOOKUP(A:A,[2]Hoja1!$C:$C,[2]Hoja1!$H:$H,"",0,1)</f>
        <v>138.79</v>
      </c>
      <c r="E62" s="11">
        <f>_xlfn.XLOOKUP(A:A,[1]Hoja1!$C:$C,[1]Hoja1!$H:$H,"",0,1)</f>
        <v>105.17</v>
      </c>
      <c r="F62" s="14">
        <f>_xlfn.XLOOKUP(A:A,TD!A:A,TD!EC:EC,"",0,1)</f>
        <v>3</v>
      </c>
      <c r="G62" s="15">
        <f t="shared" si="0"/>
        <v>3</v>
      </c>
      <c r="H62" s="16">
        <f t="shared" si="1"/>
        <v>416.37</v>
      </c>
      <c r="I62" s="16">
        <f t="shared" si="2"/>
        <v>315.51</v>
      </c>
      <c r="J62" s="27" t="s">
        <v>352</v>
      </c>
      <c r="K62" t="str">
        <f>_xlfn.XLOOKUP(J:J,'[3]FILTROS 2'!$A:$A,'[3]FILTROS 2'!$E:$E,"",0,1)</f>
        <v>ESMALTE - ESTRUCTURAS GLOSI</v>
      </c>
      <c r="L62" s="30"/>
      <c r="O62">
        <f>_xlfn.XLOOKUP(A:A,[4]TD90D!$A:$A,[4]TD90D!$CW:$CW,"",0,1)</f>
        <v>2</v>
      </c>
      <c r="P62">
        <f>_xlfn.XLOOKUP(A:A,[4]TD90D!$A:$A,[4]TD90D!$CX:$CX,"",0,1)</f>
        <v>1</v>
      </c>
      <c r="Q62">
        <f>_xlfn.XLOOKUP(A:A,[4]TD90D!$A:$A,[4]TD90D!$DA:$DA,"",0,1)</f>
        <v>0</v>
      </c>
      <c r="R62" s="31">
        <f t="shared" si="5"/>
        <v>0.2</v>
      </c>
      <c r="S62">
        <f>_xlfn.XLOOKUP(A:A,'[4]TD90D PZAS'!$A:$A,'[4]TD90D PZAS'!$CW:$CW,"",0,1)</f>
        <v>3</v>
      </c>
      <c r="T62">
        <f>_xlfn.XLOOKUP(A:A,'[4]TD90D PZAS'!$A:$A,'[4]TD90D PZAS'!$CX:$CX,"",0,1)</f>
        <v>1</v>
      </c>
      <c r="U62">
        <f>_xlfn.XLOOKUP(A:A,'[4]TD90D PZAS'!$A:$A,'[4]TD90D PZAS'!$DA:$DA,"",0,1)</f>
        <v>0</v>
      </c>
    </row>
    <row r="63" spans="1:21" x14ac:dyDescent="0.35">
      <c r="A63" t="s">
        <v>150</v>
      </c>
      <c r="B63" t="str">
        <f>_xlfn.XLOOKUP(A:A,[1]Hoja1!$C:$C,[1]Hoja1!$D:$D,"",0,1)</f>
        <v>AEROSOL AMARILLO</v>
      </c>
      <c r="C63" s="8">
        <v>5</v>
      </c>
      <c r="D63" s="11">
        <f>_xlfn.XLOOKUP(A:A,[2]Hoja1!$C:$C,[2]Hoja1!$H:$H,"",0,1)</f>
        <v>55.17</v>
      </c>
      <c r="E63" s="11">
        <f>_xlfn.XLOOKUP(A:A,[1]Hoja1!$C:$C,[1]Hoja1!$H:$H,"",0,1)</f>
        <v>41.38</v>
      </c>
      <c r="F63" s="14">
        <f>_xlfn.XLOOKUP(A:A,TD!A:A,TD!EC:EC,"",0,1)</f>
        <v>6</v>
      </c>
      <c r="G63" s="15">
        <f t="shared" si="0"/>
        <v>6</v>
      </c>
      <c r="H63" s="16">
        <f t="shared" si="1"/>
        <v>165.51</v>
      </c>
      <c r="I63" s="16">
        <f t="shared" si="2"/>
        <v>124.14000000000001</v>
      </c>
      <c r="J63" s="27">
        <v>2315</v>
      </c>
      <c r="K63" t="str">
        <f>_xlfn.XLOOKUP(J:J,'[3]FILTROS 2'!$A:$A,'[3]FILTROS 2'!$E:$E,"",0,1)</f>
        <v>AEROSOLES PRISA</v>
      </c>
      <c r="L63" s="30"/>
      <c r="O63">
        <f>_xlfn.XLOOKUP(A:A,[4]TD90D!$A:$A,[4]TD90D!$CW:$CW,"",0,1)</f>
        <v>4</v>
      </c>
      <c r="P63">
        <f>_xlfn.XLOOKUP(A:A,[4]TD90D!$A:$A,[4]TD90D!$CX:$CX,"",0,1)</f>
        <v>2</v>
      </c>
      <c r="Q63">
        <f>_xlfn.XLOOKUP(A:A,[4]TD90D!$A:$A,[4]TD90D!$DA:$DA,"",0,1)</f>
        <v>0</v>
      </c>
      <c r="R63" s="31">
        <f t="shared" si="5"/>
        <v>0.4</v>
      </c>
      <c r="S63">
        <f>_xlfn.XLOOKUP(A:A,'[4]TD90D PZAS'!$A:$A,'[4]TD90D PZAS'!$CW:$CW,"",0,1)</f>
        <v>24</v>
      </c>
      <c r="T63">
        <f>_xlfn.XLOOKUP(A:A,'[4]TD90D PZAS'!$A:$A,'[4]TD90D PZAS'!$CX:$CX,"",0,1)</f>
        <v>2</v>
      </c>
      <c r="U63">
        <f>_xlfn.XLOOKUP(A:A,'[4]TD90D PZAS'!$A:$A,'[4]TD90D PZAS'!$DA:$DA,"",0,1)</f>
        <v>0</v>
      </c>
    </row>
    <row r="64" spans="1:21" x14ac:dyDescent="0.35">
      <c r="A64" t="s">
        <v>128</v>
      </c>
      <c r="B64" t="str">
        <f>_xlfn.XLOOKUP(A:A,[1]Hoja1!$C:$C,[1]Hoja1!$D:$D,"",0,1)</f>
        <v>VINILICA GLOSI NEGRO 5A</v>
      </c>
      <c r="C64" s="8">
        <v>5</v>
      </c>
      <c r="D64" s="11">
        <f>_xlfn.XLOOKUP(A:A,[2]Hoja1!$C:$C,[2]Hoja1!$H:$H,"",0,1)</f>
        <v>107.76</v>
      </c>
      <c r="E64" s="11">
        <f>_xlfn.XLOOKUP(A:A,[1]Hoja1!$C:$C,[1]Hoja1!$H:$H,"",0,1)</f>
        <v>78.45</v>
      </c>
      <c r="F64" s="14">
        <f>_xlfn.XLOOKUP(A:A,TD!A:A,TD!EC:EC,"",0,1)</f>
        <v>4.4000000000000004</v>
      </c>
      <c r="G64" s="15">
        <f t="shared" si="0"/>
        <v>4</v>
      </c>
      <c r="H64" s="16">
        <f t="shared" si="1"/>
        <v>323.28000000000003</v>
      </c>
      <c r="I64" s="16">
        <f t="shared" si="2"/>
        <v>235.35000000000002</v>
      </c>
      <c r="J64" s="27" t="s">
        <v>128</v>
      </c>
      <c r="K64" t="str">
        <f>_xlfn.XLOOKUP(J:J,'[3]FILTROS 2'!$A:$A,'[3]FILTROS 2'!$E:$E,"",0,1)</f>
        <v>VINILICA - GLOSI 5 AÑOS</v>
      </c>
      <c r="L64" s="30"/>
      <c r="O64">
        <f>_xlfn.XLOOKUP(A:A,[4]TD90D!$A:$A,[4]TD90D!$CW:$CW,"",0,1)</f>
        <v>7</v>
      </c>
      <c r="P64">
        <f>_xlfn.XLOOKUP(A:A,[4]TD90D!$A:$A,[4]TD90D!$CX:$CX,"",0,1)</f>
        <v>3</v>
      </c>
      <c r="Q64">
        <f>_xlfn.XLOOKUP(A:A,[4]TD90D!$A:$A,[4]TD90D!$DA:$DA,"",0,1)</f>
        <v>0</v>
      </c>
      <c r="R64" s="31">
        <f t="shared" si="5"/>
        <v>0.6</v>
      </c>
      <c r="S64">
        <f>_xlfn.XLOOKUP(A:A,'[4]TD90D PZAS'!$A:$A,'[4]TD90D PZAS'!$CW:$CW,"",0,1)</f>
        <v>28</v>
      </c>
      <c r="T64">
        <f>_xlfn.XLOOKUP(A:A,'[4]TD90D PZAS'!$A:$A,'[4]TD90D PZAS'!$CX:$CX,"",0,1)</f>
        <v>3</v>
      </c>
      <c r="U64">
        <f>_xlfn.XLOOKUP(A:A,'[4]TD90D PZAS'!$A:$A,'[4]TD90D PZAS'!$DA:$DA,"",0,1)</f>
        <v>0</v>
      </c>
    </row>
    <row r="65" spans="1:21" x14ac:dyDescent="0.35">
      <c r="A65" t="s">
        <v>233</v>
      </c>
      <c r="B65" t="str">
        <f>_xlfn.XLOOKUP(A:A,[1]Hoja1!$C:$C,[1]Hoja1!$D:$D,"",0,1)</f>
        <v>BRILLON ALUMINIO</v>
      </c>
      <c r="C65" s="8">
        <v>5</v>
      </c>
      <c r="D65" s="11">
        <f>_xlfn.XLOOKUP(A:A,[2]Hoja1!$C:$C,[2]Hoja1!$H:$H,"",0,1)</f>
        <v>150.86000000000001</v>
      </c>
      <c r="E65" s="11">
        <f>_xlfn.XLOOKUP(A:A,[1]Hoja1!$C:$C,[1]Hoja1!$H:$H,"",0,1)</f>
        <v>112.93</v>
      </c>
      <c r="F65" s="14">
        <f>_xlfn.XLOOKUP(A:A,TD!A:A,TD!EC:EC,"",0,1)</f>
        <v>2.4</v>
      </c>
      <c r="G65" s="15">
        <f t="shared" si="0"/>
        <v>2</v>
      </c>
      <c r="H65" s="16">
        <f t="shared" si="1"/>
        <v>452.58000000000004</v>
      </c>
      <c r="I65" s="16">
        <f t="shared" si="2"/>
        <v>338.79</v>
      </c>
      <c r="J65" s="27">
        <v>28104</v>
      </c>
      <c r="K65" t="str">
        <f>_xlfn.XLOOKUP(J:J,'[3]FILTROS 2'!$A:$A,'[3]FILTROS 2'!$E:$E,"",0,1)</f>
        <v>ESMALTE - BRILLON</v>
      </c>
      <c r="L65" s="30"/>
      <c r="O65">
        <f>_xlfn.XLOOKUP(A:A,[4]TD90D!$A:$A,[4]TD90D!$CW:$CW,"",0,1)</f>
        <v>4</v>
      </c>
      <c r="P65">
        <f>_xlfn.XLOOKUP(A:A,[4]TD90D!$A:$A,[4]TD90D!$CX:$CX,"",0,1)</f>
        <v>1</v>
      </c>
      <c r="Q65">
        <f>_xlfn.XLOOKUP(A:A,[4]TD90D!$A:$A,[4]TD90D!$DA:$DA,"",0,1)</f>
        <v>0</v>
      </c>
      <c r="R65" s="31">
        <f t="shared" si="5"/>
        <v>0.2</v>
      </c>
      <c r="S65">
        <f>_xlfn.XLOOKUP(A:A,'[4]TD90D PZAS'!$A:$A,'[4]TD90D PZAS'!$CW:$CW,"",0,1)</f>
        <v>12</v>
      </c>
      <c r="T65">
        <f>_xlfn.XLOOKUP(A:A,'[4]TD90D PZAS'!$A:$A,'[4]TD90D PZAS'!$CX:$CX,"",0,1)</f>
        <v>1</v>
      </c>
      <c r="U65">
        <f>_xlfn.XLOOKUP(A:A,'[4]TD90D PZAS'!$A:$A,'[4]TD90D PZAS'!$DA:$DA,"",0,1)</f>
        <v>0</v>
      </c>
    </row>
    <row r="66" spans="1:21" x14ac:dyDescent="0.35">
      <c r="A66" t="s">
        <v>29</v>
      </c>
      <c r="B66" t="str">
        <f>_xlfn.XLOOKUP(A:A,[1]Hoja1!$C:$C,[1]Hoja1!$D:$D,"",0,1)</f>
        <v>AEROSOL AZUL METALICO</v>
      </c>
      <c r="C66" s="8">
        <v>5</v>
      </c>
      <c r="D66" s="11">
        <f>_xlfn.XLOOKUP(A:A,[2]Hoja1!$C:$C,[2]Hoja1!$H:$H,"",0,1)</f>
        <v>71.55</v>
      </c>
      <c r="E66" s="11">
        <f>_xlfn.XLOOKUP(A:A,[1]Hoja1!$C:$C,[1]Hoja1!$H:$H,"",0,1)</f>
        <v>53.45</v>
      </c>
      <c r="F66" s="14">
        <f>_xlfn.XLOOKUP(A:A,TD!A:A,TD!EC:EC,"",0,1)</f>
        <v>4.5999999999999996</v>
      </c>
      <c r="G66" s="15">
        <f t="shared" si="0"/>
        <v>4</v>
      </c>
      <c r="H66" s="16">
        <f t="shared" si="1"/>
        <v>214.64999999999998</v>
      </c>
      <c r="I66" s="16">
        <f t="shared" si="2"/>
        <v>160.35000000000002</v>
      </c>
      <c r="J66" s="27">
        <v>2463</v>
      </c>
      <c r="K66" t="str">
        <f>_xlfn.XLOOKUP(J:J,'[3]FILTROS 2'!$A:$A,'[3]FILTROS 2'!$E:$E,"",0,1)</f>
        <v>AEROSOLES PRISA</v>
      </c>
      <c r="L66" s="30"/>
      <c r="O66">
        <f>_xlfn.XLOOKUP(A:A,[4]TD90D!$A:$A,[4]TD90D!$CW:$CW,"",0,1)</f>
        <v>2</v>
      </c>
      <c r="P66">
        <f>_xlfn.XLOOKUP(A:A,[4]TD90D!$A:$A,[4]TD90D!$CX:$CX,"",0,1)</f>
        <v>1</v>
      </c>
      <c r="Q66">
        <f>_xlfn.XLOOKUP(A:A,[4]TD90D!$A:$A,[4]TD90D!$DA:$DA,"",0,1)</f>
        <v>0</v>
      </c>
      <c r="R66" s="31">
        <f t="shared" si="5"/>
        <v>0.2</v>
      </c>
      <c r="S66">
        <f>_xlfn.XLOOKUP(A:A,'[4]TD90D PZAS'!$A:$A,'[4]TD90D PZAS'!$CW:$CW,"",0,1)</f>
        <v>12</v>
      </c>
      <c r="T66">
        <f>_xlfn.XLOOKUP(A:A,'[4]TD90D PZAS'!$A:$A,'[4]TD90D PZAS'!$CX:$CX,"",0,1)</f>
        <v>1</v>
      </c>
      <c r="U66">
        <f>_xlfn.XLOOKUP(A:A,'[4]TD90D PZAS'!$A:$A,'[4]TD90D PZAS'!$DA:$DA,"",0,1)</f>
        <v>0</v>
      </c>
    </row>
    <row r="67" spans="1:21" x14ac:dyDescent="0.35">
      <c r="A67" t="s">
        <v>187</v>
      </c>
      <c r="B67" t="str">
        <f>_xlfn.XLOOKUP(A:A,[1]Hoja1!$C:$C,[1]Hoja1!$D:$D,"",0,1)</f>
        <v>BRILLON ALUMINIO</v>
      </c>
      <c r="C67" s="8">
        <v>5</v>
      </c>
      <c r="D67" s="11">
        <f>_xlfn.XLOOKUP(A:A,[2]Hoja1!$C:$C,[2]Hoja1!$H:$H,"",0,1)</f>
        <v>90.52</v>
      </c>
      <c r="E67" s="11">
        <f>_xlfn.XLOOKUP(A:A,[1]Hoja1!$C:$C,[1]Hoja1!$H:$H,"",0,1)</f>
        <v>67.239999999999995</v>
      </c>
      <c r="F67" s="14">
        <f>_xlfn.XLOOKUP(A:A,TD!A:A,TD!EC:EC,"",0,1)</f>
        <v>1.8</v>
      </c>
      <c r="G67" s="15">
        <f t="shared" si="0"/>
        <v>1</v>
      </c>
      <c r="H67" s="16">
        <f t="shared" si="1"/>
        <v>271.56</v>
      </c>
      <c r="I67" s="16">
        <f t="shared" si="2"/>
        <v>201.71999999999997</v>
      </c>
      <c r="J67" s="27">
        <v>28105</v>
      </c>
      <c r="K67" t="str">
        <f>_xlfn.XLOOKUP(J:J,'[3]FILTROS 2'!$A:$A,'[3]FILTROS 2'!$E:$E,"",0,1)</f>
        <v>ESMALTE - BRILLON</v>
      </c>
      <c r="L67" s="30"/>
      <c r="O67">
        <f>_xlfn.XLOOKUP(A:A,[4]TD90D!$A:$A,[4]TD90D!$CW:$CW,"",0,1)</f>
        <v>3</v>
      </c>
      <c r="P67">
        <f>_xlfn.XLOOKUP(A:A,[4]TD90D!$A:$A,[4]TD90D!$CX:$CX,"",0,1)</f>
        <v>1</v>
      </c>
      <c r="Q67">
        <f>_xlfn.XLOOKUP(A:A,[4]TD90D!$A:$A,[4]TD90D!$DA:$DA,"",0,1)</f>
        <v>0</v>
      </c>
      <c r="R67" s="31">
        <f t="shared" si="5"/>
        <v>0.2</v>
      </c>
      <c r="S67">
        <f>_xlfn.XLOOKUP(A:A,'[4]TD90D PZAS'!$A:$A,'[4]TD90D PZAS'!$CW:$CW,"",0,1)</f>
        <v>3</v>
      </c>
      <c r="T67">
        <f>_xlfn.XLOOKUP(A:A,'[4]TD90D PZAS'!$A:$A,'[4]TD90D PZAS'!$CX:$CX,"",0,1)</f>
        <v>1</v>
      </c>
      <c r="U67">
        <f>_xlfn.XLOOKUP(A:A,'[4]TD90D PZAS'!$A:$A,'[4]TD90D PZAS'!$DA:$DA,"",0,1)</f>
        <v>0</v>
      </c>
    </row>
    <row r="68" spans="1:21" x14ac:dyDescent="0.35">
      <c r="A68" t="s">
        <v>182</v>
      </c>
      <c r="B68" t="str">
        <f>_xlfn.XLOOKUP(A:A,[1]Hoja1!$C:$C,[1]Hoja1!$D:$D,"",0,1)</f>
        <v>PRIMARIO GLOSI ESTRUCTURAS GRIS</v>
      </c>
      <c r="C68" s="8">
        <v>5</v>
      </c>
      <c r="D68" s="11">
        <f>_xlfn.XLOOKUP(A:A,[2]Hoja1!$C:$C,[2]Hoja1!$H:$H,"",0,1)</f>
        <v>2001.72</v>
      </c>
      <c r="E68" s="11">
        <f>_xlfn.XLOOKUP(A:A,[1]Hoja1!$C:$C,[1]Hoja1!$H:$H,"",0,1)</f>
        <v>1500.86</v>
      </c>
      <c r="F68" s="14">
        <f>_xlfn.XLOOKUP(A:A,TD!A:A,TD!EC:EC,"",0,1)</f>
        <v>-0.2</v>
      </c>
      <c r="G68" s="15">
        <f t="shared" si="0"/>
        <v>-1</v>
      </c>
      <c r="H68" s="16">
        <f t="shared" si="1"/>
        <v>6005.16</v>
      </c>
      <c r="I68" s="16">
        <f t="shared" si="2"/>
        <v>4502.58</v>
      </c>
      <c r="J68" s="27" t="s">
        <v>182</v>
      </c>
      <c r="K68" t="str">
        <f>_xlfn.XLOOKUP(J:J,'[3]FILTROS 2'!$A:$A,'[3]FILTROS 2'!$E:$E,"",0,1)</f>
        <v>ESMALTE - ESTRUCTURAS GLOSI</v>
      </c>
      <c r="L68" s="30"/>
      <c r="O68">
        <f>_xlfn.XLOOKUP(A:A,[4]TD90D!$A:$A,[4]TD90D!$CW:$CW,"",0,1)</f>
        <v>4</v>
      </c>
      <c r="P68">
        <f>_xlfn.XLOOKUP(A:A,[4]TD90D!$A:$A,[4]TD90D!$CX:$CX,"",0,1)</f>
        <v>1</v>
      </c>
      <c r="Q68">
        <f>_xlfn.XLOOKUP(A:A,[4]TD90D!$A:$A,[4]TD90D!$DA:$DA,"",0,1)</f>
        <v>0</v>
      </c>
      <c r="R68" s="31">
        <f t="shared" si="5"/>
        <v>0.2</v>
      </c>
      <c r="S68">
        <f>_xlfn.XLOOKUP(A:A,'[4]TD90D PZAS'!$A:$A,'[4]TD90D PZAS'!$CW:$CW,"",0,1)</f>
        <v>0</v>
      </c>
      <c r="T68">
        <f>_xlfn.XLOOKUP(A:A,'[4]TD90D PZAS'!$A:$A,'[4]TD90D PZAS'!$CX:$CX,"",0,1)</f>
        <v>0</v>
      </c>
      <c r="U68">
        <f>_xlfn.XLOOKUP(A:A,'[4]TD90D PZAS'!$A:$A,'[4]TD90D PZAS'!$DA:$DA,"",0,1)</f>
        <v>0</v>
      </c>
    </row>
    <row r="69" spans="1:21" x14ac:dyDescent="0.35">
      <c r="A69" t="s">
        <v>136</v>
      </c>
      <c r="B69" t="str">
        <f>_xlfn.XLOOKUP(A:A,[1]Hoja1!$C:$C,[1]Hoja1!$D:$D,"",0,1)</f>
        <v>AGUACERO 4A BLANCO FIBRATADO</v>
      </c>
      <c r="C69" s="8">
        <v>5</v>
      </c>
      <c r="D69" s="11">
        <f>_xlfn.XLOOKUP(A:A,[2]Hoja1!$C:$C,[2]Hoja1!$H:$H,"",0,1)</f>
        <v>1019.83</v>
      </c>
      <c r="E69" s="11">
        <f>_xlfn.XLOOKUP(A:A,[1]Hoja1!$C:$C,[1]Hoja1!$H:$H,"",0,1)</f>
        <v>816.38</v>
      </c>
      <c r="F69" s="14">
        <f>_xlfn.XLOOKUP(A:A,TD!A:A,TD!EC:EC,"",0,1)</f>
        <v>5.2</v>
      </c>
      <c r="G69" s="15">
        <f t="shared" si="0"/>
        <v>5</v>
      </c>
      <c r="H69" s="16">
        <f t="shared" si="1"/>
        <v>3059.4900000000002</v>
      </c>
      <c r="I69" s="16">
        <f t="shared" si="2"/>
        <v>2449.14</v>
      </c>
      <c r="J69" s="27" t="s">
        <v>136</v>
      </c>
      <c r="K69" t="str">
        <f>_xlfn.XLOOKUP(J:J,'[3]FILTROS 2'!$A:$A,'[3]FILTROS 2'!$E:$E,"",0,1)</f>
        <v>IMPERGLOSI  AGUACERO FIBRA 4 A</v>
      </c>
      <c r="L69" s="30"/>
      <c r="O69">
        <f>_xlfn.XLOOKUP(A:A,[4]TD90D!$A:$A,[4]TD90D!$CW:$CW,"",0,1)</f>
        <v>9</v>
      </c>
      <c r="P69">
        <f>_xlfn.XLOOKUP(A:A,[4]TD90D!$A:$A,[4]TD90D!$CX:$CX,"",0,1)</f>
        <v>4</v>
      </c>
      <c r="Q69">
        <f>_xlfn.XLOOKUP(A:A,[4]TD90D!$A:$A,[4]TD90D!$DA:$DA,"",0,1)</f>
        <v>0</v>
      </c>
      <c r="R69" s="31">
        <f t="shared" si="5"/>
        <v>0.8</v>
      </c>
      <c r="S69">
        <f>_xlfn.XLOOKUP(A:A,'[4]TD90D PZAS'!$A:$A,'[4]TD90D PZAS'!$CW:$CW,"",0,1)</f>
        <v>23</v>
      </c>
      <c r="T69">
        <f>_xlfn.XLOOKUP(A:A,'[4]TD90D PZAS'!$A:$A,'[4]TD90D PZAS'!$CX:$CX,"",0,1)</f>
        <v>4</v>
      </c>
      <c r="U69">
        <f>_xlfn.XLOOKUP(A:A,'[4]TD90D PZAS'!$A:$A,'[4]TD90D PZAS'!$DA:$DA,"",0,1)</f>
        <v>0</v>
      </c>
    </row>
    <row r="70" spans="1:21" x14ac:dyDescent="0.35">
      <c r="A70" t="s">
        <v>180</v>
      </c>
      <c r="B70" t="str">
        <f>_xlfn.XLOOKUP(A:A,[1]Hoja1!$C:$C,[1]Hoja1!$D:$D,"",0,1)</f>
        <v>PRIMARIO ESTRUCTURAS BLANCO</v>
      </c>
      <c r="C70" s="8">
        <v>5</v>
      </c>
      <c r="D70" s="11">
        <f>_xlfn.XLOOKUP(A:A,[2]Hoja1!$C:$C,[2]Hoja1!$H:$H,"",0,1)</f>
        <v>3537.93</v>
      </c>
      <c r="E70" s="11">
        <f>_xlfn.XLOOKUP(A:A,[1]Hoja1!$C:$C,[1]Hoja1!$H:$H,"",0,1)</f>
        <v>3037.93</v>
      </c>
      <c r="F70" s="14">
        <f>_xlfn.XLOOKUP(A:A,TD!A:A,TD!EC:EC,"",0,1)</f>
        <v>-0.2</v>
      </c>
      <c r="G70" s="15">
        <f t="shared" ref="G70:G133" si="6">INT(F70)</f>
        <v>-1</v>
      </c>
      <c r="H70" s="16">
        <f t="shared" ref="H70:H133" si="7">D70*$G$5</f>
        <v>10613.789999999999</v>
      </c>
      <c r="I70" s="16">
        <f t="shared" ref="I70:I133" si="8">E70*$G$5</f>
        <v>9113.7899999999991</v>
      </c>
      <c r="J70" s="27" t="s">
        <v>180</v>
      </c>
      <c r="K70" t="str">
        <f>_xlfn.XLOOKUP(J:J,'[3]FILTROS 2'!$A:$A,'[3]FILTROS 2'!$E:$E,"",0,1)</f>
        <v>PRIMARIOS ESTRUCTURALES ALQUID</v>
      </c>
      <c r="L70" s="30"/>
      <c r="O70">
        <f>_xlfn.XLOOKUP(A:A,[4]TD90D!$A:$A,[4]TD90D!$CW:$CW,"",0,1)</f>
        <v>3</v>
      </c>
      <c r="P70">
        <f>_xlfn.XLOOKUP(A:A,[4]TD90D!$A:$A,[4]TD90D!$CX:$CX,"",0,1)</f>
        <v>1</v>
      </c>
      <c r="Q70">
        <f>_xlfn.XLOOKUP(A:A,[4]TD90D!$A:$A,[4]TD90D!$DA:$DA,"",0,1)</f>
        <v>0</v>
      </c>
      <c r="R70" s="31">
        <f t="shared" ref="R70:R133" si="9">P70/C70</f>
        <v>0.2</v>
      </c>
      <c r="S70">
        <f>_xlfn.XLOOKUP(A:A,'[4]TD90D PZAS'!$A:$A,'[4]TD90D PZAS'!$CW:$CW,"",0,1)</f>
        <v>-1</v>
      </c>
      <c r="T70">
        <f>_xlfn.XLOOKUP(A:A,'[4]TD90D PZAS'!$A:$A,'[4]TD90D PZAS'!$CX:$CX,"",0,1)</f>
        <v>0</v>
      </c>
      <c r="U70">
        <f>_xlfn.XLOOKUP(A:A,'[4]TD90D PZAS'!$A:$A,'[4]TD90D PZAS'!$DA:$DA,"",0,1)</f>
        <v>0</v>
      </c>
    </row>
    <row r="71" spans="1:21" x14ac:dyDescent="0.35">
      <c r="A71" t="s">
        <v>167</v>
      </c>
      <c r="B71" t="str">
        <f>_xlfn.XLOOKUP(A:A,[1]Hoja1!$C:$C,[1]Hoja1!$D:$D,"",0,1)</f>
        <v>VINILICA GLOSI BLANCO 3A</v>
      </c>
      <c r="C71" s="8">
        <v>5</v>
      </c>
      <c r="D71" s="11">
        <f>_xlfn.XLOOKUP(A:A,[2]Hoja1!$C:$C,[2]Hoja1!$H:$H,"",0,1)</f>
        <v>874.14</v>
      </c>
      <c r="E71" s="11">
        <f>_xlfn.XLOOKUP(A:A,[1]Hoja1!$C:$C,[1]Hoja1!$H:$H,"",0,1)</f>
        <v>656.9</v>
      </c>
      <c r="F71" s="14">
        <f>_xlfn.XLOOKUP(A:A,TD!A:A,TD!EC:EC,"",0,1)</f>
        <v>2</v>
      </c>
      <c r="G71" s="15">
        <f t="shared" si="6"/>
        <v>2</v>
      </c>
      <c r="H71" s="16">
        <f t="shared" si="7"/>
        <v>2622.42</v>
      </c>
      <c r="I71" s="16">
        <f t="shared" si="8"/>
        <v>1970.6999999999998</v>
      </c>
      <c r="J71" s="27" t="s">
        <v>167</v>
      </c>
      <c r="K71" t="str">
        <f>_xlfn.XLOOKUP(J:J,'[3]FILTROS 2'!$A:$A,'[3]FILTROS 2'!$E:$E,"",0,1)</f>
        <v>VINILICA - GLOSI 3 AÑOS</v>
      </c>
      <c r="L71" s="30"/>
      <c r="O71">
        <f>_xlfn.XLOOKUP(A:A,[4]TD90D!$A:$A,[4]TD90D!$CW:$CW,"",0,1)</f>
        <v>8</v>
      </c>
      <c r="P71">
        <f>_xlfn.XLOOKUP(A:A,[4]TD90D!$A:$A,[4]TD90D!$CX:$CX,"",0,1)</f>
        <v>3</v>
      </c>
      <c r="Q71">
        <f>_xlfn.XLOOKUP(A:A,[4]TD90D!$A:$A,[4]TD90D!$DA:$DA,"",0,1)</f>
        <v>0</v>
      </c>
      <c r="R71" s="31">
        <f t="shared" si="9"/>
        <v>0.6</v>
      </c>
      <c r="S71">
        <f>_xlfn.XLOOKUP(A:A,'[4]TD90D PZAS'!$A:$A,'[4]TD90D PZAS'!$CW:$CW,"",0,1)</f>
        <v>13</v>
      </c>
      <c r="T71">
        <f>_xlfn.XLOOKUP(A:A,'[4]TD90D PZAS'!$A:$A,'[4]TD90D PZAS'!$CX:$CX,"",0,1)</f>
        <v>3</v>
      </c>
      <c r="U71">
        <f>_xlfn.XLOOKUP(A:A,'[4]TD90D PZAS'!$A:$A,'[4]TD90D PZAS'!$DA:$DA,"",0,1)</f>
        <v>0</v>
      </c>
    </row>
    <row r="72" spans="1:21" x14ac:dyDescent="0.35">
      <c r="A72" t="s">
        <v>34</v>
      </c>
      <c r="B72" t="str">
        <f>_xlfn.XLOOKUP(A:A,[1]Hoja1!$C:$C,[1]Hoja1!$D:$D,"",0,1)</f>
        <v>ESMALTE GLOSI SR BLANCO</v>
      </c>
      <c r="C72" s="8">
        <v>5</v>
      </c>
      <c r="D72" s="11">
        <f>_xlfn.XLOOKUP(A:A,[2]Hoja1!$C:$C,[2]Hoja1!$H:$H,"",0,1)</f>
        <v>121.55</v>
      </c>
      <c r="E72" s="11">
        <f>_xlfn.XLOOKUP(A:A,[1]Hoja1!$C:$C,[1]Hoja1!$H:$H,"",0,1)</f>
        <v>100</v>
      </c>
      <c r="F72" s="14">
        <f>_xlfn.XLOOKUP(A:A,TD!A:A,TD!EC:EC,"",0,1)</f>
        <v>4.2</v>
      </c>
      <c r="G72" s="15">
        <f t="shared" si="6"/>
        <v>4</v>
      </c>
      <c r="H72" s="16">
        <f t="shared" si="7"/>
        <v>364.65</v>
      </c>
      <c r="I72" s="16">
        <f t="shared" si="8"/>
        <v>300</v>
      </c>
      <c r="J72" s="27" t="s">
        <v>34</v>
      </c>
      <c r="K72" t="str">
        <f>_xlfn.XLOOKUP(J:J,'[3]FILTROS 2'!$A:$A,'[3]FILTROS 2'!$E:$E,"",0,1)</f>
        <v>ESMALTE - GLOSI SECADO RAPIDO</v>
      </c>
      <c r="L72" s="30"/>
      <c r="O72">
        <f>_xlfn.XLOOKUP(A:A,[4]TD90D!$A:$A,[4]TD90D!$CW:$CW,"",0,1)</f>
        <v>3</v>
      </c>
      <c r="P72">
        <f>_xlfn.XLOOKUP(A:A,[4]TD90D!$A:$A,[4]TD90D!$CX:$CX,"",0,1)</f>
        <v>1</v>
      </c>
      <c r="Q72">
        <f>_xlfn.XLOOKUP(A:A,[4]TD90D!$A:$A,[4]TD90D!$DA:$DA,"",0,1)</f>
        <v>0</v>
      </c>
      <c r="R72" s="31">
        <f t="shared" si="9"/>
        <v>0.2</v>
      </c>
      <c r="S72">
        <f>_xlfn.XLOOKUP(A:A,'[4]TD90D PZAS'!$A:$A,'[4]TD90D PZAS'!$CW:$CW,"",0,1)</f>
        <v>13</v>
      </c>
      <c r="T72">
        <f>_xlfn.XLOOKUP(A:A,'[4]TD90D PZAS'!$A:$A,'[4]TD90D PZAS'!$CX:$CX,"",0,1)</f>
        <v>1</v>
      </c>
      <c r="U72">
        <f>_xlfn.XLOOKUP(A:A,'[4]TD90D PZAS'!$A:$A,'[4]TD90D PZAS'!$DA:$DA,"",0,1)</f>
        <v>0</v>
      </c>
    </row>
    <row r="73" spans="1:21" x14ac:dyDescent="0.35">
      <c r="A73" t="s">
        <v>193</v>
      </c>
      <c r="B73" t="str">
        <f>_xlfn.XLOOKUP(A:A,[1]Hoja1!$C:$C,[1]Hoja1!$D:$D,"",0,1)</f>
        <v>AGUACERO 4A TERRACOTA FIBRATADO</v>
      </c>
      <c r="C73" s="8">
        <v>5</v>
      </c>
      <c r="D73" s="11">
        <f>_xlfn.XLOOKUP(A:A,[2]Hoja1!$C:$C,[2]Hoja1!$H:$H,"",0,1)</f>
        <v>1019.83</v>
      </c>
      <c r="E73" s="11">
        <f>_xlfn.XLOOKUP(A:A,[1]Hoja1!$C:$C,[1]Hoja1!$H:$H,"",0,1)</f>
        <v>816.38</v>
      </c>
      <c r="F73" s="14">
        <f>_xlfn.XLOOKUP(A:A,TD!A:A,TD!EC:EC,"",0,1)</f>
        <v>7.4</v>
      </c>
      <c r="G73" s="15">
        <f t="shared" si="6"/>
        <v>7</v>
      </c>
      <c r="H73" s="16">
        <f t="shared" si="7"/>
        <v>3059.4900000000002</v>
      </c>
      <c r="I73" s="16">
        <f t="shared" si="8"/>
        <v>2449.14</v>
      </c>
      <c r="J73" s="27" t="s">
        <v>193</v>
      </c>
      <c r="K73" t="str">
        <f>_xlfn.XLOOKUP(J:J,'[3]FILTROS 2'!$A:$A,'[3]FILTROS 2'!$E:$E,"",0,1)</f>
        <v>IMPERGLOSI  AGUACERO FIBRA 4 A</v>
      </c>
      <c r="L73" s="30"/>
      <c r="O73">
        <f>_xlfn.XLOOKUP(A:A,[4]TD90D!$A:$A,[4]TD90D!$CW:$CW,"",0,1)</f>
        <v>2</v>
      </c>
      <c r="P73">
        <f>_xlfn.XLOOKUP(A:A,[4]TD90D!$A:$A,[4]TD90D!$CX:$CX,"",0,1)</f>
        <v>1</v>
      </c>
      <c r="Q73">
        <f>_xlfn.XLOOKUP(A:A,[4]TD90D!$A:$A,[4]TD90D!$DA:$DA,"",0,1)</f>
        <v>0</v>
      </c>
      <c r="R73" s="31">
        <f t="shared" si="9"/>
        <v>0.2</v>
      </c>
      <c r="S73">
        <f>_xlfn.XLOOKUP(A:A,'[4]TD90D PZAS'!$A:$A,'[4]TD90D PZAS'!$CW:$CW,"",0,1)</f>
        <v>4</v>
      </c>
      <c r="T73">
        <f>_xlfn.XLOOKUP(A:A,'[4]TD90D PZAS'!$A:$A,'[4]TD90D PZAS'!$CX:$CX,"",0,1)</f>
        <v>1</v>
      </c>
      <c r="U73">
        <f>_xlfn.XLOOKUP(A:A,'[4]TD90D PZAS'!$A:$A,'[4]TD90D PZAS'!$DA:$DA,"",0,1)</f>
        <v>0</v>
      </c>
    </row>
    <row r="74" spans="1:21" x14ac:dyDescent="0.35">
      <c r="A74" t="s">
        <v>249</v>
      </c>
      <c r="B74" t="str">
        <f>_xlfn.XLOOKUP(A:A,[1]Hoja1!$C:$C,[1]Hoja1!$D:$D,"",0,1)</f>
        <v>ACEITE DE LINAZA PROTECTOR DE MADERA</v>
      </c>
      <c r="C74" s="8">
        <v>5</v>
      </c>
      <c r="D74" s="11">
        <f>_xlfn.XLOOKUP(A:A,[2]Hoja1!$C:$C,[2]Hoja1!$H:$H,"",0,1)</f>
        <v>268.97000000000003</v>
      </c>
      <c r="E74" s="11">
        <f>_xlfn.XLOOKUP(A:A,[1]Hoja1!$C:$C,[1]Hoja1!$H:$H,"",0,1)</f>
        <v>268.97000000000003</v>
      </c>
      <c r="F74" s="14">
        <f>_xlfn.XLOOKUP(A:A,TD!A:A,TD!EC:EC,"",0,1)</f>
        <v>0.4</v>
      </c>
      <c r="G74" s="15">
        <f t="shared" si="6"/>
        <v>0</v>
      </c>
      <c r="H74" s="16">
        <f t="shared" si="7"/>
        <v>806.91000000000008</v>
      </c>
      <c r="I74" s="16">
        <f t="shared" si="8"/>
        <v>806.91000000000008</v>
      </c>
      <c r="J74" s="27">
        <v>76004</v>
      </c>
      <c r="K74" t="str">
        <f>_xlfn.XLOOKUP(J:J,'[3]FILTROS 2'!$A:$A,'[3]FILTROS 2'!$E:$E,"",0,1)</f>
        <v>ACEITE DE LINAZA</v>
      </c>
      <c r="L74" s="30"/>
      <c r="O74" t="str">
        <f>_xlfn.XLOOKUP(A:A,[4]TD90D!$A:$A,[4]TD90D!$CW:$CW,"",0,1)</f>
        <v/>
      </c>
      <c r="P74" t="str">
        <f>_xlfn.XLOOKUP(A:A,[4]TD90D!$A:$A,[4]TD90D!$CX:$CX,"",0,1)</f>
        <v/>
      </c>
      <c r="Q74" t="str">
        <f>_xlfn.XLOOKUP(A:A,[4]TD90D!$A:$A,[4]TD90D!$DA:$DA,"",0,1)</f>
        <v/>
      </c>
      <c r="R74" s="31" t="e">
        <f t="shared" si="9"/>
        <v>#VALUE!</v>
      </c>
      <c r="S74" t="str">
        <f>_xlfn.XLOOKUP(A:A,'[4]TD90D PZAS'!$A:$A,'[4]TD90D PZAS'!$CW:$CW,"",0,1)</f>
        <v/>
      </c>
      <c r="T74" t="str">
        <f>_xlfn.XLOOKUP(A:A,'[4]TD90D PZAS'!$A:$A,'[4]TD90D PZAS'!$CX:$CX,"",0,1)</f>
        <v/>
      </c>
      <c r="U74" t="str">
        <f>_xlfn.XLOOKUP(A:A,'[4]TD90D PZAS'!$A:$A,'[4]TD90D PZAS'!$DA:$DA,"",0,1)</f>
        <v/>
      </c>
    </row>
    <row r="75" spans="1:21" x14ac:dyDescent="0.35">
      <c r="A75" t="s">
        <v>104</v>
      </c>
      <c r="B75" t="str">
        <f>_xlfn.XLOOKUP(A:A,[1]Hoja1!$C:$C,[1]Hoja1!$D:$D,"",0,1)</f>
        <v>PELO DE GATO</v>
      </c>
      <c r="C75" s="8">
        <v>5</v>
      </c>
      <c r="D75" s="11">
        <f>_xlfn.XLOOKUP(A:A,[2]Hoja1!$C:$C,[2]Hoja1!$H:$H,"",0,1)</f>
        <v>309.48</v>
      </c>
      <c r="E75" s="11">
        <f>_xlfn.XLOOKUP(A:A,[1]Hoja1!$C:$C,[1]Hoja1!$H:$H,"",0,1)</f>
        <v>237.93</v>
      </c>
      <c r="F75" s="14">
        <f>_xlfn.XLOOKUP(A:A,TD!A:A,TD!EC:EC,"",0,1)</f>
        <v>1.6</v>
      </c>
      <c r="G75" s="15">
        <f t="shared" si="6"/>
        <v>1</v>
      </c>
      <c r="H75" s="16">
        <f t="shared" si="7"/>
        <v>928.44</v>
      </c>
      <c r="I75" s="16">
        <f t="shared" si="8"/>
        <v>713.79</v>
      </c>
      <c r="J75" s="27">
        <v>29024</v>
      </c>
      <c r="K75" t="str">
        <f>_xlfn.XLOOKUP(J:J,'[3]FILTROS 2'!$A:$A,'[3]FILTROS 2'!$E:$E,"",0,1)</f>
        <v>PASTA RELLENADORA</v>
      </c>
      <c r="L75" s="30"/>
      <c r="O75">
        <f>_xlfn.XLOOKUP(A:A,[4]TD90D!$A:$A,[4]TD90D!$CW:$CW,"",0,1)</f>
        <v>4</v>
      </c>
      <c r="P75">
        <f>_xlfn.XLOOKUP(A:A,[4]TD90D!$A:$A,[4]TD90D!$CX:$CX,"",0,1)</f>
        <v>1</v>
      </c>
      <c r="Q75">
        <f>_xlfn.XLOOKUP(A:A,[4]TD90D!$A:$A,[4]TD90D!$DA:$DA,"",0,1)</f>
        <v>0</v>
      </c>
      <c r="R75" s="31">
        <f t="shared" si="9"/>
        <v>0.2</v>
      </c>
      <c r="S75">
        <f>_xlfn.XLOOKUP(A:A,'[4]TD90D PZAS'!$A:$A,'[4]TD90D PZAS'!$CW:$CW,"",0,1)</f>
        <v>2</v>
      </c>
      <c r="T75">
        <f>_xlfn.XLOOKUP(A:A,'[4]TD90D PZAS'!$A:$A,'[4]TD90D PZAS'!$CX:$CX,"",0,1)</f>
        <v>1</v>
      </c>
      <c r="U75">
        <f>_xlfn.XLOOKUP(A:A,'[4]TD90D PZAS'!$A:$A,'[4]TD90D PZAS'!$DA:$DA,"",0,1)</f>
        <v>0</v>
      </c>
    </row>
    <row r="76" spans="1:21" x14ac:dyDescent="0.35">
      <c r="A76" t="s">
        <v>166</v>
      </c>
      <c r="B76" t="str">
        <f>_xlfn.XLOOKUP(A:A,[1]Hoja1!$C:$C,[1]Hoja1!$D:$D,"",0,1)</f>
        <v>BARNIZ GLOSI ALQUI CAOBA</v>
      </c>
      <c r="C76" s="8">
        <v>4</v>
      </c>
      <c r="D76" s="11">
        <f>_xlfn.XLOOKUP(A:A,[2]Hoja1!$C:$C,[2]Hoja1!$H:$H,"",0,1)</f>
        <v>106.03</v>
      </c>
      <c r="E76" s="11">
        <f>_xlfn.XLOOKUP(A:A,[1]Hoja1!$C:$C,[1]Hoja1!$H:$H,"",0,1)</f>
        <v>83.62</v>
      </c>
      <c r="F76" s="14">
        <f>_xlfn.XLOOKUP(A:A,TD!A:A,TD!EC:EC,"",0,1)</f>
        <v>2.25</v>
      </c>
      <c r="G76" s="15">
        <f t="shared" si="6"/>
        <v>2</v>
      </c>
      <c r="H76" s="16">
        <f t="shared" si="7"/>
        <v>318.09000000000003</v>
      </c>
      <c r="I76" s="16">
        <f t="shared" si="8"/>
        <v>250.86</v>
      </c>
      <c r="J76" s="27" t="s">
        <v>166</v>
      </c>
      <c r="K76" t="str">
        <f>_xlfn.XLOOKUP(J:J,'[3]FILTROS 2'!$A:$A,'[3]FILTROS 2'!$E:$E,"",0,1)</f>
        <v>BARNIZ ALQUIDALICO GLOSI 3-1</v>
      </c>
      <c r="L76" s="30"/>
      <c r="O76">
        <f>_xlfn.XLOOKUP(A:A,[4]TD90D!$A:$A,[4]TD90D!$CW:$CW,"",0,1)</f>
        <v>5</v>
      </c>
      <c r="P76">
        <f>_xlfn.XLOOKUP(A:A,[4]TD90D!$A:$A,[4]TD90D!$CX:$CX,"",0,1)</f>
        <v>2</v>
      </c>
      <c r="Q76">
        <f>_xlfn.XLOOKUP(A:A,[4]TD90D!$A:$A,[4]TD90D!$DA:$DA,"",0,1)</f>
        <v>0</v>
      </c>
      <c r="R76" s="31">
        <f t="shared" si="9"/>
        <v>0.5</v>
      </c>
      <c r="S76">
        <f>_xlfn.XLOOKUP(A:A,'[4]TD90D PZAS'!$A:$A,'[4]TD90D PZAS'!$CW:$CW,"",0,1)</f>
        <v>12</v>
      </c>
      <c r="T76">
        <f>_xlfn.XLOOKUP(A:A,'[4]TD90D PZAS'!$A:$A,'[4]TD90D PZAS'!$CX:$CX,"",0,1)</f>
        <v>2</v>
      </c>
      <c r="U76">
        <f>_xlfn.XLOOKUP(A:A,'[4]TD90D PZAS'!$A:$A,'[4]TD90D PZAS'!$DA:$DA,"",0,1)</f>
        <v>0</v>
      </c>
    </row>
    <row r="77" spans="1:21" x14ac:dyDescent="0.35">
      <c r="A77" t="s">
        <v>376</v>
      </c>
      <c r="B77" t="str">
        <f>_xlfn.XLOOKUP(A:A,[1]Hoja1!$C:$C,[1]Hoja1!$D:$D,"",0,1)</f>
        <v>BRILLON BLANCO MATE</v>
      </c>
      <c r="C77" s="8">
        <v>4</v>
      </c>
      <c r="D77" s="11">
        <f>_xlfn.XLOOKUP(A:A,[2]Hoja1!$C:$C,[2]Hoja1!$H:$H,"",0,1)</f>
        <v>58.62</v>
      </c>
      <c r="E77" s="11">
        <f>_xlfn.XLOOKUP(A:A,[1]Hoja1!$C:$C,[1]Hoja1!$H:$H,"",0,1)</f>
        <v>43.97</v>
      </c>
      <c r="F77" s="14">
        <f>_xlfn.XLOOKUP(A:A,TD!A:A,TD!EC:EC,"",0,1)</f>
        <v>4</v>
      </c>
      <c r="G77" s="15">
        <f t="shared" si="6"/>
        <v>4</v>
      </c>
      <c r="H77" s="16">
        <f t="shared" si="7"/>
        <v>175.85999999999999</v>
      </c>
      <c r="I77" s="16">
        <f t="shared" si="8"/>
        <v>131.91</v>
      </c>
      <c r="J77" s="27">
        <v>28016</v>
      </c>
      <c r="K77" t="str">
        <f>_xlfn.XLOOKUP(J:J,'[3]FILTROS 2'!$A:$A,'[3]FILTROS 2'!$E:$E,"",0,1)</f>
        <v>ESMALTE - BRILLON</v>
      </c>
      <c r="L77" s="30"/>
      <c r="O77">
        <f>_xlfn.XLOOKUP(A:A,[4]TD90D!$A:$A,[4]TD90D!$CW:$CW,"",0,1)</f>
        <v>4</v>
      </c>
      <c r="P77">
        <f>_xlfn.XLOOKUP(A:A,[4]TD90D!$A:$A,[4]TD90D!$CX:$CX,"",0,1)</f>
        <v>2</v>
      </c>
      <c r="Q77">
        <f>_xlfn.XLOOKUP(A:A,[4]TD90D!$A:$A,[4]TD90D!$DA:$DA,"",0,1)</f>
        <v>0</v>
      </c>
      <c r="R77" s="31">
        <f t="shared" si="9"/>
        <v>0.5</v>
      </c>
      <c r="S77">
        <f>_xlfn.XLOOKUP(A:A,'[4]TD90D PZAS'!$A:$A,'[4]TD90D PZAS'!$CW:$CW,"",0,1)</f>
        <v>6</v>
      </c>
      <c r="T77">
        <f>_xlfn.XLOOKUP(A:A,'[4]TD90D PZAS'!$A:$A,'[4]TD90D PZAS'!$CX:$CX,"",0,1)</f>
        <v>2</v>
      </c>
      <c r="U77">
        <f>_xlfn.XLOOKUP(A:A,'[4]TD90D PZAS'!$A:$A,'[4]TD90D PZAS'!$DA:$DA,"",0,1)</f>
        <v>0</v>
      </c>
    </row>
    <row r="78" spans="1:21" x14ac:dyDescent="0.35">
      <c r="A78" t="s">
        <v>257</v>
      </c>
      <c r="B78" t="str">
        <f>_xlfn.XLOOKUP(A:A,[1]Hoja1!$C:$C,[1]Hoja1!$D:$D,"",0,1)</f>
        <v>ESMALTE GLOSI SR BLANCO</v>
      </c>
      <c r="C78" s="8">
        <v>4</v>
      </c>
      <c r="D78" s="11">
        <f>_xlfn.XLOOKUP(A:A,[2]Hoja1!$C:$C,[2]Hoja1!$H:$H,"",0,1)</f>
        <v>81.03</v>
      </c>
      <c r="E78" s="11">
        <f>_xlfn.XLOOKUP(A:A,[1]Hoja1!$C:$C,[1]Hoja1!$H:$H,"",0,1)</f>
        <v>66.38</v>
      </c>
      <c r="F78" s="14">
        <f>_xlfn.XLOOKUP(A:A,TD!A:A,TD!EC:EC,"",0,1)</f>
        <v>7.5</v>
      </c>
      <c r="G78" s="15">
        <f t="shared" si="6"/>
        <v>7</v>
      </c>
      <c r="H78" s="16">
        <f t="shared" si="7"/>
        <v>243.09</v>
      </c>
      <c r="I78" s="16">
        <f t="shared" si="8"/>
        <v>199.14</v>
      </c>
      <c r="J78" s="27" t="s">
        <v>257</v>
      </c>
      <c r="K78" t="str">
        <f>_xlfn.XLOOKUP(J:J,'[3]FILTROS 2'!$A:$A,'[3]FILTROS 2'!$E:$E,"",0,1)</f>
        <v>ESMALTE - GLOSI SECADO RAPIDO</v>
      </c>
      <c r="L78" s="30"/>
      <c r="O78">
        <f>_xlfn.XLOOKUP(A:A,[4]TD90D!$A:$A,[4]TD90D!$CW:$CW,"",0,1)</f>
        <v>2</v>
      </c>
      <c r="P78">
        <f>_xlfn.XLOOKUP(A:A,[4]TD90D!$A:$A,[4]TD90D!$CX:$CX,"",0,1)</f>
        <v>1</v>
      </c>
      <c r="Q78">
        <f>_xlfn.XLOOKUP(A:A,[4]TD90D!$A:$A,[4]TD90D!$DA:$DA,"",0,1)</f>
        <v>0</v>
      </c>
      <c r="R78" s="31">
        <f t="shared" si="9"/>
        <v>0.25</v>
      </c>
      <c r="S78">
        <f>_xlfn.XLOOKUP(A:A,'[4]TD90D PZAS'!$A:$A,'[4]TD90D PZAS'!$CW:$CW,"",0,1)</f>
        <v>24</v>
      </c>
      <c r="T78">
        <f>_xlfn.XLOOKUP(A:A,'[4]TD90D PZAS'!$A:$A,'[4]TD90D PZAS'!$CX:$CX,"",0,1)</f>
        <v>1</v>
      </c>
      <c r="U78">
        <f>_xlfn.XLOOKUP(A:A,'[4]TD90D PZAS'!$A:$A,'[4]TD90D PZAS'!$DA:$DA,"",0,1)</f>
        <v>0</v>
      </c>
    </row>
    <row r="79" spans="1:21" x14ac:dyDescent="0.35">
      <c r="A79" t="s">
        <v>66</v>
      </c>
      <c r="B79" t="str">
        <f>_xlfn.XLOOKUP(A:A,[1]Hoja1!$C:$C,[1]Hoja1!$D:$D,"",0,1)</f>
        <v>BRILLON AZUL AGUA</v>
      </c>
      <c r="C79" s="8">
        <v>4</v>
      </c>
      <c r="D79" s="11">
        <f>_xlfn.XLOOKUP(A:A,[2]Hoja1!$C:$C,[2]Hoja1!$H:$H,"",0,1)</f>
        <v>58.62</v>
      </c>
      <c r="E79" s="11">
        <f>_xlfn.XLOOKUP(A:A,[1]Hoja1!$C:$C,[1]Hoja1!$H:$H,"",0,1)</f>
        <v>43.97</v>
      </c>
      <c r="F79" s="14">
        <f>_xlfn.XLOOKUP(A:A,TD!A:A,TD!EC:EC,"",0,1)</f>
        <v>10.5</v>
      </c>
      <c r="G79" s="15">
        <f t="shared" si="6"/>
        <v>10</v>
      </c>
      <c r="H79" s="16">
        <f t="shared" si="7"/>
        <v>175.85999999999999</v>
      </c>
      <c r="I79" s="16">
        <f t="shared" si="8"/>
        <v>131.91</v>
      </c>
      <c r="J79" s="27">
        <v>28646</v>
      </c>
      <c r="K79" t="str">
        <f>_xlfn.XLOOKUP(J:J,'[3]FILTROS 2'!$A:$A,'[3]FILTROS 2'!$E:$E,"",0,1)</f>
        <v>ESMALTE - BRILLON</v>
      </c>
      <c r="L79" s="30"/>
      <c r="O79" t="str">
        <f>_xlfn.XLOOKUP(A:A,[4]TD90D!$A:$A,[4]TD90D!$CW:$CW,"",0,1)</f>
        <v/>
      </c>
      <c r="P79" t="str">
        <f>_xlfn.XLOOKUP(A:A,[4]TD90D!$A:$A,[4]TD90D!$CX:$CX,"",0,1)</f>
        <v/>
      </c>
      <c r="Q79" t="str">
        <f>_xlfn.XLOOKUP(A:A,[4]TD90D!$A:$A,[4]TD90D!$DA:$DA,"",0,1)</f>
        <v/>
      </c>
      <c r="R79" s="31" t="e">
        <f t="shared" si="9"/>
        <v>#VALUE!</v>
      </c>
      <c r="S79" t="str">
        <f>_xlfn.XLOOKUP(A:A,'[4]TD90D PZAS'!$A:$A,'[4]TD90D PZAS'!$CW:$CW,"",0,1)</f>
        <v/>
      </c>
      <c r="T79" t="str">
        <f>_xlfn.XLOOKUP(A:A,'[4]TD90D PZAS'!$A:$A,'[4]TD90D PZAS'!$CX:$CX,"",0,1)</f>
        <v/>
      </c>
      <c r="U79" t="str">
        <f>_xlfn.XLOOKUP(A:A,'[4]TD90D PZAS'!$A:$A,'[4]TD90D PZAS'!$DA:$DA,"",0,1)</f>
        <v/>
      </c>
    </row>
    <row r="80" spans="1:21" x14ac:dyDescent="0.35">
      <c r="A80" t="s">
        <v>189</v>
      </c>
      <c r="B80" t="str">
        <f>_xlfn.XLOOKUP(A:A,[1]Hoja1!$C:$C,[1]Hoja1!$D:$D,"",0,1)</f>
        <v>AEROSOL CAFE CHOCOLATE</v>
      </c>
      <c r="C80" s="8">
        <v>4</v>
      </c>
      <c r="D80" s="11">
        <f>_xlfn.XLOOKUP(A:A,[2]Hoja1!$C:$C,[2]Hoja1!$H:$H,"",0,1)</f>
        <v>55.17</v>
      </c>
      <c r="E80" s="11">
        <f>_xlfn.XLOOKUP(A:A,[1]Hoja1!$C:$C,[1]Hoja1!$H:$H,"",0,1)</f>
        <v>41.38</v>
      </c>
      <c r="F80" s="14">
        <f>_xlfn.XLOOKUP(A:A,TD!A:A,TD!EC:EC,"",0,1)</f>
        <v>6</v>
      </c>
      <c r="G80" s="15">
        <f t="shared" si="6"/>
        <v>6</v>
      </c>
      <c r="H80" s="16">
        <f t="shared" si="7"/>
        <v>165.51</v>
      </c>
      <c r="I80" s="16">
        <f t="shared" si="8"/>
        <v>124.14000000000001</v>
      </c>
      <c r="J80" s="27">
        <v>2358</v>
      </c>
      <c r="K80" t="str">
        <f>_xlfn.XLOOKUP(J:J,'[3]FILTROS 2'!$A:$A,'[3]FILTROS 2'!$E:$E,"",0,1)</f>
        <v>AEROSOLES PRISA</v>
      </c>
      <c r="L80" s="30"/>
      <c r="O80">
        <f>_xlfn.XLOOKUP(A:A,[4]TD90D!$A:$A,[4]TD90D!$CW:$CW,"",0,1)</f>
        <v>5</v>
      </c>
      <c r="P80">
        <f>_xlfn.XLOOKUP(A:A,[4]TD90D!$A:$A,[4]TD90D!$CX:$CX,"",0,1)</f>
        <v>2</v>
      </c>
      <c r="Q80">
        <f>_xlfn.XLOOKUP(A:A,[4]TD90D!$A:$A,[4]TD90D!$DA:$DA,"",0,1)</f>
        <v>0</v>
      </c>
      <c r="R80" s="31">
        <f t="shared" si="9"/>
        <v>0.5</v>
      </c>
      <c r="S80">
        <f>_xlfn.XLOOKUP(A:A,'[4]TD90D PZAS'!$A:$A,'[4]TD90D PZAS'!$CW:$CW,"",0,1)</f>
        <v>18</v>
      </c>
      <c r="T80">
        <f>_xlfn.XLOOKUP(A:A,'[4]TD90D PZAS'!$A:$A,'[4]TD90D PZAS'!$CX:$CX,"",0,1)</f>
        <v>2</v>
      </c>
      <c r="U80">
        <f>_xlfn.XLOOKUP(A:A,'[4]TD90D PZAS'!$A:$A,'[4]TD90D PZAS'!$DA:$DA,"",0,1)</f>
        <v>0</v>
      </c>
    </row>
    <row r="81" spans="1:21" x14ac:dyDescent="0.35">
      <c r="A81" t="s">
        <v>337</v>
      </c>
      <c r="B81" t="str">
        <f>_xlfn.XLOOKUP(A:A,[1]Hoja1!$C:$C,[1]Hoja1!$D:$D,"",0,1)</f>
        <v>BRILLON DORADO</v>
      </c>
      <c r="C81" s="8">
        <v>4</v>
      </c>
      <c r="D81" s="11">
        <f>_xlfn.XLOOKUP(A:A,[2]Hoja1!$C:$C,[2]Hoja1!$H:$H,"",0,1)</f>
        <v>150.86000000000001</v>
      </c>
      <c r="E81" s="11">
        <f>_xlfn.XLOOKUP(A:A,[1]Hoja1!$C:$C,[1]Hoja1!$H:$H,"",0,1)</f>
        <v>112.93</v>
      </c>
      <c r="F81" s="14">
        <f>_xlfn.XLOOKUP(A:A,TD!A:A,TD!EC:EC,"",0,1)</f>
        <v>3.25</v>
      </c>
      <c r="G81" s="15">
        <f t="shared" si="6"/>
        <v>3</v>
      </c>
      <c r="H81" s="16">
        <f t="shared" si="7"/>
        <v>452.58000000000004</v>
      </c>
      <c r="I81" s="16">
        <f t="shared" si="8"/>
        <v>338.79</v>
      </c>
      <c r="J81" s="27">
        <v>28914</v>
      </c>
      <c r="K81" t="str">
        <f>_xlfn.XLOOKUP(J:J,'[3]FILTROS 2'!$A:$A,'[3]FILTROS 2'!$E:$E,"",0,1)</f>
        <v>ESMALTE - BRILLON</v>
      </c>
      <c r="L81" s="30"/>
      <c r="O81" t="str">
        <f>_xlfn.XLOOKUP(A:A,[4]TD90D!$A:$A,[4]TD90D!$CW:$CW,"",0,1)</f>
        <v/>
      </c>
      <c r="P81" t="str">
        <f>_xlfn.XLOOKUP(A:A,[4]TD90D!$A:$A,[4]TD90D!$CX:$CX,"",0,1)</f>
        <v/>
      </c>
      <c r="Q81" t="str">
        <f>_xlfn.XLOOKUP(A:A,[4]TD90D!$A:$A,[4]TD90D!$DA:$DA,"",0,1)</f>
        <v/>
      </c>
      <c r="R81" s="31" t="e">
        <f t="shared" si="9"/>
        <v>#VALUE!</v>
      </c>
      <c r="S81" t="str">
        <f>_xlfn.XLOOKUP(A:A,'[4]TD90D PZAS'!$A:$A,'[4]TD90D PZAS'!$CW:$CW,"",0,1)</f>
        <v/>
      </c>
      <c r="T81" t="str">
        <f>_xlfn.XLOOKUP(A:A,'[4]TD90D PZAS'!$A:$A,'[4]TD90D PZAS'!$CX:$CX,"",0,1)</f>
        <v/>
      </c>
      <c r="U81" t="str">
        <f>_xlfn.XLOOKUP(A:A,'[4]TD90D PZAS'!$A:$A,'[4]TD90D PZAS'!$DA:$DA,"",0,1)</f>
        <v/>
      </c>
    </row>
    <row r="82" spans="1:21" x14ac:dyDescent="0.35">
      <c r="A82" t="s">
        <v>281</v>
      </c>
      <c r="B82" t="str">
        <f>_xlfn.XLOOKUP(A:A,[1]Hoja1!$C:$C,[1]Hoja1!$D:$D,"",0,1)</f>
        <v>BARNIZ GLOSI ALQUI NOGAL</v>
      </c>
      <c r="C82" s="8">
        <v>4</v>
      </c>
      <c r="D82" s="11">
        <f>_xlfn.XLOOKUP(A:A,[2]Hoja1!$C:$C,[2]Hoja1!$H:$H,"",0,1)</f>
        <v>106.03</v>
      </c>
      <c r="E82" s="11">
        <f>_xlfn.XLOOKUP(A:A,[1]Hoja1!$C:$C,[1]Hoja1!$H:$H,"",0,1)</f>
        <v>83.62</v>
      </c>
      <c r="F82" s="14">
        <f>_xlfn.XLOOKUP(A:A,TD!A:A,TD!EC:EC,"",0,1)</f>
        <v>2.25</v>
      </c>
      <c r="G82" s="15">
        <f t="shared" si="6"/>
        <v>2</v>
      </c>
      <c r="H82" s="16">
        <f t="shared" si="7"/>
        <v>318.09000000000003</v>
      </c>
      <c r="I82" s="16">
        <f t="shared" si="8"/>
        <v>250.86</v>
      </c>
      <c r="J82" s="27" t="s">
        <v>281</v>
      </c>
      <c r="K82" t="str">
        <f>_xlfn.XLOOKUP(J:J,'[3]FILTROS 2'!$A:$A,'[3]FILTROS 2'!$E:$E,"",0,1)</f>
        <v>BARNIZ ALQUIDALICO GLOSI 3-1</v>
      </c>
      <c r="L82" s="30"/>
      <c r="O82">
        <f>_xlfn.XLOOKUP(A:A,[4]TD90D!$A:$A,[4]TD90D!$CW:$CW,"",0,1)</f>
        <v>2</v>
      </c>
      <c r="P82">
        <f>_xlfn.XLOOKUP(A:A,[4]TD90D!$A:$A,[4]TD90D!$CX:$CX,"",0,1)</f>
        <v>1</v>
      </c>
      <c r="Q82">
        <f>_xlfn.XLOOKUP(A:A,[4]TD90D!$A:$A,[4]TD90D!$DA:$DA,"",0,1)</f>
        <v>0</v>
      </c>
      <c r="R82" s="31">
        <f t="shared" si="9"/>
        <v>0.25</v>
      </c>
      <c r="S82">
        <f>_xlfn.XLOOKUP(A:A,'[4]TD90D PZAS'!$A:$A,'[4]TD90D PZAS'!$CW:$CW,"",0,1)</f>
        <v>3</v>
      </c>
      <c r="T82">
        <f>_xlfn.XLOOKUP(A:A,'[4]TD90D PZAS'!$A:$A,'[4]TD90D PZAS'!$CX:$CX,"",0,1)</f>
        <v>1</v>
      </c>
      <c r="U82">
        <f>_xlfn.XLOOKUP(A:A,'[4]TD90D PZAS'!$A:$A,'[4]TD90D PZAS'!$DA:$DA,"",0,1)</f>
        <v>0</v>
      </c>
    </row>
    <row r="83" spans="1:21" x14ac:dyDescent="0.35">
      <c r="A83" t="s">
        <v>144</v>
      </c>
      <c r="B83" t="str">
        <f>_xlfn.XLOOKUP(A:A,[1]Hoja1!$C:$C,[1]Hoja1!$D:$D,"",0,1)</f>
        <v>BRILLON NEGRO MATE</v>
      </c>
      <c r="C83" s="8">
        <v>4</v>
      </c>
      <c r="D83" s="11">
        <f>_xlfn.XLOOKUP(A:A,[2]Hoja1!$C:$C,[2]Hoja1!$H:$H,"",0,1)</f>
        <v>90.52</v>
      </c>
      <c r="E83" s="11">
        <f>_xlfn.XLOOKUP(A:A,[1]Hoja1!$C:$C,[1]Hoja1!$H:$H,"",0,1)</f>
        <v>67.239999999999995</v>
      </c>
      <c r="F83" s="14">
        <f>_xlfn.XLOOKUP(A:A,TD!A:A,TD!EC:EC,"",0,1)</f>
        <v>4.5</v>
      </c>
      <c r="G83" s="15">
        <f t="shared" si="6"/>
        <v>4</v>
      </c>
      <c r="H83" s="16">
        <f t="shared" si="7"/>
        <v>271.56</v>
      </c>
      <c r="I83" s="16">
        <f t="shared" si="8"/>
        <v>201.71999999999997</v>
      </c>
      <c r="J83" s="27">
        <v>28965</v>
      </c>
      <c r="K83" t="str">
        <f>_xlfn.XLOOKUP(J:J,'[3]FILTROS 2'!$A:$A,'[3]FILTROS 2'!$E:$E,"",0,1)</f>
        <v>ESMALTE - BRILLON</v>
      </c>
      <c r="L83" s="30"/>
      <c r="O83">
        <f>_xlfn.XLOOKUP(A:A,[4]TD90D!$A:$A,[4]TD90D!$CW:$CW,"",0,1)</f>
        <v>3</v>
      </c>
      <c r="P83">
        <f>_xlfn.XLOOKUP(A:A,[4]TD90D!$A:$A,[4]TD90D!$CX:$CX,"",0,1)</f>
        <v>1</v>
      </c>
      <c r="Q83">
        <f>_xlfn.XLOOKUP(A:A,[4]TD90D!$A:$A,[4]TD90D!$DA:$DA,"",0,1)</f>
        <v>0</v>
      </c>
      <c r="R83" s="31">
        <f t="shared" si="9"/>
        <v>0.25</v>
      </c>
      <c r="S83">
        <f>_xlfn.XLOOKUP(A:A,'[4]TD90D PZAS'!$A:$A,'[4]TD90D PZAS'!$CW:$CW,"",0,1)</f>
        <v>12</v>
      </c>
      <c r="T83">
        <f>_xlfn.XLOOKUP(A:A,'[4]TD90D PZAS'!$A:$A,'[4]TD90D PZAS'!$CX:$CX,"",0,1)</f>
        <v>1</v>
      </c>
      <c r="U83">
        <f>_xlfn.XLOOKUP(A:A,'[4]TD90D PZAS'!$A:$A,'[4]TD90D PZAS'!$DA:$DA,"",0,1)</f>
        <v>0</v>
      </c>
    </row>
    <row r="84" spans="1:21" x14ac:dyDescent="0.35">
      <c r="A84" t="s">
        <v>145</v>
      </c>
      <c r="B84" t="str">
        <f>_xlfn.XLOOKUP(A:A,[1]Hoja1!$C:$C,[1]Hoja1!$D:$D,"",0,1)</f>
        <v>ESMALTE GLOSI SR NEGRO BRILLANTE</v>
      </c>
      <c r="C84" s="8">
        <v>4</v>
      </c>
      <c r="D84" s="11">
        <f>_xlfn.XLOOKUP(A:A,[2]Hoja1!$C:$C,[2]Hoja1!$H:$H,"",0,1)</f>
        <v>81.03</v>
      </c>
      <c r="E84" s="11">
        <f>_xlfn.XLOOKUP(A:A,[1]Hoja1!$C:$C,[1]Hoja1!$H:$H,"",0,1)</f>
        <v>66.38</v>
      </c>
      <c r="F84" s="14">
        <f>_xlfn.XLOOKUP(A:A,TD!A:A,TD!EC:EC,"",0,1)</f>
        <v>7.5</v>
      </c>
      <c r="G84" s="15">
        <f t="shared" si="6"/>
        <v>7</v>
      </c>
      <c r="H84" s="16">
        <f t="shared" si="7"/>
        <v>243.09</v>
      </c>
      <c r="I84" s="16">
        <f t="shared" si="8"/>
        <v>199.14</v>
      </c>
      <c r="J84" s="27" t="s">
        <v>145</v>
      </c>
      <c r="K84" t="str">
        <f>_xlfn.XLOOKUP(J:J,'[3]FILTROS 2'!$A:$A,'[3]FILTROS 2'!$E:$E,"",0,1)</f>
        <v>ESMALTE - GLOSI SECADO RAPIDO</v>
      </c>
      <c r="L84" s="30"/>
      <c r="O84">
        <f>_xlfn.XLOOKUP(A:A,[4]TD90D!$A:$A,[4]TD90D!$CW:$CW,"",0,1)</f>
        <v>2</v>
      </c>
      <c r="P84">
        <f>_xlfn.XLOOKUP(A:A,[4]TD90D!$A:$A,[4]TD90D!$CX:$CX,"",0,1)</f>
        <v>1</v>
      </c>
      <c r="Q84">
        <f>_xlfn.XLOOKUP(A:A,[4]TD90D!$A:$A,[4]TD90D!$DA:$DA,"",0,1)</f>
        <v>0</v>
      </c>
      <c r="R84" s="31">
        <f t="shared" si="9"/>
        <v>0.25</v>
      </c>
      <c r="S84">
        <f>_xlfn.XLOOKUP(A:A,'[4]TD90D PZAS'!$A:$A,'[4]TD90D PZAS'!$CW:$CW,"",0,1)</f>
        <v>24</v>
      </c>
      <c r="T84">
        <f>_xlfn.XLOOKUP(A:A,'[4]TD90D PZAS'!$A:$A,'[4]TD90D PZAS'!$CX:$CX,"",0,1)</f>
        <v>1</v>
      </c>
      <c r="U84">
        <f>_xlfn.XLOOKUP(A:A,'[4]TD90D PZAS'!$A:$A,'[4]TD90D PZAS'!$DA:$DA,"",0,1)</f>
        <v>0</v>
      </c>
    </row>
    <row r="85" spans="1:21" x14ac:dyDescent="0.35">
      <c r="A85" t="s">
        <v>73</v>
      </c>
      <c r="B85" t="str">
        <f>_xlfn.XLOOKUP(A:A,[1]Hoja1!$C:$C,[1]Hoja1!$D:$D,"",0,1)</f>
        <v>BRILLON NEGRO</v>
      </c>
      <c r="C85" s="8">
        <v>4</v>
      </c>
      <c r="D85" s="11">
        <f>_xlfn.XLOOKUP(A:A,[2]Hoja1!$C:$C,[2]Hoja1!$H:$H,"",0,1)</f>
        <v>533.62</v>
      </c>
      <c r="E85" s="11">
        <f>_xlfn.XLOOKUP(A:A,[1]Hoja1!$C:$C,[1]Hoja1!$H:$H,"",0,1)</f>
        <v>401.72</v>
      </c>
      <c r="F85" s="14">
        <f>_xlfn.XLOOKUP(A:A,TD!A:A,TD!EC:EC,"",0,1)</f>
        <v>2.25</v>
      </c>
      <c r="G85" s="15">
        <f t="shared" si="6"/>
        <v>2</v>
      </c>
      <c r="H85" s="16">
        <f t="shared" si="7"/>
        <v>1600.8600000000001</v>
      </c>
      <c r="I85" s="16">
        <f t="shared" si="8"/>
        <v>1205.1600000000001</v>
      </c>
      <c r="J85" s="27">
        <v>28983</v>
      </c>
      <c r="K85" t="str">
        <f>_xlfn.XLOOKUP(J:J,'[3]FILTROS 2'!$A:$A,'[3]FILTROS 2'!$E:$E,"",0,1)</f>
        <v>ESMALTE - BRILLON</v>
      </c>
      <c r="L85" s="30"/>
      <c r="O85">
        <f>_xlfn.XLOOKUP(A:A,[4]TD90D!$A:$A,[4]TD90D!$CW:$CW,"",0,1)</f>
        <v>6</v>
      </c>
      <c r="P85">
        <f>_xlfn.XLOOKUP(A:A,[4]TD90D!$A:$A,[4]TD90D!$CX:$CX,"",0,1)</f>
        <v>2</v>
      </c>
      <c r="Q85">
        <f>_xlfn.XLOOKUP(A:A,[4]TD90D!$A:$A,[4]TD90D!$DA:$DA,"",0,1)</f>
        <v>0</v>
      </c>
      <c r="R85" s="31">
        <f t="shared" si="9"/>
        <v>0.5</v>
      </c>
      <c r="S85">
        <f>_xlfn.XLOOKUP(A:A,'[4]TD90D PZAS'!$A:$A,'[4]TD90D PZAS'!$CW:$CW,"",0,1)</f>
        <v>14</v>
      </c>
      <c r="T85">
        <f>_xlfn.XLOOKUP(A:A,'[4]TD90D PZAS'!$A:$A,'[4]TD90D PZAS'!$CX:$CX,"",0,1)</f>
        <v>2</v>
      </c>
      <c r="U85">
        <f>_xlfn.XLOOKUP(A:A,'[4]TD90D PZAS'!$A:$A,'[4]TD90D PZAS'!$DA:$DA,"",0,1)</f>
        <v>0</v>
      </c>
    </row>
    <row r="86" spans="1:21" x14ac:dyDescent="0.35">
      <c r="A86" t="s">
        <v>178</v>
      </c>
      <c r="B86" t="str">
        <f>_xlfn.XLOOKUP(A:A,[1]Hoja1!$C:$C,[1]Hoja1!$D:$D,"",0,1)</f>
        <v>PLASTE GRIS CLARO</v>
      </c>
      <c r="C86" s="8">
        <v>4</v>
      </c>
      <c r="D86" s="11">
        <f>_xlfn.XLOOKUP(A:A,[2]Hoja1!$C:$C,[2]Hoja1!$H:$H,"",0,1)</f>
        <v>268.97000000000003</v>
      </c>
      <c r="E86" s="11">
        <f>_xlfn.XLOOKUP(A:A,[1]Hoja1!$C:$C,[1]Hoja1!$H:$H,"",0,1)</f>
        <v>200</v>
      </c>
      <c r="F86" s="14">
        <f>_xlfn.XLOOKUP(A:A,TD!A:A,TD!EC:EC,"",0,1)</f>
        <v>-1.5</v>
      </c>
      <c r="G86" s="15">
        <f t="shared" si="6"/>
        <v>-2</v>
      </c>
      <c r="H86" s="16">
        <f t="shared" si="7"/>
        <v>806.91000000000008</v>
      </c>
      <c r="I86" s="16">
        <f t="shared" si="8"/>
        <v>600</v>
      </c>
      <c r="J86" s="27">
        <v>29484</v>
      </c>
      <c r="K86" t="str">
        <f>_xlfn.XLOOKUP(J:J,'[3]FILTROS 2'!$A:$A,'[3]FILTROS 2'!$E:$E,"",0,1)</f>
        <v>PLASTE</v>
      </c>
      <c r="L86" s="30"/>
      <c r="O86">
        <f>_xlfn.XLOOKUP(A:A,[4]TD90D!$A:$A,[4]TD90D!$CW:$CW,"",0,1)</f>
        <v>3</v>
      </c>
      <c r="P86">
        <f>_xlfn.XLOOKUP(A:A,[4]TD90D!$A:$A,[4]TD90D!$CX:$CX,"",0,1)</f>
        <v>1</v>
      </c>
      <c r="Q86">
        <f>_xlfn.XLOOKUP(A:A,[4]TD90D!$A:$A,[4]TD90D!$DA:$DA,"",0,1)</f>
        <v>0</v>
      </c>
      <c r="R86" s="31">
        <f t="shared" si="9"/>
        <v>0.25</v>
      </c>
      <c r="S86">
        <f>_xlfn.XLOOKUP(A:A,'[4]TD90D PZAS'!$A:$A,'[4]TD90D PZAS'!$CW:$CW,"",0,1)</f>
        <v>-2</v>
      </c>
      <c r="T86">
        <f>_xlfn.XLOOKUP(A:A,'[4]TD90D PZAS'!$A:$A,'[4]TD90D PZAS'!$CX:$CX,"",0,1)</f>
        <v>0</v>
      </c>
      <c r="U86">
        <f>_xlfn.XLOOKUP(A:A,'[4]TD90D PZAS'!$A:$A,'[4]TD90D PZAS'!$DA:$DA,"",0,1)</f>
        <v>0</v>
      </c>
    </row>
    <row r="87" spans="1:21" x14ac:dyDescent="0.35">
      <c r="A87" t="s">
        <v>101</v>
      </c>
      <c r="B87" t="str">
        <f>_xlfn.XLOOKUP(A:A,[1]Hoja1!$C:$C,[1]Hoja1!$D:$D,"",0,1)</f>
        <v>PULIMENTO BLANCO 1968</v>
      </c>
      <c r="C87" s="8">
        <v>4</v>
      </c>
      <c r="D87" s="11">
        <f>_xlfn.XLOOKUP(A:A,[2]Hoja1!$C:$C,[2]Hoja1!$H:$H,"",0,1)</f>
        <v>3031.03</v>
      </c>
      <c r="E87" s="11">
        <f>_xlfn.XLOOKUP(A:A,[1]Hoja1!$C:$C,[1]Hoja1!$H:$H,"",0,1)</f>
        <v>2368.1</v>
      </c>
      <c r="F87" s="14">
        <f>_xlfn.XLOOKUP(A:A,TD!A:A,TD!EC:EC,"",0,1)</f>
        <v>1.5</v>
      </c>
      <c r="G87" s="15">
        <f t="shared" si="6"/>
        <v>1</v>
      </c>
      <c r="H87" s="16">
        <f t="shared" si="7"/>
        <v>9093.09</v>
      </c>
      <c r="I87" s="16">
        <f t="shared" si="8"/>
        <v>7104.2999999999993</v>
      </c>
      <c r="J87" s="27">
        <v>29501</v>
      </c>
      <c r="K87" t="str">
        <f>_xlfn.XLOOKUP(J:J,'[3]FILTROS 2'!$A:$A,'[3]FILTROS 2'!$E:$E,"",0,1)</f>
        <v>PULIMENTO</v>
      </c>
      <c r="L87" s="30"/>
      <c r="O87">
        <f>_xlfn.XLOOKUP(A:A,[4]TD90D!$A:$A,[4]TD90D!$CW:$CW,"",0,1)</f>
        <v>2</v>
      </c>
      <c r="P87">
        <f>_xlfn.XLOOKUP(A:A,[4]TD90D!$A:$A,[4]TD90D!$CX:$CX,"",0,1)</f>
        <v>1</v>
      </c>
      <c r="Q87">
        <f>_xlfn.XLOOKUP(A:A,[4]TD90D!$A:$A,[4]TD90D!$DA:$DA,"",0,1)</f>
        <v>0</v>
      </c>
      <c r="R87" s="31">
        <f t="shared" si="9"/>
        <v>0.25</v>
      </c>
      <c r="S87">
        <f>_xlfn.XLOOKUP(A:A,'[4]TD90D PZAS'!$A:$A,'[4]TD90D PZAS'!$CW:$CW,"",0,1)</f>
        <v>3</v>
      </c>
      <c r="T87">
        <f>_xlfn.XLOOKUP(A:A,'[4]TD90D PZAS'!$A:$A,'[4]TD90D PZAS'!$CX:$CX,"",0,1)</f>
        <v>1</v>
      </c>
      <c r="U87">
        <f>_xlfn.XLOOKUP(A:A,'[4]TD90D PZAS'!$A:$A,'[4]TD90D PZAS'!$DA:$DA,"",0,1)</f>
        <v>0</v>
      </c>
    </row>
    <row r="88" spans="1:21" x14ac:dyDescent="0.35">
      <c r="A88" t="s">
        <v>335</v>
      </c>
      <c r="B88" t="str">
        <f>_xlfn.XLOOKUP(A:A,[1]Hoja1!$C:$C,[1]Hoja1!$D:$D,"",0,1)</f>
        <v>BRILLON AZUL AGUA</v>
      </c>
      <c r="C88" s="8">
        <v>3</v>
      </c>
      <c r="D88" s="11">
        <f>_xlfn.XLOOKUP(A:A,[2]Hoja1!$C:$C,[2]Hoja1!$H:$H,"",0,1)</f>
        <v>150.86000000000001</v>
      </c>
      <c r="E88" s="11">
        <f>_xlfn.XLOOKUP(A:A,[1]Hoja1!$C:$C,[1]Hoja1!$H:$H,"",0,1)</f>
        <v>112.93</v>
      </c>
      <c r="F88" s="14">
        <f>_xlfn.XLOOKUP(A:A,TD!A:A,TD!EC:EC,"",0,1)</f>
        <v>3</v>
      </c>
      <c r="G88" s="15">
        <f t="shared" si="6"/>
        <v>3</v>
      </c>
      <c r="H88" s="16">
        <f t="shared" si="7"/>
        <v>452.58000000000004</v>
      </c>
      <c r="I88" s="16">
        <f t="shared" si="8"/>
        <v>338.79</v>
      </c>
      <c r="J88" s="27">
        <v>28644</v>
      </c>
      <c r="K88" t="str">
        <f>_xlfn.XLOOKUP(J:J,'[3]FILTROS 2'!$A:$A,'[3]FILTROS 2'!$E:$E,"",0,1)</f>
        <v>ESMALTE - BRILLON</v>
      </c>
      <c r="L88" s="30"/>
      <c r="O88" t="str">
        <f>_xlfn.XLOOKUP(A:A,[4]TD90D!$A:$A,[4]TD90D!$CW:$CW,"",0,1)</f>
        <v/>
      </c>
      <c r="P88" t="str">
        <f>_xlfn.XLOOKUP(A:A,[4]TD90D!$A:$A,[4]TD90D!$CX:$CX,"",0,1)</f>
        <v/>
      </c>
      <c r="Q88" t="str">
        <f>_xlfn.XLOOKUP(A:A,[4]TD90D!$A:$A,[4]TD90D!$DA:$DA,"",0,1)</f>
        <v/>
      </c>
      <c r="R88" s="31" t="e">
        <f t="shared" si="9"/>
        <v>#VALUE!</v>
      </c>
      <c r="S88" t="str">
        <f>_xlfn.XLOOKUP(A:A,'[4]TD90D PZAS'!$A:$A,'[4]TD90D PZAS'!$CW:$CW,"",0,1)</f>
        <v/>
      </c>
      <c r="T88" t="str">
        <f>_xlfn.XLOOKUP(A:A,'[4]TD90D PZAS'!$A:$A,'[4]TD90D PZAS'!$CX:$CX,"",0,1)</f>
        <v/>
      </c>
      <c r="U88" t="str">
        <f>_xlfn.XLOOKUP(A:A,'[4]TD90D PZAS'!$A:$A,'[4]TD90D PZAS'!$DA:$DA,"",0,1)</f>
        <v/>
      </c>
    </row>
    <row r="89" spans="1:21" x14ac:dyDescent="0.35">
      <c r="A89" t="s">
        <v>201</v>
      </c>
      <c r="B89" t="str">
        <f>_xlfn.XLOOKUP(A:A,[1]Hoja1!$C:$C,[1]Hoja1!$D:$D,"",0,1)</f>
        <v>RESANADOR PINO BA H11</v>
      </c>
      <c r="C89" s="8">
        <v>3</v>
      </c>
      <c r="D89" s="11">
        <f>_xlfn.XLOOKUP(A:A,[2]Hoja1!$C:$C,[2]Hoja1!$H:$H,"",0,1)</f>
        <v>177.59</v>
      </c>
      <c r="E89" s="11">
        <f>_xlfn.XLOOKUP(A:A,[1]Hoja1!$C:$C,[1]Hoja1!$H:$H,"",0,1)</f>
        <v>163.79</v>
      </c>
      <c r="F89" s="14">
        <f>_xlfn.XLOOKUP(A:A,TD!A:A,TD!EC:EC,"",0,1)</f>
        <v>0.66666666666666663</v>
      </c>
      <c r="G89" s="15">
        <f t="shared" si="6"/>
        <v>0</v>
      </c>
      <c r="H89" s="16">
        <f t="shared" si="7"/>
        <v>532.77</v>
      </c>
      <c r="I89" s="16">
        <f t="shared" si="8"/>
        <v>491.37</v>
      </c>
      <c r="J89" s="27" t="s">
        <v>201</v>
      </c>
      <c r="K89" t="str">
        <f>_xlfn.XLOOKUP(J:J,'[3]FILTROS 2'!$A:$A,'[3]FILTROS 2'!$E:$E,"",0,1)</f>
        <v>TAPAPOROS Y RESANES PARA MADER</v>
      </c>
      <c r="L89" s="30"/>
      <c r="O89">
        <f>_xlfn.XLOOKUP(A:A,[4]TD90D!$A:$A,[4]TD90D!$CW:$CW,"",0,1)</f>
        <v>3</v>
      </c>
      <c r="P89">
        <f>_xlfn.XLOOKUP(A:A,[4]TD90D!$A:$A,[4]TD90D!$CX:$CX,"",0,1)</f>
        <v>1</v>
      </c>
      <c r="Q89">
        <f>_xlfn.XLOOKUP(A:A,[4]TD90D!$A:$A,[4]TD90D!$DA:$DA,"",0,1)</f>
        <v>0</v>
      </c>
      <c r="R89" s="31">
        <f t="shared" si="9"/>
        <v>0.33333333333333331</v>
      </c>
      <c r="S89">
        <f>_xlfn.XLOOKUP(A:A,'[4]TD90D PZAS'!$A:$A,'[4]TD90D PZAS'!$CW:$CW,"",0,1)</f>
        <v>2</v>
      </c>
      <c r="T89">
        <f>_xlfn.XLOOKUP(A:A,'[4]TD90D PZAS'!$A:$A,'[4]TD90D PZAS'!$CX:$CX,"",0,1)</f>
        <v>1</v>
      </c>
      <c r="U89">
        <f>_xlfn.XLOOKUP(A:A,'[4]TD90D PZAS'!$A:$A,'[4]TD90D PZAS'!$DA:$DA,"",0,1)</f>
        <v>0</v>
      </c>
    </row>
    <row r="90" spans="1:21" x14ac:dyDescent="0.35">
      <c r="A90" t="s">
        <v>107</v>
      </c>
      <c r="B90" t="str">
        <f>_xlfn.XLOOKUP(A:A,[1]Hoja1!$C:$C,[1]Hoja1!$D:$D,"",0,1)</f>
        <v>BRILLON GRIS</v>
      </c>
      <c r="C90" s="8">
        <v>3</v>
      </c>
      <c r="D90" s="11">
        <f>_xlfn.XLOOKUP(A:A,[2]Hoja1!$C:$C,[2]Hoja1!$H:$H,"",0,1)</f>
        <v>90.52</v>
      </c>
      <c r="E90" s="11">
        <f>_xlfn.XLOOKUP(A:A,[1]Hoja1!$C:$C,[1]Hoja1!$H:$H,"",0,1)</f>
        <v>67.239999999999995</v>
      </c>
      <c r="F90" s="14">
        <f>_xlfn.XLOOKUP(A:A,TD!A:A,TD!EC:EC,"",0,1)</f>
        <v>4</v>
      </c>
      <c r="G90" s="15">
        <f t="shared" si="6"/>
        <v>4</v>
      </c>
      <c r="H90" s="16">
        <f t="shared" si="7"/>
        <v>271.56</v>
      </c>
      <c r="I90" s="16">
        <f t="shared" si="8"/>
        <v>201.71999999999997</v>
      </c>
      <c r="J90" s="27">
        <v>28935</v>
      </c>
      <c r="K90" t="str">
        <f>_xlfn.XLOOKUP(J:J,'[3]FILTROS 2'!$A:$A,'[3]FILTROS 2'!$E:$E,"",0,1)</f>
        <v>ESMALTE - BRILLON</v>
      </c>
      <c r="L90" s="30"/>
      <c r="O90" t="str">
        <f>_xlfn.XLOOKUP(A:A,[4]TD90D!$A:$A,[4]TD90D!$CW:$CW,"",0,1)</f>
        <v/>
      </c>
      <c r="P90" t="str">
        <f>_xlfn.XLOOKUP(A:A,[4]TD90D!$A:$A,[4]TD90D!$CX:$CX,"",0,1)</f>
        <v/>
      </c>
      <c r="Q90" t="str">
        <f>_xlfn.XLOOKUP(A:A,[4]TD90D!$A:$A,[4]TD90D!$DA:$DA,"",0,1)</f>
        <v/>
      </c>
      <c r="R90" s="31" t="e">
        <f t="shared" si="9"/>
        <v>#VALUE!</v>
      </c>
      <c r="S90" t="str">
        <f>_xlfn.XLOOKUP(A:A,'[4]TD90D PZAS'!$A:$A,'[4]TD90D PZAS'!$CW:$CW,"",0,1)</f>
        <v/>
      </c>
      <c r="T90" t="str">
        <f>_xlfn.XLOOKUP(A:A,'[4]TD90D PZAS'!$A:$A,'[4]TD90D PZAS'!$CX:$CX,"",0,1)</f>
        <v/>
      </c>
      <c r="U90" t="str">
        <f>_xlfn.XLOOKUP(A:A,'[4]TD90D PZAS'!$A:$A,'[4]TD90D PZAS'!$DA:$DA,"",0,1)</f>
        <v/>
      </c>
    </row>
    <row r="91" spans="1:21" x14ac:dyDescent="0.35">
      <c r="A91" t="s">
        <v>276</v>
      </c>
      <c r="B91" t="str">
        <f>_xlfn.XLOOKUP(A:A,[1]Hoja1!$C:$C,[1]Hoja1!$D:$D,"",0,1)</f>
        <v>BRILLON AZUL IRIS</v>
      </c>
      <c r="C91" s="8">
        <v>3</v>
      </c>
      <c r="D91" s="11">
        <f>_xlfn.XLOOKUP(A:A,[2]Hoja1!$C:$C,[2]Hoja1!$H:$H,"",0,1)</f>
        <v>150.86000000000001</v>
      </c>
      <c r="E91" s="11">
        <f>_xlfn.XLOOKUP(A:A,[1]Hoja1!$C:$C,[1]Hoja1!$H:$H,"",0,1)</f>
        <v>112.93</v>
      </c>
      <c r="F91" s="14">
        <f>_xlfn.XLOOKUP(A:A,TD!A:A,TD!EC:EC,"",0,1)</f>
        <v>1</v>
      </c>
      <c r="G91" s="15">
        <f t="shared" si="6"/>
        <v>1</v>
      </c>
      <c r="H91" s="16">
        <f t="shared" si="7"/>
        <v>452.58000000000004</v>
      </c>
      <c r="I91" s="16">
        <f t="shared" si="8"/>
        <v>338.79</v>
      </c>
      <c r="J91" s="27">
        <v>28654</v>
      </c>
      <c r="K91" t="str">
        <f>_xlfn.XLOOKUP(J:J,'[3]FILTROS 2'!$A:$A,'[3]FILTROS 2'!$E:$E,"",0,1)</f>
        <v>ESMALTE - BRILLON</v>
      </c>
      <c r="L91" s="30"/>
      <c r="O91">
        <f>_xlfn.XLOOKUP(A:A,[4]TD90D!$A:$A,[4]TD90D!$CW:$CW,"",0,1)</f>
        <v>2</v>
      </c>
      <c r="P91">
        <f>_xlfn.XLOOKUP(A:A,[4]TD90D!$A:$A,[4]TD90D!$CX:$CX,"",0,1)</f>
        <v>1</v>
      </c>
      <c r="Q91">
        <f>_xlfn.XLOOKUP(A:A,[4]TD90D!$A:$A,[4]TD90D!$DA:$DA,"",0,1)</f>
        <v>0</v>
      </c>
      <c r="R91" s="31">
        <f t="shared" si="9"/>
        <v>0.33333333333333331</v>
      </c>
      <c r="S91">
        <f>_xlfn.XLOOKUP(A:A,'[4]TD90D PZAS'!$A:$A,'[4]TD90D PZAS'!$CW:$CW,"",0,1)</f>
        <v>0</v>
      </c>
      <c r="T91">
        <f>_xlfn.XLOOKUP(A:A,'[4]TD90D PZAS'!$A:$A,'[4]TD90D PZAS'!$CX:$CX,"",0,1)</f>
        <v>0</v>
      </c>
      <c r="U91">
        <f>_xlfn.XLOOKUP(A:A,'[4]TD90D PZAS'!$A:$A,'[4]TD90D PZAS'!$DA:$DA,"",0,1)</f>
        <v>0</v>
      </c>
    </row>
    <row r="92" spans="1:21" x14ac:dyDescent="0.35">
      <c r="A92" t="s">
        <v>199</v>
      </c>
      <c r="B92" t="str">
        <f>_xlfn.XLOOKUP(A:A,[1]Hoja1!$C:$C,[1]Hoja1!$D:$D,"",0,1)</f>
        <v>ESM. ACRILICO BLANCO 501</v>
      </c>
      <c r="C92" s="8">
        <v>3</v>
      </c>
      <c r="D92" s="11">
        <f>_xlfn.XLOOKUP(A:A,[2]Hoja1!$C:$C,[2]Hoja1!$H:$H,"",0,1)</f>
        <v>1149.1400000000001</v>
      </c>
      <c r="E92" s="11">
        <f>_xlfn.XLOOKUP(A:A,[1]Hoja1!$C:$C,[1]Hoja1!$H:$H,"",0,1)</f>
        <v>821.55</v>
      </c>
      <c r="F92" s="14">
        <f>_xlfn.XLOOKUP(A:A,TD!A:A,TD!EC:EC,"",0,1)</f>
        <v>0.33333333333333331</v>
      </c>
      <c r="G92" s="15">
        <f t="shared" si="6"/>
        <v>0</v>
      </c>
      <c r="H92" s="16">
        <f t="shared" si="7"/>
        <v>3447.42</v>
      </c>
      <c r="I92" s="16">
        <f t="shared" si="8"/>
        <v>2464.6499999999996</v>
      </c>
      <c r="J92" s="27">
        <v>25003</v>
      </c>
      <c r="K92" t="str">
        <f>_xlfn.XLOOKUP(J:J,'[3]FILTROS 2'!$A:$A,'[3]FILTROS 2'!$E:$E,"",0,1)</f>
        <v>ESMALTE ACRILICO</v>
      </c>
      <c r="L92" s="30"/>
      <c r="O92">
        <f>_xlfn.XLOOKUP(A:A,[4]TD90D!$A:$A,[4]TD90D!$CW:$CW,"",0,1)</f>
        <v>3</v>
      </c>
      <c r="P92">
        <f>_xlfn.XLOOKUP(A:A,[4]TD90D!$A:$A,[4]TD90D!$CX:$CX,"",0,1)</f>
        <v>1</v>
      </c>
      <c r="Q92">
        <f>_xlfn.XLOOKUP(A:A,[4]TD90D!$A:$A,[4]TD90D!$DA:$DA,"",0,1)</f>
        <v>0</v>
      </c>
      <c r="R92" s="31">
        <f t="shared" si="9"/>
        <v>0.33333333333333331</v>
      </c>
      <c r="S92">
        <f>_xlfn.XLOOKUP(A:A,'[4]TD90D PZAS'!$A:$A,'[4]TD90D PZAS'!$CW:$CW,"",0,1)</f>
        <v>1</v>
      </c>
      <c r="T92">
        <f>_xlfn.XLOOKUP(A:A,'[4]TD90D PZAS'!$A:$A,'[4]TD90D PZAS'!$CX:$CX,"",0,1)</f>
        <v>1</v>
      </c>
      <c r="U92">
        <f>_xlfn.XLOOKUP(A:A,'[4]TD90D PZAS'!$A:$A,'[4]TD90D PZAS'!$DA:$DA,"",0,1)</f>
        <v>0</v>
      </c>
    </row>
    <row r="93" spans="1:21" x14ac:dyDescent="0.35">
      <c r="A93" t="s">
        <v>170</v>
      </c>
      <c r="B93" t="str">
        <f>_xlfn.XLOOKUP(A:A,[1]Hoja1!$C:$C,[1]Hoja1!$D:$D,"",0,1)</f>
        <v>VINILICA GLOSI MARFIL 3A</v>
      </c>
      <c r="C93" s="8">
        <v>3</v>
      </c>
      <c r="D93" s="11">
        <f>_xlfn.XLOOKUP(A:A,[2]Hoja1!$C:$C,[2]Hoja1!$H:$H,"",0,1)</f>
        <v>874.14</v>
      </c>
      <c r="E93" s="11">
        <f>_xlfn.XLOOKUP(A:A,[1]Hoja1!$C:$C,[1]Hoja1!$H:$H,"",0,1)</f>
        <v>656.9</v>
      </c>
      <c r="F93" s="14">
        <f>_xlfn.XLOOKUP(A:A,TD!A:A,TD!EC:EC,"",0,1)</f>
        <v>0.66666666666666663</v>
      </c>
      <c r="G93" s="15">
        <f t="shared" si="6"/>
        <v>0</v>
      </c>
      <c r="H93" s="16">
        <f t="shared" si="7"/>
        <v>2622.42</v>
      </c>
      <c r="I93" s="16">
        <f t="shared" si="8"/>
        <v>1970.6999999999998</v>
      </c>
      <c r="J93" s="27" t="s">
        <v>170</v>
      </c>
      <c r="K93" t="str">
        <f>_xlfn.XLOOKUP(J:J,'[3]FILTROS 2'!$A:$A,'[3]FILTROS 2'!$E:$E,"",0,1)</f>
        <v>VINILICA - GLOSI 3 AÑOS</v>
      </c>
      <c r="L93" s="30"/>
      <c r="O93">
        <f>_xlfn.XLOOKUP(A:A,[4]TD90D!$A:$A,[4]TD90D!$CW:$CW,"",0,1)</f>
        <v>2</v>
      </c>
      <c r="P93">
        <f>_xlfn.XLOOKUP(A:A,[4]TD90D!$A:$A,[4]TD90D!$CX:$CX,"",0,1)</f>
        <v>1</v>
      </c>
      <c r="Q93">
        <f>_xlfn.XLOOKUP(A:A,[4]TD90D!$A:$A,[4]TD90D!$DA:$DA,"",0,1)</f>
        <v>0</v>
      </c>
      <c r="R93" s="31">
        <f t="shared" si="9"/>
        <v>0.33333333333333331</v>
      </c>
      <c r="S93">
        <f>_xlfn.XLOOKUP(A:A,'[4]TD90D PZAS'!$A:$A,'[4]TD90D PZAS'!$CW:$CW,"",0,1)</f>
        <v>0</v>
      </c>
      <c r="T93">
        <f>_xlfn.XLOOKUP(A:A,'[4]TD90D PZAS'!$A:$A,'[4]TD90D PZAS'!$CX:$CX,"",0,1)</f>
        <v>0</v>
      </c>
      <c r="U93">
        <f>_xlfn.XLOOKUP(A:A,'[4]TD90D PZAS'!$A:$A,'[4]TD90D PZAS'!$DA:$DA,"",0,1)</f>
        <v>0</v>
      </c>
    </row>
    <row r="94" spans="1:21" x14ac:dyDescent="0.35">
      <c r="A94" t="s">
        <v>390</v>
      </c>
      <c r="B94" t="str">
        <f>_xlfn.XLOOKUP(A:A,[1]Hoja1!$C:$C,[1]Hoja1!$D:$D,"",0,1)</f>
        <v>BRILLON NEGRO MATE</v>
      </c>
      <c r="C94" s="8">
        <v>3</v>
      </c>
      <c r="D94" s="11">
        <f>_xlfn.XLOOKUP(A:A,[2]Hoja1!$C:$C,[2]Hoja1!$H:$H,"",0,1)</f>
        <v>58.62</v>
      </c>
      <c r="E94" s="11">
        <f>_xlfn.XLOOKUP(A:A,[1]Hoja1!$C:$C,[1]Hoja1!$H:$H,"",0,1)</f>
        <v>43.97</v>
      </c>
      <c r="F94" s="14">
        <f>_xlfn.XLOOKUP(A:A,TD!A:A,TD!EC:EC,"",0,1)</f>
        <v>5.333333333333333</v>
      </c>
      <c r="G94" s="15">
        <f t="shared" si="6"/>
        <v>5</v>
      </c>
      <c r="H94" s="16">
        <f t="shared" si="7"/>
        <v>175.85999999999999</v>
      </c>
      <c r="I94" s="16">
        <f t="shared" si="8"/>
        <v>131.91</v>
      </c>
      <c r="J94" s="27">
        <v>28966</v>
      </c>
      <c r="K94" t="str">
        <f>_xlfn.XLOOKUP(J:J,'[3]FILTROS 2'!$A:$A,'[3]FILTROS 2'!$E:$E,"",0,1)</f>
        <v>ESMALTE - BRILLON</v>
      </c>
      <c r="L94" s="30"/>
      <c r="O94">
        <f>_xlfn.XLOOKUP(A:A,[4]TD90D!$A:$A,[4]TD90D!$CW:$CW,"",0,1)</f>
        <v>4</v>
      </c>
      <c r="P94">
        <f>_xlfn.XLOOKUP(A:A,[4]TD90D!$A:$A,[4]TD90D!$CX:$CX,"",0,1)</f>
        <v>2</v>
      </c>
      <c r="Q94">
        <f>_xlfn.XLOOKUP(A:A,[4]TD90D!$A:$A,[4]TD90D!$DA:$DA,"",0,1)</f>
        <v>0</v>
      </c>
      <c r="R94" s="31">
        <f t="shared" si="9"/>
        <v>0.66666666666666663</v>
      </c>
      <c r="S94">
        <f>_xlfn.XLOOKUP(A:A,'[4]TD90D PZAS'!$A:$A,'[4]TD90D PZAS'!$CW:$CW,"",0,1)</f>
        <v>16</v>
      </c>
      <c r="T94">
        <f>_xlfn.XLOOKUP(A:A,'[4]TD90D PZAS'!$A:$A,'[4]TD90D PZAS'!$CX:$CX,"",0,1)</f>
        <v>2</v>
      </c>
      <c r="U94">
        <f>_xlfn.XLOOKUP(A:A,'[4]TD90D PZAS'!$A:$A,'[4]TD90D PZAS'!$DA:$DA,"",0,1)</f>
        <v>0</v>
      </c>
    </row>
    <row r="95" spans="1:21" x14ac:dyDescent="0.35">
      <c r="A95" t="s">
        <v>198</v>
      </c>
      <c r="B95" t="str">
        <f>_xlfn.XLOOKUP(A:A,[1]Hoja1!$C:$C,[1]Hoja1!$D:$D,"",0,1)</f>
        <v>VINILICA GLOSI MARFIL 5A</v>
      </c>
      <c r="C95" s="8">
        <v>3</v>
      </c>
      <c r="D95" s="11">
        <f>_xlfn.XLOOKUP(A:A,[2]Hoja1!$C:$C,[2]Hoja1!$H:$H,"",0,1)</f>
        <v>107.76</v>
      </c>
      <c r="E95" s="11">
        <f>_xlfn.XLOOKUP(A:A,[1]Hoja1!$C:$C,[1]Hoja1!$H:$H,"",0,1)</f>
        <v>78.45</v>
      </c>
      <c r="F95" s="14">
        <f>_xlfn.XLOOKUP(A:A,TD!A:A,TD!EC:EC,"",0,1)</f>
        <v>3.3333333333333335</v>
      </c>
      <c r="G95" s="15">
        <f t="shared" si="6"/>
        <v>3</v>
      </c>
      <c r="H95" s="16">
        <f t="shared" si="7"/>
        <v>323.28000000000003</v>
      </c>
      <c r="I95" s="16">
        <f t="shared" si="8"/>
        <v>235.35000000000002</v>
      </c>
      <c r="J95" s="27" t="s">
        <v>198</v>
      </c>
      <c r="K95" t="str">
        <f>_xlfn.XLOOKUP(J:J,'[3]FILTROS 2'!$A:$A,'[3]FILTROS 2'!$E:$E,"",0,1)</f>
        <v>VINILICA - GLOSI 5 AÑOS</v>
      </c>
      <c r="L95" s="30"/>
      <c r="O95" t="str">
        <f>_xlfn.XLOOKUP(A:A,[4]TD90D!$A:$A,[4]TD90D!$CW:$CW,"",0,1)</f>
        <v/>
      </c>
      <c r="P95" t="str">
        <f>_xlfn.XLOOKUP(A:A,[4]TD90D!$A:$A,[4]TD90D!$CX:$CX,"",0,1)</f>
        <v/>
      </c>
      <c r="Q95" t="str">
        <f>_xlfn.XLOOKUP(A:A,[4]TD90D!$A:$A,[4]TD90D!$DA:$DA,"",0,1)</f>
        <v/>
      </c>
      <c r="R95" s="31" t="e">
        <f t="shared" si="9"/>
        <v>#VALUE!</v>
      </c>
      <c r="S95" t="str">
        <f>_xlfn.XLOOKUP(A:A,'[4]TD90D PZAS'!$A:$A,'[4]TD90D PZAS'!$CW:$CW,"",0,1)</f>
        <v/>
      </c>
      <c r="T95" t="str">
        <f>_xlfn.XLOOKUP(A:A,'[4]TD90D PZAS'!$A:$A,'[4]TD90D PZAS'!$CX:$CX,"",0,1)</f>
        <v/>
      </c>
      <c r="U95" t="str">
        <f>_xlfn.XLOOKUP(A:A,'[4]TD90D PZAS'!$A:$A,'[4]TD90D PZAS'!$DA:$DA,"",0,1)</f>
        <v/>
      </c>
    </row>
    <row r="96" spans="1:21" x14ac:dyDescent="0.35">
      <c r="A96" t="s">
        <v>238</v>
      </c>
      <c r="B96" t="str">
        <f>_xlfn.XLOOKUP(A:A,[1]Hoja1!$C:$C,[1]Hoja1!$D:$D,"",0,1)</f>
        <v>AEROSOL ACRILICO TRANSPARENTE</v>
      </c>
      <c r="C96" s="8">
        <v>3</v>
      </c>
      <c r="D96" s="11">
        <f>_xlfn.XLOOKUP(A:A,[2]Hoja1!$C:$C,[2]Hoja1!$H:$H,"",0,1)</f>
        <v>71.55</v>
      </c>
      <c r="E96" s="11">
        <f>_xlfn.XLOOKUP(A:A,[1]Hoja1!$C:$C,[1]Hoja1!$H:$H,"",0,1)</f>
        <v>53.45</v>
      </c>
      <c r="F96" s="14">
        <f>_xlfn.XLOOKUP(A:A,TD!A:A,TD!EC:EC,"",0,1)</f>
        <v>6</v>
      </c>
      <c r="G96" s="15">
        <f t="shared" si="6"/>
        <v>6</v>
      </c>
      <c r="H96" s="16">
        <f t="shared" si="7"/>
        <v>214.64999999999998</v>
      </c>
      <c r="I96" s="16">
        <f t="shared" si="8"/>
        <v>160.35000000000002</v>
      </c>
      <c r="J96" s="27">
        <v>2380</v>
      </c>
      <c r="K96" t="str">
        <f>_xlfn.XLOOKUP(J:J,'[3]FILTROS 2'!$A:$A,'[3]FILTROS 2'!$E:$E,"",0,1)</f>
        <v>AEROSOLES PRISA</v>
      </c>
      <c r="L96" s="30"/>
      <c r="O96">
        <f>_xlfn.XLOOKUP(A:A,[4]TD90D!$A:$A,[4]TD90D!$CW:$CW,"",0,1)</f>
        <v>2</v>
      </c>
      <c r="P96">
        <f>_xlfn.XLOOKUP(A:A,[4]TD90D!$A:$A,[4]TD90D!$CX:$CX,"",0,1)</f>
        <v>1</v>
      </c>
      <c r="Q96">
        <f>_xlfn.XLOOKUP(A:A,[4]TD90D!$A:$A,[4]TD90D!$DA:$DA,"",0,1)</f>
        <v>0</v>
      </c>
      <c r="R96" s="31">
        <f t="shared" si="9"/>
        <v>0.33333333333333331</v>
      </c>
      <c r="S96">
        <f>_xlfn.XLOOKUP(A:A,'[4]TD90D PZAS'!$A:$A,'[4]TD90D PZAS'!$CW:$CW,"",0,1)</f>
        <v>12</v>
      </c>
      <c r="T96">
        <f>_xlfn.XLOOKUP(A:A,'[4]TD90D PZAS'!$A:$A,'[4]TD90D PZAS'!$CX:$CX,"",0,1)</f>
        <v>1</v>
      </c>
      <c r="U96">
        <f>_xlfn.XLOOKUP(A:A,'[4]TD90D PZAS'!$A:$A,'[4]TD90D PZAS'!$DA:$DA,"",0,1)</f>
        <v>0</v>
      </c>
    </row>
    <row r="97" spans="1:21" x14ac:dyDescent="0.35">
      <c r="A97" t="s">
        <v>120</v>
      </c>
      <c r="B97" t="str">
        <f>_xlfn.XLOOKUP(A:A,[1]Hoja1!$C:$C,[1]Hoja1!$D:$D,"",0,1)</f>
        <v>PEGAMENTO / SELLADOR</v>
      </c>
      <c r="C97" s="8">
        <v>3</v>
      </c>
      <c r="D97" s="11">
        <f>_xlfn.XLOOKUP(A:A,[2]Hoja1!$C:$C,[2]Hoja1!$H:$H,"",0,1)</f>
        <v>250.86</v>
      </c>
      <c r="E97" s="11">
        <f>_xlfn.XLOOKUP(A:A,[1]Hoja1!$C:$C,[1]Hoja1!$H:$H,"",0,1)</f>
        <v>197.41</v>
      </c>
      <c r="F97" s="14">
        <f>_xlfn.XLOOKUP(A:A,TD!A:A,TD!EC:EC,"",0,1)</f>
        <v>4</v>
      </c>
      <c r="G97" s="15">
        <f t="shared" si="6"/>
        <v>4</v>
      </c>
      <c r="H97" s="16">
        <f t="shared" si="7"/>
        <v>752.58</v>
      </c>
      <c r="I97" s="16">
        <f t="shared" si="8"/>
        <v>592.23</v>
      </c>
      <c r="J97" s="27">
        <v>36093</v>
      </c>
      <c r="K97" t="str">
        <f>_xlfn.XLOOKUP(J:J,'[3]FILTROS 2'!$A:$A,'[3]FILTROS 2'!$E:$E,"",0,1)</f>
        <v>SELLADOR - VINILICO GLOSI</v>
      </c>
      <c r="L97" s="30"/>
      <c r="O97">
        <f>_xlfn.XLOOKUP(A:A,[4]TD90D!$A:$A,[4]TD90D!$CW:$CW,"",0,1)</f>
        <v>2</v>
      </c>
      <c r="P97">
        <f>_xlfn.XLOOKUP(A:A,[4]TD90D!$A:$A,[4]TD90D!$CX:$CX,"",0,1)</f>
        <v>1</v>
      </c>
      <c r="Q97">
        <f>_xlfn.XLOOKUP(A:A,[4]TD90D!$A:$A,[4]TD90D!$DA:$DA,"",0,1)</f>
        <v>0</v>
      </c>
      <c r="R97" s="31">
        <f t="shared" si="9"/>
        <v>0.33333333333333331</v>
      </c>
      <c r="S97">
        <f>_xlfn.XLOOKUP(A:A,'[4]TD90D PZAS'!$A:$A,'[4]TD90D PZAS'!$CW:$CW,"",0,1)</f>
        <v>14</v>
      </c>
      <c r="T97">
        <f>_xlfn.XLOOKUP(A:A,'[4]TD90D PZAS'!$A:$A,'[4]TD90D PZAS'!$CX:$CX,"",0,1)</f>
        <v>1</v>
      </c>
      <c r="U97">
        <f>_xlfn.XLOOKUP(A:A,'[4]TD90D PZAS'!$A:$A,'[4]TD90D PZAS'!$DA:$DA,"",0,1)</f>
        <v>0</v>
      </c>
    </row>
    <row r="98" spans="1:21" x14ac:dyDescent="0.35">
      <c r="A98" t="s">
        <v>327</v>
      </c>
      <c r="B98" t="str">
        <f>_xlfn.XLOOKUP(A:A,[1]Hoja1!$C:$C,[1]Hoja1!$D:$D,"",0,1)</f>
        <v/>
      </c>
      <c r="C98" s="8">
        <v>3</v>
      </c>
      <c r="D98" s="11">
        <f>_xlfn.XLOOKUP(A:A,[2]Hoja1!$C:$C,[2]Hoja1!$H:$H,"",0,1)</f>
        <v>29999.14</v>
      </c>
      <c r="E98" s="11" t="str">
        <f>_xlfn.XLOOKUP(A:A,[1]Hoja1!$C:$C,[1]Hoja1!$H:$H,"",0,1)</f>
        <v/>
      </c>
      <c r="F98" s="14">
        <f>_xlfn.XLOOKUP(A:A,TD!A:A,TD!EC:EC,"",0,1)</f>
        <v>-1</v>
      </c>
      <c r="G98" s="15">
        <f t="shared" si="6"/>
        <v>-1</v>
      </c>
      <c r="H98" s="16">
        <f t="shared" si="7"/>
        <v>89997.42</v>
      </c>
      <c r="I98" s="16" t="e">
        <f t="shared" si="8"/>
        <v>#VALUE!</v>
      </c>
      <c r="J98" s="27" t="s">
        <v>327</v>
      </c>
      <c r="K98" t="str">
        <f>_xlfn.XLOOKUP(J:J,'[3]FILTROS 2'!$A:$A,'[3]FILTROS 2'!$E:$E,"",0,1)</f>
        <v/>
      </c>
      <c r="L98" s="30"/>
      <c r="O98">
        <f>_xlfn.XLOOKUP(A:A,[4]TD90D!$A:$A,[4]TD90D!$CW:$CW,"",0,1)</f>
        <v>5</v>
      </c>
      <c r="P98">
        <f>_xlfn.XLOOKUP(A:A,[4]TD90D!$A:$A,[4]TD90D!$CX:$CX,"",0,1)</f>
        <v>2</v>
      </c>
      <c r="Q98">
        <f>_xlfn.XLOOKUP(A:A,[4]TD90D!$A:$A,[4]TD90D!$DA:$DA,"",0,1)</f>
        <v>0</v>
      </c>
      <c r="R98" s="31">
        <f t="shared" si="9"/>
        <v>0.66666666666666663</v>
      </c>
      <c r="S98">
        <f>_xlfn.XLOOKUP(A:A,'[4]TD90D PZAS'!$A:$A,'[4]TD90D PZAS'!$CW:$CW,"",0,1)</f>
        <v>-5</v>
      </c>
      <c r="T98">
        <f>_xlfn.XLOOKUP(A:A,'[4]TD90D PZAS'!$A:$A,'[4]TD90D PZAS'!$CX:$CX,"",0,1)</f>
        <v>0</v>
      </c>
      <c r="U98">
        <f>_xlfn.XLOOKUP(A:A,'[4]TD90D PZAS'!$A:$A,'[4]TD90D PZAS'!$DA:$DA,"",0,1)</f>
        <v>0</v>
      </c>
    </row>
    <row r="99" spans="1:21" x14ac:dyDescent="0.35">
      <c r="A99" t="s">
        <v>261</v>
      </c>
      <c r="B99" t="str">
        <f>_xlfn.XLOOKUP(A:A,[1]Hoja1!$C:$C,[1]Hoja1!$D:$D,"",0,1)</f>
        <v>MEMBRANA DE REFUERZO P/IMPER 17/105 20 G</v>
      </c>
      <c r="C99" s="8">
        <v>3</v>
      </c>
      <c r="D99" s="11">
        <f>_xlfn.XLOOKUP(A:A,[2]Hoja1!$C:$C,[2]Hoja1!$H:$H,"",0,1)</f>
        <v>452.59</v>
      </c>
      <c r="E99" s="11">
        <f>_xlfn.XLOOKUP(A:A,[1]Hoja1!$C:$C,[1]Hoja1!$H:$H,"",0,1)</f>
        <v>339.66</v>
      </c>
      <c r="F99" s="14">
        <f>_xlfn.XLOOKUP(A:A,TD!A:A,TD!EC:EC,"",0,1)</f>
        <v>1</v>
      </c>
      <c r="G99" s="15">
        <f t="shared" si="6"/>
        <v>1</v>
      </c>
      <c r="H99" s="16">
        <f t="shared" si="7"/>
        <v>1357.77</v>
      </c>
      <c r="I99" s="16">
        <f t="shared" si="8"/>
        <v>1018.98</v>
      </c>
      <c r="J99" s="27">
        <v>61200</v>
      </c>
      <c r="K99" t="str">
        <f>_xlfn.XLOOKUP(J:J,'[3]FILTROS 2'!$A:$A,'[3]FILTROS 2'!$E:$E,"",0,1)</f>
        <v>HERRAMIENTAS EN GENERAL</v>
      </c>
      <c r="L99" s="30"/>
      <c r="O99">
        <f>_xlfn.XLOOKUP(A:A,[4]TD90D!$A:$A,[4]TD90D!$CW:$CW,"",0,1)</f>
        <v>4</v>
      </c>
      <c r="P99">
        <f>_xlfn.XLOOKUP(A:A,[4]TD90D!$A:$A,[4]TD90D!$CX:$CX,"",0,1)</f>
        <v>2</v>
      </c>
      <c r="Q99">
        <f>_xlfn.XLOOKUP(A:A,[4]TD90D!$A:$A,[4]TD90D!$DA:$DA,"",0,1)</f>
        <v>0</v>
      </c>
      <c r="R99" s="31">
        <f t="shared" si="9"/>
        <v>0.66666666666666663</v>
      </c>
      <c r="S99">
        <f>_xlfn.XLOOKUP(A:A,'[4]TD90D PZAS'!$A:$A,'[4]TD90D PZAS'!$CW:$CW,"",0,1)</f>
        <v>4</v>
      </c>
      <c r="T99">
        <f>_xlfn.XLOOKUP(A:A,'[4]TD90D PZAS'!$A:$A,'[4]TD90D PZAS'!$CX:$CX,"",0,1)</f>
        <v>2</v>
      </c>
      <c r="U99">
        <f>_xlfn.XLOOKUP(A:A,'[4]TD90D PZAS'!$A:$A,'[4]TD90D PZAS'!$DA:$DA,"",0,1)</f>
        <v>0</v>
      </c>
    </row>
    <row r="100" spans="1:21" x14ac:dyDescent="0.35">
      <c r="A100" t="s">
        <v>279</v>
      </c>
      <c r="B100" t="str">
        <f>_xlfn.XLOOKUP(A:A,[1]Hoja1!$C:$C,[1]Hoja1!$D:$D,"",0,1)</f>
        <v>BRILLON GRIS</v>
      </c>
      <c r="C100" s="8">
        <v>3</v>
      </c>
      <c r="D100" s="11">
        <f>_xlfn.XLOOKUP(A:A,[2]Hoja1!$C:$C,[2]Hoja1!$H:$H,"",0,1)</f>
        <v>58.62</v>
      </c>
      <c r="E100" s="11">
        <f>_xlfn.XLOOKUP(A:A,[1]Hoja1!$C:$C,[1]Hoja1!$H:$H,"",0,1)</f>
        <v>43.97</v>
      </c>
      <c r="F100" s="14">
        <f>_xlfn.XLOOKUP(A:A,TD!A:A,TD!EC:EC,"",0,1)</f>
        <v>8</v>
      </c>
      <c r="G100" s="15">
        <f t="shared" si="6"/>
        <v>8</v>
      </c>
      <c r="H100" s="16">
        <f t="shared" si="7"/>
        <v>175.85999999999999</v>
      </c>
      <c r="I100" s="16">
        <f t="shared" si="8"/>
        <v>131.91</v>
      </c>
      <c r="J100" s="27">
        <v>28936</v>
      </c>
      <c r="K100" t="str">
        <f>_xlfn.XLOOKUP(J:J,'[3]FILTROS 2'!$A:$A,'[3]FILTROS 2'!$E:$E,"",0,1)</f>
        <v>ESMALTE - BRILLON</v>
      </c>
      <c r="L100" s="30"/>
      <c r="O100" t="str">
        <f>_xlfn.XLOOKUP(A:A,[4]TD90D!$A:$A,[4]TD90D!$CW:$CW,"",0,1)</f>
        <v/>
      </c>
      <c r="P100" t="str">
        <f>_xlfn.XLOOKUP(A:A,[4]TD90D!$A:$A,[4]TD90D!$CX:$CX,"",0,1)</f>
        <v/>
      </c>
      <c r="Q100" t="str">
        <f>_xlfn.XLOOKUP(A:A,[4]TD90D!$A:$A,[4]TD90D!$DA:$DA,"",0,1)</f>
        <v/>
      </c>
      <c r="R100" s="31" t="e">
        <f t="shared" si="9"/>
        <v>#VALUE!</v>
      </c>
      <c r="S100" t="str">
        <f>_xlfn.XLOOKUP(A:A,'[4]TD90D PZAS'!$A:$A,'[4]TD90D PZAS'!$CW:$CW,"",0,1)</f>
        <v/>
      </c>
      <c r="T100" t="str">
        <f>_xlfn.XLOOKUP(A:A,'[4]TD90D PZAS'!$A:$A,'[4]TD90D PZAS'!$CX:$CX,"",0,1)</f>
        <v/>
      </c>
      <c r="U100" t="str">
        <f>_xlfn.XLOOKUP(A:A,'[4]TD90D PZAS'!$A:$A,'[4]TD90D PZAS'!$DA:$DA,"",0,1)</f>
        <v/>
      </c>
    </row>
    <row r="101" spans="1:21" x14ac:dyDescent="0.35">
      <c r="A101" t="s">
        <v>168</v>
      </c>
      <c r="B101" t="str">
        <f>_xlfn.XLOOKUP(A:A,[1]Hoja1!$C:$C,[1]Hoja1!$D:$D,"",0,1)</f>
        <v>BRILLON VERDE SELVA</v>
      </c>
      <c r="C101" s="8">
        <v>3</v>
      </c>
      <c r="D101" s="11">
        <f>_xlfn.XLOOKUP(A:A,[2]Hoja1!$C:$C,[2]Hoja1!$H:$H,"",0,1)</f>
        <v>150.86000000000001</v>
      </c>
      <c r="E101" s="11">
        <f>_xlfn.XLOOKUP(A:A,[1]Hoja1!$C:$C,[1]Hoja1!$H:$H,"",0,1)</f>
        <v>112.93</v>
      </c>
      <c r="F101" s="14">
        <f>_xlfn.XLOOKUP(A:A,TD!A:A,TD!EC:EC,"",0,1)</f>
        <v>6</v>
      </c>
      <c r="G101" s="15">
        <f t="shared" si="6"/>
        <v>6</v>
      </c>
      <c r="H101" s="16">
        <f t="shared" si="7"/>
        <v>452.58000000000004</v>
      </c>
      <c r="I101" s="16">
        <f t="shared" si="8"/>
        <v>338.79</v>
      </c>
      <c r="J101" s="27">
        <v>28774</v>
      </c>
      <c r="K101" t="str">
        <f>_xlfn.XLOOKUP(J:J,'[3]FILTROS 2'!$A:$A,'[3]FILTROS 2'!$E:$E,"",0,1)</f>
        <v>ESMALTE - BRILLON</v>
      </c>
      <c r="L101" s="30"/>
      <c r="O101">
        <f>_xlfn.XLOOKUP(A:A,[4]TD90D!$A:$A,[4]TD90D!$CW:$CW,"",0,1)</f>
        <v>4</v>
      </c>
      <c r="P101">
        <f>_xlfn.XLOOKUP(A:A,[4]TD90D!$A:$A,[4]TD90D!$CX:$CX,"",0,1)</f>
        <v>2</v>
      </c>
      <c r="Q101">
        <f>_xlfn.XLOOKUP(A:A,[4]TD90D!$A:$A,[4]TD90D!$DA:$DA,"",0,1)</f>
        <v>0</v>
      </c>
      <c r="R101" s="31">
        <f t="shared" si="9"/>
        <v>0.66666666666666663</v>
      </c>
      <c r="S101">
        <f>_xlfn.XLOOKUP(A:A,'[4]TD90D PZAS'!$A:$A,'[4]TD90D PZAS'!$CW:$CW,"",0,1)</f>
        <v>24</v>
      </c>
      <c r="T101">
        <f>_xlfn.XLOOKUP(A:A,'[4]TD90D PZAS'!$A:$A,'[4]TD90D PZAS'!$CX:$CX,"",0,1)</f>
        <v>2</v>
      </c>
      <c r="U101">
        <f>_xlfn.XLOOKUP(A:A,'[4]TD90D PZAS'!$A:$A,'[4]TD90D PZAS'!$DA:$DA,"",0,1)</f>
        <v>0</v>
      </c>
    </row>
    <row r="102" spans="1:21" x14ac:dyDescent="0.35">
      <c r="A102" t="s">
        <v>256</v>
      </c>
      <c r="B102" t="str">
        <f>_xlfn.XLOOKUP(A:A,[1]Hoja1!$C:$C,[1]Hoja1!$D:$D,"",0,1)</f>
        <v>BRILLON BLANCO MATE</v>
      </c>
      <c r="C102" s="8">
        <v>3</v>
      </c>
      <c r="D102" s="11">
        <f>_xlfn.XLOOKUP(A:A,[2]Hoja1!$C:$C,[2]Hoja1!$H:$H,"",0,1)</f>
        <v>90.52</v>
      </c>
      <c r="E102" s="11">
        <f>_xlfn.XLOOKUP(A:A,[1]Hoja1!$C:$C,[1]Hoja1!$H:$H,"",0,1)</f>
        <v>67.239999999999995</v>
      </c>
      <c r="F102" s="14">
        <f>_xlfn.XLOOKUP(A:A,TD!A:A,TD!EC:EC,"",0,1)</f>
        <v>4.333333333333333</v>
      </c>
      <c r="G102" s="15">
        <f t="shared" si="6"/>
        <v>4</v>
      </c>
      <c r="H102" s="16">
        <f t="shared" si="7"/>
        <v>271.56</v>
      </c>
      <c r="I102" s="16">
        <f t="shared" si="8"/>
        <v>201.71999999999997</v>
      </c>
      <c r="J102" s="27">
        <v>28015</v>
      </c>
      <c r="K102" t="str">
        <f>_xlfn.XLOOKUP(J:J,'[3]FILTROS 2'!$A:$A,'[3]FILTROS 2'!$E:$E,"",0,1)</f>
        <v>ESMALTE - BRILLON</v>
      </c>
      <c r="L102" s="30"/>
      <c r="O102" t="str">
        <f>_xlfn.XLOOKUP(A:A,[4]TD90D!$A:$A,[4]TD90D!$CW:$CW,"",0,1)</f>
        <v/>
      </c>
      <c r="P102" t="str">
        <f>_xlfn.XLOOKUP(A:A,[4]TD90D!$A:$A,[4]TD90D!$CX:$CX,"",0,1)</f>
        <v/>
      </c>
      <c r="Q102" t="str">
        <f>_xlfn.XLOOKUP(A:A,[4]TD90D!$A:$A,[4]TD90D!$DA:$DA,"",0,1)</f>
        <v/>
      </c>
      <c r="R102" s="31" t="e">
        <f t="shared" si="9"/>
        <v>#VALUE!</v>
      </c>
      <c r="S102" t="str">
        <f>_xlfn.XLOOKUP(A:A,'[4]TD90D PZAS'!$A:$A,'[4]TD90D PZAS'!$CW:$CW,"",0,1)</f>
        <v/>
      </c>
      <c r="T102" t="str">
        <f>_xlfn.XLOOKUP(A:A,'[4]TD90D PZAS'!$A:$A,'[4]TD90D PZAS'!$CX:$CX,"",0,1)</f>
        <v/>
      </c>
      <c r="U102" t="str">
        <f>_xlfn.XLOOKUP(A:A,'[4]TD90D PZAS'!$A:$A,'[4]TD90D PZAS'!$DA:$DA,"",0,1)</f>
        <v/>
      </c>
    </row>
    <row r="103" spans="1:21" x14ac:dyDescent="0.35">
      <c r="A103" t="s">
        <v>278</v>
      </c>
      <c r="B103" t="str">
        <f>_xlfn.XLOOKUP(A:A,[1]Hoja1!$C:$C,[1]Hoja1!$D:$D,"",0,1)</f>
        <v>BRILLON SANDIA</v>
      </c>
      <c r="C103" s="8">
        <v>3</v>
      </c>
      <c r="D103" s="11">
        <f>_xlfn.XLOOKUP(A:A,[2]Hoja1!$C:$C,[2]Hoja1!$H:$H,"",0,1)</f>
        <v>58.62</v>
      </c>
      <c r="E103" s="11">
        <f>_xlfn.XLOOKUP(A:A,[1]Hoja1!$C:$C,[1]Hoja1!$H:$H,"",0,1)</f>
        <v>43.97</v>
      </c>
      <c r="F103" s="14">
        <f>_xlfn.XLOOKUP(A:A,TD!A:A,TD!EC:EC,"",0,1)</f>
        <v>6</v>
      </c>
      <c r="G103" s="15">
        <f t="shared" si="6"/>
        <v>6</v>
      </c>
      <c r="H103" s="16">
        <f t="shared" si="7"/>
        <v>175.85999999999999</v>
      </c>
      <c r="I103" s="16">
        <f t="shared" si="8"/>
        <v>131.91</v>
      </c>
      <c r="J103" s="27">
        <v>28456</v>
      </c>
      <c r="K103" t="str">
        <f>_xlfn.XLOOKUP(J:J,'[3]FILTROS 2'!$A:$A,'[3]FILTROS 2'!$E:$E,"",0,1)</f>
        <v>ESMALTE - BRILLON</v>
      </c>
      <c r="L103" s="30"/>
      <c r="O103">
        <f>_xlfn.XLOOKUP(A:A,[4]TD90D!$A:$A,[4]TD90D!$CW:$CW,"",0,1)</f>
        <v>3</v>
      </c>
      <c r="P103">
        <f>_xlfn.XLOOKUP(A:A,[4]TD90D!$A:$A,[4]TD90D!$CX:$CX,"",0,1)</f>
        <v>1</v>
      </c>
      <c r="Q103">
        <f>_xlfn.XLOOKUP(A:A,[4]TD90D!$A:$A,[4]TD90D!$DA:$DA,"",0,1)</f>
        <v>0</v>
      </c>
      <c r="R103" s="31">
        <f t="shared" si="9"/>
        <v>0.33333333333333331</v>
      </c>
      <c r="S103">
        <f>_xlfn.XLOOKUP(A:A,'[4]TD90D PZAS'!$A:$A,'[4]TD90D PZAS'!$CW:$CW,"",0,1)</f>
        <v>6</v>
      </c>
      <c r="T103">
        <f>_xlfn.XLOOKUP(A:A,'[4]TD90D PZAS'!$A:$A,'[4]TD90D PZAS'!$CX:$CX,"",0,1)</f>
        <v>1</v>
      </c>
      <c r="U103">
        <f>_xlfn.XLOOKUP(A:A,'[4]TD90D PZAS'!$A:$A,'[4]TD90D PZAS'!$DA:$DA,"",0,1)</f>
        <v>0</v>
      </c>
    </row>
    <row r="104" spans="1:21" x14ac:dyDescent="0.35">
      <c r="A104" t="s">
        <v>63</v>
      </c>
      <c r="B104" t="str">
        <f>_xlfn.XLOOKUP(A:A,[1]Hoja1!$C:$C,[1]Hoja1!$D:$D,"",0,1)</f>
        <v>BRILLON SANDIA</v>
      </c>
      <c r="C104" s="8">
        <v>3</v>
      </c>
      <c r="D104" s="11">
        <f>_xlfn.XLOOKUP(A:A,[2]Hoja1!$C:$C,[2]Hoja1!$H:$H,"",0,1)</f>
        <v>90.52</v>
      </c>
      <c r="E104" s="11">
        <f>_xlfn.XLOOKUP(A:A,[1]Hoja1!$C:$C,[1]Hoja1!$H:$H,"",0,1)</f>
        <v>67.239999999999995</v>
      </c>
      <c r="F104" s="14">
        <f>_xlfn.XLOOKUP(A:A,TD!A:A,TD!EC:EC,"",0,1)</f>
        <v>4</v>
      </c>
      <c r="G104" s="15">
        <f t="shared" si="6"/>
        <v>4</v>
      </c>
      <c r="H104" s="16">
        <f t="shared" si="7"/>
        <v>271.56</v>
      </c>
      <c r="I104" s="16">
        <f t="shared" si="8"/>
        <v>201.71999999999997</v>
      </c>
      <c r="J104" s="27">
        <v>28455</v>
      </c>
      <c r="K104" t="str">
        <f>_xlfn.XLOOKUP(J:J,'[3]FILTROS 2'!$A:$A,'[3]FILTROS 2'!$E:$E,"",0,1)</f>
        <v>ESMALTE - BRILLON</v>
      </c>
      <c r="L104" s="30"/>
      <c r="O104" t="str">
        <f>_xlfn.XLOOKUP(A:A,[4]TD90D!$A:$A,[4]TD90D!$CW:$CW,"",0,1)</f>
        <v/>
      </c>
      <c r="P104" t="str">
        <f>_xlfn.XLOOKUP(A:A,[4]TD90D!$A:$A,[4]TD90D!$CX:$CX,"",0,1)</f>
        <v/>
      </c>
      <c r="Q104" t="str">
        <f>_xlfn.XLOOKUP(A:A,[4]TD90D!$A:$A,[4]TD90D!$DA:$DA,"",0,1)</f>
        <v/>
      </c>
      <c r="R104" s="31" t="e">
        <f t="shared" si="9"/>
        <v>#VALUE!</v>
      </c>
      <c r="S104" t="str">
        <f>_xlfn.XLOOKUP(A:A,'[4]TD90D PZAS'!$A:$A,'[4]TD90D PZAS'!$CW:$CW,"",0,1)</f>
        <v/>
      </c>
      <c r="T104" t="str">
        <f>_xlfn.XLOOKUP(A:A,'[4]TD90D PZAS'!$A:$A,'[4]TD90D PZAS'!$CX:$CX,"",0,1)</f>
        <v/>
      </c>
      <c r="U104" t="str">
        <f>_xlfn.XLOOKUP(A:A,'[4]TD90D PZAS'!$A:$A,'[4]TD90D PZAS'!$DA:$DA,"",0,1)</f>
        <v/>
      </c>
    </row>
    <row r="105" spans="1:21" x14ac:dyDescent="0.35">
      <c r="A105" t="s">
        <v>156</v>
      </c>
      <c r="B105" t="str">
        <f>_xlfn.XLOOKUP(A:A,[1]Hoja1!$C:$C,[1]Hoja1!$D:$D,"",0,1)</f>
        <v>AEROSOL VERDE HOJA</v>
      </c>
      <c r="C105" s="8">
        <v>3</v>
      </c>
      <c r="D105" s="11">
        <f>_xlfn.XLOOKUP(A:A,[2]Hoja1!$C:$C,[2]Hoja1!$H:$H,"",0,1)</f>
        <v>55.17</v>
      </c>
      <c r="E105" s="11">
        <f>_xlfn.XLOOKUP(A:A,[1]Hoja1!$C:$C,[1]Hoja1!$H:$H,"",0,1)</f>
        <v>41.38</v>
      </c>
      <c r="F105" s="14">
        <f>_xlfn.XLOOKUP(A:A,TD!A:A,TD!EC:EC,"",0,1)</f>
        <v>2</v>
      </c>
      <c r="G105" s="15">
        <f t="shared" si="6"/>
        <v>2</v>
      </c>
      <c r="H105" s="16">
        <f t="shared" si="7"/>
        <v>165.51</v>
      </c>
      <c r="I105" s="16">
        <f t="shared" si="8"/>
        <v>124.14000000000001</v>
      </c>
      <c r="J105" s="27">
        <v>2373</v>
      </c>
      <c r="K105" t="str">
        <f>_xlfn.XLOOKUP(J:J,'[3]FILTROS 2'!$A:$A,'[3]FILTROS 2'!$E:$E,"",0,1)</f>
        <v>AEROSOLES PRISA</v>
      </c>
      <c r="L105" s="30"/>
      <c r="O105">
        <f>_xlfn.XLOOKUP(A:A,[4]TD90D!$A:$A,[4]TD90D!$CW:$CW,"",0,1)</f>
        <v>5</v>
      </c>
      <c r="P105">
        <f>_xlfn.XLOOKUP(A:A,[4]TD90D!$A:$A,[4]TD90D!$CX:$CX,"",0,1)</f>
        <v>2</v>
      </c>
      <c r="Q105">
        <f>_xlfn.XLOOKUP(A:A,[4]TD90D!$A:$A,[4]TD90D!$DA:$DA,"",0,1)</f>
        <v>0</v>
      </c>
      <c r="R105" s="31">
        <f t="shared" si="9"/>
        <v>0.66666666666666663</v>
      </c>
      <c r="S105">
        <f>_xlfn.XLOOKUP(A:A,'[4]TD90D PZAS'!$A:$A,'[4]TD90D PZAS'!$CW:$CW,"",0,1)</f>
        <v>24</v>
      </c>
      <c r="T105">
        <f>_xlfn.XLOOKUP(A:A,'[4]TD90D PZAS'!$A:$A,'[4]TD90D PZAS'!$CX:$CX,"",0,1)</f>
        <v>2</v>
      </c>
      <c r="U105">
        <f>_xlfn.XLOOKUP(A:A,'[4]TD90D PZAS'!$A:$A,'[4]TD90D PZAS'!$DA:$DA,"",0,1)</f>
        <v>0</v>
      </c>
    </row>
    <row r="106" spans="1:21" x14ac:dyDescent="0.35">
      <c r="A106" t="s">
        <v>33</v>
      </c>
      <c r="B106" t="str">
        <f>_xlfn.XLOOKUP(A:A,[1]Hoja1!$C:$C,[1]Hoja1!$D:$D,"",0,1)</f>
        <v>PULIMENTO ROJO MEDIANO TRIPOLI</v>
      </c>
      <c r="C106" s="8">
        <v>3</v>
      </c>
      <c r="D106" s="11">
        <f>_xlfn.XLOOKUP(A:A,[2]Hoja1!$C:$C,[2]Hoja1!$H:$H,"",0,1)</f>
        <v>58.62</v>
      </c>
      <c r="E106" s="11">
        <f>_xlfn.XLOOKUP(A:A,[1]Hoja1!$C:$C,[1]Hoja1!$H:$H,"",0,1)</f>
        <v>43.97</v>
      </c>
      <c r="F106" s="14">
        <f>_xlfn.XLOOKUP(A:A,TD!A:A,TD!EC:EC,"",0,1)</f>
        <v>3.6666666666666665</v>
      </c>
      <c r="G106" s="15">
        <f t="shared" si="6"/>
        <v>3</v>
      </c>
      <c r="H106" s="16">
        <f t="shared" si="7"/>
        <v>175.85999999999999</v>
      </c>
      <c r="I106" s="16">
        <f t="shared" si="8"/>
        <v>131.91</v>
      </c>
      <c r="J106" s="27">
        <v>29596</v>
      </c>
      <c r="K106" t="str">
        <f>_xlfn.XLOOKUP(J:J,'[3]FILTROS 2'!$A:$A,'[3]FILTROS 2'!$E:$E,"",0,1)</f>
        <v>PULIMENTO</v>
      </c>
      <c r="L106" s="30"/>
      <c r="O106">
        <f>_xlfn.XLOOKUP(A:A,[4]TD90D!$A:$A,[4]TD90D!$CW:$CW,"",0,1)</f>
        <v>6</v>
      </c>
      <c r="P106">
        <f>_xlfn.XLOOKUP(A:A,[4]TD90D!$A:$A,[4]TD90D!$CX:$CX,"",0,1)</f>
        <v>3</v>
      </c>
      <c r="Q106">
        <f>_xlfn.XLOOKUP(A:A,[4]TD90D!$A:$A,[4]TD90D!$DA:$DA,"",0,1)</f>
        <v>0</v>
      </c>
      <c r="R106" s="31">
        <f t="shared" si="9"/>
        <v>1</v>
      </c>
      <c r="S106">
        <f>_xlfn.XLOOKUP(A:A,'[4]TD90D PZAS'!$A:$A,'[4]TD90D PZAS'!$CW:$CW,"",0,1)</f>
        <v>22</v>
      </c>
      <c r="T106">
        <f>_xlfn.XLOOKUP(A:A,'[4]TD90D PZAS'!$A:$A,'[4]TD90D PZAS'!$CX:$CX,"",0,1)</f>
        <v>2</v>
      </c>
      <c r="U106">
        <f>_xlfn.XLOOKUP(A:A,'[4]TD90D PZAS'!$A:$A,'[4]TD90D PZAS'!$DA:$DA,"",0,1)</f>
        <v>0</v>
      </c>
    </row>
    <row r="107" spans="1:21" x14ac:dyDescent="0.35">
      <c r="A107" t="s">
        <v>310</v>
      </c>
      <c r="B107" t="str">
        <f>_xlfn.XLOOKUP(A:A,[1]Hoja1!$C:$C,[1]Hoja1!$D:$D,"",0,1)</f>
        <v>AEROSOL AZUL CLARO</v>
      </c>
      <c r="C107" s="8">
        <v>3</v>
      </c>
      <c r="D107" s="11">
        <f>_xlfn.XLOOKUP(A:A,[2]Hoja1!$C:$C,[2]Hoja1!$H:$H,"",0,1)</f>
        <v>55.17</v>
      </c>
      <c r="E107" s="11">
        <f>_xlfn.XLOOKUP(A:A,[1]Hoja1!$C:$C,[1]Hoja1!$H:$H,"",0,1)</f>
        <v>41.38</v>
      </c>
      <c r="F107" s="14">
        <f>_xlfn.XLOOKUP(A:A,TD!A:A,TD!EC:EC,"",0,1)</f>
        <v>6</v>
      </c>
      <c r="G107" s="15">
        <f t="shared" si="6"/>
        <v>6</v>
      </c>
      <c r="H107" s="16">
        <f t="shared" si="7"/>
        <v>165.51</v>
      </c>
      <c r="I107" s="16">
        <f t="shared" si="8"/>
        <v>124.14000000000001</v>
      </c>
      <c r="J107" s="27">
        <v>2364</v>
      </c>
      <c r="K107" t="str">
        <f>_xlfn.XLOOKUP(J:J,'[3]FILTROS 2'!$A:$A,'[3]FILTROS 2'!$E:$E,"",0,1)</f>
        <v>AEROSOLES PRISA</v>
      </c>
      <c r="L107" s="30"/>
      <c r="O107">
        <f>_xlfn.XLOOKUP(A:A,[4]TD90D!$A:$A,[4]TD90D!$CW:$CW,"",0,1)</f>
        <v>3</v>
      </c>
      <c r="P107">
        <f>_xlfn.XLOOKUP(A:A,[4]TD90D!$A:$A,[4]TD90D!$CX:$CX,"",0,1)</f>
        <v>1</v>
      </c>
      <c r="Q107">
        <f>_xlfn.XLOOKUP(A:A,[4]TD90D!$A:$A,[4]TD90D!$DA:$DA,"",0,1)</f>
        <v>0</v>
      </c>
      <c r="R107" s="31">
        <f t="shared" si="9"/>
        <v>0.33333333333333331</v>
      </c>
      <c r="S107">
        <f>_xlfn.XLOOKUP(A:A,'[4]TD90D PZAS'!$A:$A,'[4]TD90D PZAS'!$CW:$CW,"",0,1)</f>
        <v>36</v>
      </c>
      <c r="T107">
        <f>_xlfn.XLOOKUP(A:A,'[4]TD90D PZAS'!$A:$A,'[4]TD90D PZAS'!$CX:$CX,"",0,1)</f>
        <v>1</v>
      </c>
      <c r="U107">
        <f>_xlfn.XLOOKUP(A:A,'[4]TD90D PZAS'!$A:$A,'[4]TD90D PZAS'!$DA:$DA,"",0,1)</f>
        <v>0</v>
      </c>
    </row>
    <row r="108" spans="1:21" x14ac:dyDescent="0.35">
      <c r="A108" t="s">
        <v>114</v>
      </c>
      <c r="B108" t="str">
        <f>_xlfn.XLOOKUP(A:A,[1]Hoja1!$C:$C,[1]Hoja1!$D:$D,"",0,1)</f>
        <v>PEGAMENTO / SELLADOR</v>
      </c>
      <c r="C108" s="8">
        <v>2</v>
      </c>
      <c r="D108" s="11">
        <f>_xlfn.XLOOKUP(A:A,[2]Hoja1!$C:$C,[2]Hoja1!$H:$H,"",0,1)</f>
        <v>948.28</v>
      </c>
      <c r="E108" s="11">
        <f>_xlfn.XLOOKUP(A:A,[1]Hoja1!$C:$C,[1]Hoja1!$H:$H,"",0,1)</f>
        <v>746.55</v>
      </c>
      <c r="F108" s="14">
        <f>_xlfn.XLOOKUP(A:A,TD!A:A,TD!EC:EC,"",0,1)</f>
        <v>3</v>
      </c>
      <c r="G108" s="15">
        <f t="shared" si="6"/>
        <v>3</v>
      </c>
      <c r="H108" s="16">
        <f t="shared" si="7"/>
        <v>2844.84</v>
      </c>
      <c r="I108" s="16">
        <f t="shared" si="8"/>
        <v>2239.6499999999996</v>
      </c>
      <c r="J108" s="27">
        <v>36091</v>
      </c>
      <c r="K108" t="str">
        <f>_xlfn.XLOOKUP(J:J,'[3]FILTROS 2'!$A:$A,'[3]FILTROS 2'!$E:$E,"",0,1)</f>
        <v>SELLADOR - VINILICO GLOSI</v>
      </c>
      <c r="L108" s="30"/>
      <c r="O108">
        <f>_xlfn.XLOOKUP(A:A,[4]TD90D!$A:$A,[4]TD90D!$CW:$CW,"",0,1)</f>
        <v>2</v>
      </c>
      <c r="P108">
        <f>_xlfn.XLOOKUP(A:A,[4]TD90D!$A:$A,[4]TD90D!$CX:$CX,"",0,1)</f>
        <v>1</v>
      </c>
      <c r="Q108">
        <f>_xlfn.XLOOKUP(A:A,[4]TD90D!$A:$A,[4]TD90D!$DA:$DA,"",0,1)</f>
        <v>0</v>
      </c>
      <c r="R108" s="31">
        <f t="shared" si="9"/>
        <v>0.5</v>
      </c>
      <c r="S108">
        <f>_xlfn.XLOOKUP(A:A,'[4]TD90D PZAS'!$A:$A,'[4]TD90D PZAS'!$CW:$CW,"",0,1)</f>
        <v>4</v>
      </c>
      <c r="T108">
        <f>_xlfn.XLOOKUP(A:A,'[4]TD90D PZAS'!$A:$A,'[4]TD90D PZAS'!$CX:$CX,"",0,1)</f>
        <v>1</v>
      </c>
      <c r="U108">
        <f>_xlfn.XLOOKUP(A:A,'[4]TD90D PZAS'!$A:$A,'[4]TD90D PZAS'!$DA:$DA,"",0,1)</f>
        <v>0</v>
      </c>
    </row>
    <row r="109" spans="1:21" x14ac:dyDescent="0.35">
      <c r="A109" t="s">
        <v>227</v>
      </c>
      <c r="B109" t="str">
        <f>_xlfn.XLOOKUP(A:A,[1]Hoja1!$C:$C,[1]Hoja1!$D:$D,"",0,1)</f>
        <v/>
      </c>
      <c r="C109" s="8">
        <v>2</v>
      </c>
      <c r="D109" s="11">
        <f>_xlfn.XLOOKUP(A:A,[2]Hoja1!$C:$C,[2]Hoja1!$H:$H,"",0,1)</f>
        <v>1563.79</v>
      </c>
      <c r="E109" s="11" t="str">
        <f>_xlfn.XLOOKUP(A:A,[1]Hoja1!$C:$C,[1]Hoja1!$H:$H,"",0,1)</f>
        <v/>
      </c>
      <c r="F109" s="14">
        <f>_xlfn.XLOOKUP(A:A,TD!A:A,TD!EC:EC,"",0,1)</f>
        <v>3</v>
      </c>
      <c r="G109" s="15">
        <f t="shared" si="6"/>
        <v>3</v>
      </c>
      <c r="H109" s="16">
        <f t="shared" si="7"/>
        <v>4691.37</v>
      </c>
      <c r="I109" s="16" t="e">
        <f t="shared" si="8"/>
        <v>#VALUE!</v>
      </c>
      <c r="J109" s="27" t="s">
        <v>227</v>
      </c>
      <c r="K109" t="str">
        <f>_xlfn.XLOOKUP(J:J,'[3]FILTROS 2'!$A:$A,'[3]FILTROS 2'!$E:$E,"",0,1)</f>
        <v>VINILICA - RIVINOL 5</v>
      </c>
      <c r="L109" s="30"/>
      <c r="O109">
        <f>_xlfn.XLOOKUP(A:A,[4]TD90D!$A:$A,[4]TD90D!$CW:$CW,"",0,1)</f>
        <v>2</v>
      </c>
      <c r="P109">
        <f>_xlfn.XLOOKUP(A:A,[4]TD90D!$A:$A,[4]TD90D!$CX:$CX,"",0,1)</f>
        <v>1</v>
      </c>
      <c r="Q109">
        <f>_xlfn.XLOOKUP(A:A,[4]TD90D!$A:$A,[4]TD90D!$DA:$DA,"",0,1)</f>
        <v>0</v>
      </c>
      <c r="R109" s="31">
        <f t="shared" si="9"/>
        <v>0.5</v>
      </c>
      <c r="S109">
        <f>_xlfn.XLOOKUP(A:A,'[4]TD90D PZAS'!$A:$A,'[4]TD90D PZAS'!$CW:$CW,"",0,1)</f>
        <v>7</v>
      </c>
      <c r="T109">
        <f>_xlfn.XLOOKUP(A:A,'[4]TD90D PZAS'!$A:$A,'[4]TD90D PZAS'!$CX:$CX,"",0,1)</f>
        <v>1</v>
      </c>
      <c r="U109">
        <f>_xlfn.XLOOKUP(A:A,'[4]TD90D PZAS'!$A:$A,'[4]TD90D PZAS'!$DA:$DA,"",0,1)</f>
        <v>0</v>
      </c>
    </row>
    <row r="110" spans="1:21" x14ac:dyDescent="0.35">
      <c r="A110" t="s">
        <v>317</v>
      </c>
      <c r="B110" t="str">
        <f>_xlfn.XLOOKUP(A:A,[1]Hoja1!$C:$C,[1]Hoja1!$D:$D,"",0,1)</f>
        <v>BRILLON AZUL IRIS</v>
      </c>
      <c r="C110" s="8">
        <v>2</v>
      </c>
      <c r="D110" s="11">
        <f>_xlfn.XLOOKUP(A:A,[2]Hoja1!$C:$C,[2]Hoja1!$H:$H,"",0,1)</f>
        <v>58.62</v>
      </c>
      <c r="E110" s="11">
        <f>_xlfn.XLOOKUP(A:A,[1]Hoja1!$C:$C,[1]Hoja1!$H:$H,"",0,1)</f>
        <v>43.97</v>
      </c>
      <c r="F110" s="14">
        <f>_xlfn.XLOOKUP(A:A,TD!A:A,TD!EC:EC,"",0,1)</f>
        <v>9</v>
      </c>
      <c r="G110" s="15">
        <f t="shared" si="6"/>
        <v>9</v>
      </c>
      <c r="H110" s="16">
        <f t="shared" si="7"/>
        <v>175.85999999999999</v>
      </c>
      <c r="I110" s="16">
        <f t="shared" si="8"/>
        <v>131.91</v>
      </c>
      <c r="J110" s="27">
        <v>28656</v>
      </c>
      <c r="K110" t="str">
        <f>_xlfn.XLOOKUP(J:J,'[3]FILTROS 2'!$A:$A,'[3]FILTROS 2'!$E:$E,"",0,1)</f>
        <v>ESMALTE - BRILLON</v>
      </c>
      <c r="L110" s="30"/>
      <c r="O110" t="str">
        <f>_xlfn.XLOOKUP(A:A,[4]TD90D!$A:$A,[4]TD90D!$CW:$CW,"",0,1)</f>
        <v/>
      </c>
      <c r="P110" t="str">
        <f>_xlfn.XLOOKUP(A:A,[4]TD90D!$A:$A,[4]TD90D!$CX:$CX,"",0,1)</f>
        <v/>
      </c>
      <c r="Q110" t="str">
        <f>_xlfn.XLOOKUP(A:A,[4]TD90D!$A:$A,[4]TD90D!$DA:$DA,"",0,1)</f>
        <v/>
      </c>
      <c r="R110" s="31" t="e">
        <f t="shared" si="9"/>
        <v>#VALUE!</v>
      </c>
      <c r="S110" t="str">
        <f>_xlfn.XLOOKUP(A:A,'[4]TD90D PZAS'!$A:$A,'[4]TD90D PZAS'!$CW:$CW,"",0,1)</f>
        <v/>
      </c>
      <c r="T110" t="str">
        <f>_xlfn.XLOOKUP(A:A,'[4]TD90D PZAS'!$A:$A,'[4]TD90D PZAS'!$CX:$CX,"",0,1)</f>
        <v/>
      </c>
      <c r="U110" t="str">
        <f>_xlfn.XLOOKUP(A:A,'[4]TD90D PZAS'!$A:$A,'[4]TD90D PZAS'!$DA:$DA,"",0,1)</f>
        <v/>
      </c>
    </row>
    <row r="111" spans="1:21" x14ac:dyDescent="0.35">
      <c r="A111" t="s">
        <v>420</v>
      </c>
      <c r="B111" t="str">
        <f>_xlfn.XLOOKUP(A:A,[1]Hoja1!$C:$C,[1]Hoja1!$D:$D,"",0,1)</f>
        <v>THINNER STD MULTIUSOS PET</v>
      </c>
      <c r="C111" s="8">
        <v>2</v>
      </c>
      <c r="D111" s="11">
        <f>_xlfn.XLOOKUP(A:A,[2]Hoja1!$C:$C,[2]Hoja1!$H:$H,"",0,1)</f>
        <v>59.48</v>
      </c>
      <c r="E111" s="11">
        <f>_xlfn.XLOOKUP(A:A,[1]Hoja1!$C:$C,[1]Hoja1!$H:$H,"",0,1)</f>
        <v>53.45</v>
      </c>
      <c r="F111" s="14">
        <f>_xlfn.XLOOKUP(A:A,TD!A:A,TD!EC:EC,"",0,1)</f>
        <v>0</v>
      </c>
      <c r="G111" s="15">
        <f t="shared" si="6"/>
        <v>0</v>
      </c>
      <c r="H111" s="16">
        <f t="shared" si="7"/>
        <v>178.44</v>
      </c>
      <c r="I111" s="16">
        <f t="shared" si="8"/>
        <v>160.35000000000002</v>
      </c>
      <c r="J111" s="27">
        <v>60364</v>
      </c>
      <c r="K111" t="str">
        <f>_xlfn.XLOOKUP(J:J,'[3]FILTROS 2'!$A:$A,'[3]FILTROS 2'!$E:$E,"",0,1)</f>
        <v>SOLVENTES INDUSTRIALES</v>
      </c>
      <c r="L111" s="30"/>
      <c r="O111">
        <f>_xlfn.XLOOKUP(A:A,[4]TD90D!$A:$A,[4]TD90D!$CW:$CW,"",0,1)</f>
        <v>2</v>
      </c>
      <c r="P111">
        <f>_xlfn.XLOOKUP(A:A,[4]TD90D!$A:$A,[4]TD90D!$CX:$CX,"",0,1)</f>
        <v>1</v>
      </c>
      <c r="Q111">
        <f>_xlfn.XLOOKUP(A:A,[4]TD90D!$A:$A,[4]TD90D!$DA:$DA,"",0,1)</f>
        <v>0</v>
      </c>
      <c r="R111" s="31">
        <f t="shared" si="9"/>
        <v>0.5</v>
      </c>
      <c r="S111">
        <f>_xlfn.XLOOKUP(A:A,'[4]TD90D PZAS'!$A:$A,'[4]TD90D PZAS'!$CW:$CW,"",0,1)</f>
        <v>0</v>
      </c>
      <c r="T111">
        <f>_xlfn.XLOOKUP(A:A,'[4]TD90D PZAS'!$A:$A,'[4]TD90D PZAS'!$CX:$CX,"",0,1)</f>
        <v>0</v>
      </c>
      <c r="U111">
        <f>_xlfn.XLOOKUP(A:A,'[4]TD90D PZAS'!$A:$A,'[4]TD90D PZAS'!$DA:$DA,"",0,1)</f>
        <v>0</v>
      </c>
    </row>
    <row r="112" spans="1:21" x14ac:dyDescent="0.35">
      <c r="A112" t="s">
        <v>31</v>
      </c>
      <c r="B112" t="str">
        <f>_xlfn.XLOOKUP(A:A,[1]Hoja1!$C:$C,[1]Hoja1!$D:$D,"",0,1)</f>
        <v>PULIMENTO ROJO MEDIANO TRIPOLI</v>
      </c>
      <c r="C112" s="8">
        <v>2</v>
      </c>
      <c r="D112" s="11">
        <f>_xlfn.XLOOKUP(A:A,[2]Hoja1!$C:$C,[2]Hoja1!$H:$H,"",0,1)</f>
        <v>102.59</v>
      </c>
      <c r="E112" s="11">
        <f>_xlfn.XLOOKUP(A:A,[1]Hoja1!$C:$C,[1]Hoja1!$H:$H,"",0,1)</f>
        <v>79.31</v>
      </c>
      <c r="F112" s="14">
        <f>_xlfn.XLOOKUP(A:A,TD!A:A,TD!EC:EC,"",0,1)</f>
        <v>3.5</v>
      </c>
      <c r="G112" s="15">
        <f t="shared" si="6"/>
        <v>3</v>
      </c>
      <c r="H112" s="16">
        <f t="shared" si="7"/>
        <v>307.77</v>
      </c>
      <c r="I112" s="16">
        <f t="shared" si="8"/>
        <v>237.93</v>
      </c>
      <c r="J112" s="27">
        <v>29595</v>
      </c>
      <c r="K112" t="str">
        <f>_xlfn.XLOOKUP(J:J,'[3]FILTROS 2'!$A:$A,'[3]FILTROS 2'!$E:$E,"",0,1)</f>
        <v>PULIMENTO</v>
      </c>
      <c r="L112" s="30"/>
      <c r="O112">
        <f>_xlfn.XLOOKUP(A:A,[4]TD90D!$A:$A,[4]TD90D!$CW:$CW,"",0,1)</f>
        <v>2</v>
      </c>
      <c r="P112">
        <f>_xlfn.XLOOKUP(A:A,[4]TD90D!$A:$A,[4]TD90D!$CX:$CX,"",0,1)</f>
        <v>1</v>
      </c>
      <c r="Q112">
        <f>_xlfn.XLOOKUP(A:A,[4]TD90D!$A:$A,[4]TD90D!$DA:$DA,"",0,1)</f>
        <v>0</v>
      </c>
      <c r="R112" s="31">
        <f t="shared" si="9"/>
        <v>0.5</v>
      </c>
      <c r="S112">
        <f>_xlfn.XLOOKUP(A:A,'[4]TD90D PZAS'!$A:$A,'[4]TD90D PZAS'!$CW:$CW,"",0,1)</f>
        <v>2</v>
      </c>
      <c r="T112">
        <f>_xlfn.XLOOKUP(A:A,'[4]TD90D PZAS'!$A:$A,'[4]TD90D PZAS'!$CX:$CX,"",0,1)</f>
        <v>1</v>
      </c>
      <c r="U112">
        <f>_xlfn.XLOOKUP(A:A,'[4]TD90D PZAS'!$A:$A,'[4]TD90D PZAS'!$DA:$DA,"",0,1)</f>
        <v>0</v>
      </c>
    </row>
    <row r="113" spans="1:21" x14ac:dyDescent="0.35">
      <c r="A113" t="s">
        <v>356</v>
      </c>
      <c r="B113" t="str">
        <f>_xlfn.XLOOKUP(A:A,[1]Hoja1!$C:$C,[1]Hoja1!$D:$D,"",0,1)</f>
        <v>PARAGUAS 5 AÑOS ASFALTICO</v>
      </c>
      <c r="C113" s="8">
        <v>2</v>
      </c>
      <c r="D113" s="11">
        <f>_xlfn.XLOOKUP(A:A,[2]Hoja1!$C:$C,[2]Hoja1!$H:$H,"",0,1)</f>
        <v>1276.72</v>
      </c>
      <c r="E113" s="11">
        <f>_xlfn.XLOOKUP(A:A,[1]Hoja1!$C:$C,[1]Hoja1!$H:$H,"",0,1)</f>
        <v>973.28</v>
      </c>
      <c r="F113" s="14">
        <f>_xlfn.XLOOKUP(A:A,TD!A:A,TD!EC:EC,"",0,1)</f>
        <v>2.5</v>
      </c>
      <c r="G113" s="15">
        <f t="shared" si="6"/>
        <v>2</v>
      </c>
      <c r="H113" s="16">
        <f t="shared" si="7"/>
        <v>3830.16</v>
      </c>
      <c r="I113" s="16">
        <f t="shared" si="8"/>
        <v>2919.84</v>
      </c>
      <c r="J113" s="27">
        <v>61101</v>
      </c>
      <c r="K113" t="str">
        <f>_xlfn.XLOOKUP(J:J,'[3]FILTROS 2'!$A:$A,'[3]FILTROS 2'!$E:$E,"",0,1)</f>
        <v>IMPERM - PARAGUAS 5 AÑOS ASFAL</v>
      </c>
      <c r="L113" s="30"/>
      <c r="O113">
        <f>_xlfn.XLOOKUP(A:A,[4]TD90D!$A:$A,[4]TD90D!$CW:$CW,"",0,1)</f>
        <v>2</v>
      </c>
      <c r="P113">
        <f>_xlfn.XLOOKUP(A:A,[4]TD90D!$A:$A,[4]TD90D!$CX:$CX,"",0,1)</f>
        <v>1</v>
      </c>
      <c r="Q113">
        <f>_xlfn.XLOOKUP(A:A,[4]TD90D!$A:$A,[4]TD90D!$DA:$DA,"",0,1)</f>
        <v>0</v>
      </c>
      <c r="R113" s="31">
        <f t="shared" si="9"/>
        <v>0.5</v>
      </c>
      <c r="S113">
        <f>_xlfn.XLOOKUP(A:A,'[4]TD90D PZAS'!$A:$A,'[4]TD90D PZAS'!$CW:$CW,"",0,1)</f>
        <v>6</v>
      </c>
      <c r="T113">
        <f>_xlfn.XLOOKUP(A:A,'[4]TD90D PZAS'!$A:$A,'[4]TD90D PZAS'!$CX:$CX,"",0,1)</f>
        <v>1</v>
      </c>
      <c r="U113">
        <f>_xlfn.XLOOKUP(A:A,'[4]TD90D PZAS'!$A:$A,'[4]TD90D PZAS'!$DA:$DA,"",0,1)</f>
        <v>0</v>
      </c>
    </row>
    <row r="114" spans="1:21" x14ac:dyDescent="0.35">
      <c r="A114" t="s">
        <v>270</v>
      </c>
      <c r="B114" t="str">
        <f>_xlfn.XLOOKUP(A:A,[1]Hoja1!$C:$C,[1]Hoja1!$D:$D,"",0,1)</f>
        <v>VINILICA GLOSI VIOLETA 3A</v>
      </c>
      <c r="C114" s="8">
        <v>2</v>
      </c>
      <c r="D114" s="11">
        <f>_xlfn.XLOOKUP(A:A,[2]Hoja1!$C:$C,[2]Hoja1!$H:$H,"",0,1)</f>
        <v>874.14</v>
      </c>
      <c r="E114" s="11">
        <f>_xlfn.XLOOKUP(A:A,[1]Hoja1!$C:$C,[1]Hoja1!$H:$H,"",0,1)</f>
        <v>656.9</v>
      </c>
      <c r="F114" s="14">
        <f>_xlfn.XLOOKUP(A:A,TD!A:A,TD!EC:EC,"",0,1)</f>
        <v>0</v>
      </c>
      <c r="G114" s="15">
        <f t="shared" si="6"/>
        <v>0</v>
      </c>
      <c r="H114" s="16">
        <f t="shared" si="7"/>
        <v>2622.42</v>
      </c>
      <c r="I114" s="16">
        <f t="shared" si="8"/>
        <v>1970.6999999999998</v>
      </c>
      <c r="J114" s="27" t="s">
        <v>270</v>
      </c>
      <c r="K114" t="str">
        <f>_xlfn.XLOOKUP(J:J,'[3]FILTROS 2'!$A:$A,'[3]FILTROS 2'!$E:$E,"",0,1)</f>
        <v>VINILICA - GLOSI 3 AÑOS</v>
      </c>
      <c r="L114" s="30"/>
      <c r="O114">
        <f>_xlfn.XLOOKUP(A:A,[4]TD90D!$A:$A,[4]TD90D!$CW:$CW,"",0,1)</f>
        <v>2</v>
      </c>
      <c r="P114">
        <f>_xlfn.XLOOKUP(A:A,[4]TD90D!$A:$A,[4]TD90D!$CX:$CX,"",0,1)</f>
        <v>1</v>
      </c>
      <c r="Q114">
        <f>_xlfn.XLOOKUP(A:A,[4]TD90D!$A:$A,[4]TD90D!$DA:$DA,"",0,1)</f>
        <v>0</v>
      </c>
      <c r="R114" s="31">
        <f t="shared" si="9"/>
        <v>0.5</v>
      </c>
      <c r="S114">
        <f>_xlfn.XLOOKUP(A:A,'[4]TD90D PZAS'!$A:$A,'[4]TD90D PZAS'!$CW:$CW,"",0,1)</f>
        <v>0</v>
      </c>
      <c r="T114">
        <f>_xlfn.XLOOKUP(A:A,'[4]TD90D PZAS'!$A:$A,'[4]TD90D PZAS'!$CX:$CX,"",0,1)</f>
        <v>0</v>
      </c>
      <c r="U114">
        <f>_xlfn.XLOOKUP(A:A,'[4]TD90D PZAS'!$A:$A,'[4]TD90D PZAS'!$DA:$DA,"",0,1)</f>
        <v>0</v>
      </c>
    </row>
    <row r="115" spans="1:21" x14ac:dyDescent="0.35">
      <c r="A115" t="s">
        <v>70</v>
      </c>
      <c r="B115" t="str">
        <f>_xlfn.XLOOKUP(A:A,[1]Hoja1!$C:$C,[1]Hoja1!$D:$D,"",0,1)</f>
        <v>BRILLON NEGRO MATE</v>
      </c>
      <c r="C115" s="8">
        <v>2</v>
      </c>
      <c r="D115" s="11">
        <f>_xlfn.XLOOKUP(A:A,[2]Hoja1!$C:$C,[2]Hoja1!$H:$H,"",0,1)</f>
        <v>533.62</v>
      </c>
      <c r="E115" s="11">
        <f>_xlfn.XLOOKUP(A:A,[1]Hoja1!$C:$C,[1]Hoja1!$H:$H,"",0,1)</f>
        <v>401.72</v>
      </c>
      <c r="F115" s="14">
        <f>_xlfn.XLOOKUP(A:A,TD!A:A,TD!EC:EC,"",0,1)</f>
        <v>3</v>
      </c>
      <c r="G115" s="15">
        <f t="shared" si="6"/>
        <v>3</v>
      </c>
      <c r="H115" s="16">
        <f t="shared" si="7"/>
        <v>1600.8600000000001</v>
      </c>
      <c r="I115" s="16">
        <f t="shared" si="8"/>
        <v>1205.1600000000001</v>
      </c>
      <c r="J115" s="27">
        <v>28963</v>
      </c>
      <c r="K115" t="str">
        <f>_xlfn.XLOOKUP(J:J,'[3]FILTROS 2'!$A:$A,'[3]FILTROS 2'!$E:$E,"",0,1)</f>
        <v>ESMALTE - BRILLON</v>
      </c>
      <c r="L115" s="30"/>
      <c r="O115">
        <f>_xlfn.XLOOKUP(A:A,[4]TD90D!$A:$A,[4]TD90D!$CW:$CW,"",0,1)</f>
        <v>7</v>
      </c>
      <c r="P115">
        <f>_xlfn.XLOOKUP(A:A,[4]TD90D!$A:$A,[4]TD90D!$CX:$CX,"",0,1)</f>
        <v>2</v>
      </c>
      <c r="Q115">
        <f>_xlfn.XLOOKUP(A:A,[4]TD90D!$A:$A,[4]TD90D!$DA:$DA,"",0,1)</f>
        <v>0</v>
      </c>
      <c r="R115" s="31">
        <f t="shared" si="9"/>
        <v>1</v>
      </c>
      <c r="S115">
        <f>_xlfn.XLOOKUP(A:A,'[4]TD90D PZAS'!$A:$A,'[4]TD90D PZAS'!$CW:$CW,"",0,1)</f>
        <v>12</v>
      </c>
      <c r="T115">
        <f>_xlfn.XLOOKUP(A:A,'[4]TD90D PZAS'!$A:$A,'[4]TD90D PZAS'!$CX:$CX,"",0,1)</f>
        <v>2</v>
      </c>
      <c r="U115">
        <f>_xlfn.XLOOKUP(A:A,'[4]TD90D PZAS'!$A:$A,'[4]TD90D PZAS'!$DA:$DA,"",0,1)</f>
        <v>0</v>
      </c>
    </row>
    <row r="116" spans="1:21" x14ac:dyDescent="0.35">
      <c r="A116" t="s">
        <v>174</v>
      </c>
      <c r="B116" t="str">
        <f>_xlfn.XLOOKUP(A:A,[1]Hoja1!$C:$C,[1]Hoja1!$D:$D,"",0,1)</f>
        <v>VINILICA GLOSI AZUL 5A</v>
      </c>
      <c r="C116" s="8">
        <v>2</v>
      </c>
      <c r="D116" s="11">
        <f>_xlfn.XLOOKUP(A:A,[2]Hoja1!$C:$C,[2]Hoja1!$H:$H,"",0,1)</f>
        <v>299.14</v>
      </c>
      <c r="E116" s="11">
        <f>_xlfn.XLOOKUP(A:A,[1]Hoja1!$C:$C,[1]Hoja1!$H:$H,"",0,1)</f>
        <v>224.14</v>
      </c>
      <c r="F116" s="14">
        <f>_xlfn.XLOOKUP(A:A,TD!A:A,TD!EC:EC,"",0,1)</f>
        <v>1.5</v>
      </c>
      <c r="G116" s="15">
        <f t="shared" si="6"/>
        <v>1</v>
      </c>
      <c r="H116" s="16">
        <f t="shared" si="7"/>
        <v>897.42</v>
      </c>
      <c r="I116" s="16">
        <f t="shared" si="8"/>
        <v>672.42</v>
      </c>
      <c r="J116" s="27" t="s">
        <v>174</v>
      </c>
      <c r="K116" t="str">
        <f>_xlfn.XLOOKUP(J:J,'[3]FILTROS 2'!$A:$A,'[3]FILTROS 2'!$E:$E,"",0,1)</f>
        <v>VINILICA - GLOSI 5 AÑOS</v>
      </c>
      <c r="L116" s="30"/>
      <c r="O116" t="str">
        <f>_xlfn.XLOOKUP(A:A,[4]TD90D!$A:$A,[4]TD90D!$CW:$CW,"",0,1)</f>
        <v/>
      </c>
      <c r="P116" t="str">
        <f>_xlfn.XLOOKUP(A:A,[4]TD90D!$A:$A,[4]TD90D!$CX:$CX,"",0,1)</f>
        <v/>
      </c>
      <c r="Q116" t="str">
        <f>_xlfn.XLOOKUP(A:A,[4]TD90D!$A:$A,[4]TD90D!$DA:$DA,"",0,1)</f>
        <v/>
      </c>
      <c r="R116" s="31" t="e">
        <f t="shared" si="9"/>
        <v>#VALUE!</v>
      </c>
      <c r="S116" t="str">
        <f>_xlfn.XLOOKUP(A:A,'[4]TD90D PZAS'!$A:$A,'[4]TD90D PZAS'!$CW:$CW,"",0,1)</f>
        <v/>
      </c>
      <c r="T116" t="str">
        <f>_xlfn.XLOOKUP(A:A,'[4]TD90D PZAS'!$A:$A,'[4]TD90D PZAS'!$CX:$CX,"",0,1)</f>
        <v/>
      </c>
      <c r="U116" t="str">
        <f>_xlfn.XLOOKUP(A:A,'[4]TD90D PZAS'!$A:$A,'[4]TD90D PZAS'!$DA:$DA,"",0,1)</f>
        <v/>
      </c>
    </row>
    <row r="117" spans="1:21" x14ac:dyDescent="0.35">
      <c r="A117" t="s">
        <v>347</v>
      </c>
      <c r="B117" t="str">
        <f>_xlfn.XLOOKUP(A:A,[1]Hoja1!$C:$C,[1]Hoja1!$D:$D,"",0,1)</f>
        <v>MEMBRANA DE REFUERZO TRAMADA/POLIREF 60G</v>
      </c>
      <c r="C117" s="8">
        <v>2</v>
      </c>
      <c r="D117" s="11">
        <f>_xlfn.XLOOKUP(A:A,[2]Hoja1!$C:$C,[2]Hoja1!$H:$H,"",0,1)</f>
        <v>1443.97</v>
      </c>
      <c r="E117" s="11">
        <f>_xlfn.XLOOKUP(A:A,[1]Hoja1!$C:$C,[1]Hoja1!$H:$H,"",0,1)</f>
        <v>1084.48</v>
      </c>
      <c r="F117" s="14">
        <f>_xlfn.XLOOKUP(A:A,TD!A:A,TD!EC:EC,"",0,1)</f>
        <v>1.5</v>
      </c>
      <c r="G117" s="15">
        <f t="shared" si="6"/>
        <v>1</v>
      </c>
      <c r="H117" s="16">
        <f t="shared" si="7"/>
        <v>4331.91</v>
      </c>
      <c r="I117" s="16">
        <f t="shared" si="8"/>
        <v>3253.44</v>
      </c>
      <c r="J117" s="27">
        <v>61202</v>
      </c>
      <c r="K117" t="str">
        <f>_xlfn.XLOOKUP(J:J,'[3]FILTROS 2'!$A:$A,'[3]FILTROS 2'!$E:$E,"",0,1)</f>
        <v>HERRAMIENTAS EN GENERAL</v>
      </c>
      <c r="L117" s="30"/>
      <c r="O117">
        <f>_xlfn.XLOOKUP(A:A,[4]TD90D!$A:$A,[4]TD90D!$CW:$CW,"",0,1)</f>
        <v>2</v>
      </c>
      <c r="P117">
        <f>_xlfn.XLOOKUP(A:A,[4]TD90D!$A:$A,[4]TD90D!$CX:$CX,"",0,1)</f>
        <v>1</v>
      </c>
      <c r="Q117">
        <f>_xlfn.XLOOKUP(A:A,[4]TD90D!$A:$A,[4]TD90D!$DA:$DA,"",0,1)</f>
        <v>0</v>
      </c>
      <c r="R117" s="31">
        <f t="shared" si="9"/>
        <v>0.5</v>
      </c>
      <c r="S117">
        <f>_xlfn.XLOOKUP(A:A,'[4]TD90D PZAS'!$A:$A,'[4]TD90D PZAS'!$CW:$CW,"",0,1)</f>
        <v>3</v>
      </c>
      <c r="T117">
        <f>_xlfn.XLOOKUP(A:A,'[4]TD90D PZAS'!$A:$A,'[4]TD90D PZAS'!$CX:$CX,"",0,1)</f>
        <v>1</v>
      </c>
      <c r="U117">
        <f>_xlfn.XLOOKUP(A:A,'[4]TD90D PZAS'!$A:$A,'[4]TD90D PZAS'!$DA:$DA,"",0,1)</f>
        <v>0</v>
      </c>
    </row>
    <row r="118" spans="1:21" x14ac:dyDescent="0.35">
      <c r="A118" t="s">
        <v>333</v>
      </c>
      <c r="B118" t="str">
        <f>_xlfn.XLOOKUP(A:A,[1]Hoja1!$C:$C,[1]Hoja1!$D:$D,"",0,1)</f>
        <v>ESMALTE GLOSI SR CHOCOLATE</v>
      </c>
      <c r="C118" s="8">
        <v>2</v>
      </c>
      <c r="D118" s="11">
        <f>_xlfn.XLOOKUP(A:A,[2]Hoja1!$C:$C,[2]Hoja1!$H:$H,"",0,1)</f>
        <v>205.17</v>
      </c>
      <c r="E118" s="11">
        <f>_xlfn.XLOOKUP(A:A,[1]Hoja1!$C:$C,[1]Hoja1!$H:$H,"",0,1)</f>
        <v>161.21</v>
      </c>
      <c r="F118" s="14">
        <f>_xlfn.XLOOKUP(A:A,TD!A:A,TD!EC:EC,"",0,1)</f>
        <v>6</v>
      </c>
      <c r="G118" s="15">
        <f t="shared" si="6"/>
        <v>6</v>
      </c>
      <c r="H118" s="16">
        <f t="shared" si="7"/>
        <v>615.51</v>
      </c>
      <c r="I118" s="16">
        <f t="shared" si="8"/>
        <v>483.63</v>
      </c>
      <c r="J118" s="27" t="s">
        <v>333</v>
      </c>
      <c r="K118" t="str">
        <f>_xlfn.XLOOKUP(J:J,'[3]FILTROS 2'!$A:$A,'[3]FILTROS 2'!$E:$E,"",0,1)</f>
        <v>ESMALTE - GLOSI SECADO RAPIDO</v>
      </c>
      <c r="L118" s="30"/>
      <c r="O118">
        <f>_xlfn.XLOOKUP(A:A,[4]TD90D!$A:$A,[4]TD90D!$CW:$CW,"",0,1)</f>
        <v>2</v>
      </c>
      <c r="P118">
        <f>_xlfn.XLOOKUP(A:A,[4]TD90D!$A:$A,[4]TD90D!$CX:$CX,"",0,1)</f>
        <v>1</v>
      </c>
      <c r="Q118">
        <f>_xlfn.XLOOKUP(A:A,[4]TD90D!$A:$A,[4]TD90D!$DA:$DA,"",0,1)</f>
        <v>0</v>
      </c>
      <c r="R118" s="31">
        <f t="shared" si="9"/>
        <v>0.5</v>
      </c>
      <c r="S118">
        <f>_xlfn.XLOOKUP(A:A,'[4]TD90D PZAS'!$A:$A,'[4]TD90D PZAS'!$CW:$CW,"",0,1)</f>
        <v>18</v>
      </c>
      <c r="T118">
        <f>_xlfn.XLOOKUP(A:A,'[4]TD90D PZAS'!$A:$A,'[4]TD90D PZAS'!$CX:$CX,"",0,1)</f>
        <v>1</v>
      </c>
      <c r="U118">
        <f>_xlfn.XLOOKUP(A:A,'[4]TD90D PZAS'!$A:$A,'[4]TD90D PZAS'!$DA:$DA,"",0,1)</f>
        <v>0</v>
      </c>
    </row>
    <row r="119" spans="1:21" x14ac:dyDescent="0.35">
      <c r="A119" t="s">
        <v>375</v>
      </c>
      <c r="B119" t="str">
        <f>_xlfn.XLOOKUP(A:A,[1]Hoja1!$C:$C,[1]Hoja1!$D:$D,"",0,1)</f>
        <v>BRILLON AZUL AGUA</v>
      </c>
      <c r="C119" s="8">
        <v>2</v>
      </c>
      <c r="D119" s="11">
        <f>_xlfn.XLOOKUP(A:A,[2]Hoja1!$C:$C,[2]Hoja1!$H:$H,"",0,1)</f>
        <v>90.52</v>
      </c>
      <c r="E119" s="11">
        <f>_xlfn.XLOOKUP(A:A,[1]Hoja1!$C:$C,[1]Hoja1!$H:$H,"",0,1)</f>
        <v>67.239999999999995</v>
      </c>
      <c r="F119" s="14">
        <f>_xlfn.XLOOKUP(A:A,TD!A:A,TD!EC:EC,"",0,1)</f>
        <v>3</v>
      </c>
      <c r="G119" s="15">
        <f t="shared" si="6"/>
        <v>3</v>
      </c>
      <c r="H119" s="16">
        <f t="shared" si="7"/>
        <v>271.56</v>
      </c>
      <c r="I119" s="16">
        <f t="shared" si="8"/>
        <v>201.71999999999997</v>
      </c>
      <c r="J119" s="27">
        <v>28645</v>
      </c>
      <c r="K119" t="str">
        <f>_xlfn.XLOOKUP(J:J,'[3]FILTROS 2'!$A:$A,'[3]FILTROS 2'!$E:$E,"",0,1)</f>
        <v>ESMALTE - BRILLON</v>
      </c>
      <c r="L119" s="30"/>
      <c r="O119" t="str">
        <f>_xlfn.XLOOKUP(A:A,[4]TD90D!$A:$A,[4]TD90D!$CW:$CW,"",0,1)</f>
        <v/>
      </c>
      <c r="P119" t="str">
        <f>_xlfn.XLOOKUP(A:A,[4]TD90D!$A:$A,[4]TD90D!$CX:$CX,"",0,1)</f>
        <v/>
      </c>
      <c r="Q119" t="str">
        <f>_xlfn.XLOOKUP(A:A,[4]TD90D!$A:$A,[4]TD90D!$DA:$DA,"",0,1)</f>
        <v/>
      </c>
      <c r="R119" s="31" t="e">
        <f t="shared" si="9"/>
        <v>#VALUE!</v>
      </c>
      <c r="S119" t="str">
        <f>_xlfn.XLOOKUP(A:A,'[4]TD90D PZAS'!$A:$A,'[4]TD90D PZAS'!$CW:$CW,"",0,1)</f>
        <v/>
      </c>
      <c r="T119" t="str">
        <f>_xlfn.XLOOKUP(A:A,'[4]TD90D PZAS'!$A:$A,'[4]TD90D PZAS'!$CX:$CX,"",0,1)</f>
        <v/>
      </c>
      <c r="U119" t="str">
        <f>_xlfn.XLOOKUP(A:A,'[4]TD90D PZAS'!$A:$A,'[4]TD90D PZAS'!$DA:$DA,"",0,1)</f>
        <v/>
      </c>
    </row>
    <row r="120" spans="1:21" x14ac:dyDescent="0.35">
      <c r="A120" t="s">
        <v>414</v>
      </c>
      <c r="B120" t="str">
        <f>_xlfn.XLOOKUP(A:A,[1]Hoja1!$C:$C,[1]Hoja1!$D:$D,"",0,1)</f>
        <v/>
      </c>
      <c r="C120" s="8">
        <v>2</v>
      </c>
      <c r="D120" s="11">
        <f>_xlfn.XLOOKUP(A:A,[2]Hoja1!$C:$C,[2]Hoja1!$H:$H,"",0,1)</f>
        <v>91.38</v>
      </c>
      <c r="E120" s="11" t="str">
        <f>_xlfn.XLOOKUP(A:A,[1]Hoja1!$C:$C,[1]Hoja1!$H:$H,"",0,1)</f>
        <v/>
      </c>
      <c r="F120" s="14">
        <f>_xlfn.XLOOKUP(A:A,TD!A:A,TD!EC:EC,"",0,1)</f>
        <v>6</v>
      </c>
      <c r="G120" s="15">
        <f t="shared" si="6"/>
        <v>6</v>
      </c>
      <c r="H120" s="16">
        <f t="shared" si="7"/>
        <v>274.14</v>
      </c>
      <c r="I120" s="16" t="e">
        <f t="shared" si="8"/>
        <v>#VALUE!</v>
      </c>
      <c r="J120" s="27">
        <v>33014</v>
      </c>
      <c r="K120" t="str">
        <f>_xlfn.XLOOKUP(J:J,'[3]FILTROS 2'!$A:$A,'[3]FILTROS 2'!$E:$E,"",0,1)</f>
        <v>VINILICA - PINTAVIN</v>
      </c>
      <c r="L120" s="30"/>
      <c r="O120">
        <f>_xlfn.XLOOKUP(A:A,[4]TD90D!$A:$A,[4]TD90D!$CW:$CW,"",0,1)</f>
        <v>2</v>
      </c>
      <c r="P120">
        <f>_xlfn.XLOOKUP(A:A,[4]TD90D!$A:$A,[4]TD90D!$CX:$CX,"",0,1)</f>
        <v>1</v>
      </c>
      <c r="Q120">
        <f>_xlfn.XLOOKUP(A:A,[4]TD90D!$A:$A,[4]TD90D!$DA:$DA,"",0,1)</f>
        <v>0</v>
      </c>
      <c r="R120" s="31">
        <f t="shared" si="9"/>
        <v>0.5</v>
      </c>
      <c r="S120">
        <f>_xlfn.XLOOKUP(A:A,'[4]TD90D PZAS'!$A:$A,'[4]TD90D PZAS'!$CW:$CW,"",0,1)</f>
        <v>12</v>
      </c>
      <c r="T120">
        <f>_xlfn.XLOOKUP(A:A,'[4]TD90D PZAS'!$A:$A,'[4]TD90D PZAS'!$CX:$CX,"",0,1)</f>
        <v>1</v>
      </c>
      <c r="U120">
        <f>_xlfn.XLOOKUP(A:A,'[4]TD90D PZAS'!$A:$A,'[4]TD90D PZAS'!$DA:$DA,"",0,1)</f>
        <v>0</v>
      </c>
    </row>
    <row r="121" spans="1:21" x14ac:dyDescent="0.35">
      <c r="A121" t="s">
        <v>140</v>
      </c>
      <c r="B121" t="str">
        <f>_xlfn.XLOOKUP(A:A,[1]Hoja1!$C:$C,[1]Hoja1!$D:$D,"",0,1)</f>
        <v>BRILLON GUAYABA</v>
      </c>
      <c r="C121" s="8">
        <v>2</v>
      </c>
      <c r="D121" s="11">
        <f>_xlfn.XLOOKUP(A:A,[2]Hoja1!$C:$C,[2]Hoja1!$H:$H,"",0,1)</f>
        <v>150.86000000000001</v>
      </c>
      <c r="E121" s="11">
        <f>_xlfn.XLOOKUP(A:A,[1]Hoja1!$C:$C,[1]Hoja1!$H:$H,"",0,1)</f>
        <v>112.93</v>
      </c>
      <c r="F121" s="14">
        <f>_xlfn.XLOOKUP(A:A,TD!A:A,TD!EC:EC,"",0,1)</f>
        <v>4.5</v>
      </c>
      <c r="G121" s="15">
        <f t="shared" si="6"/>
        <v>4</v>
      </c>
      <c r="H121" s="16">
        <f t="shared" si="7"/>
        <v>452.58000000000004</v>
      </c>
      <c r="I121" s="16">
        <f t="shared" si="8"/>
        <v>338.79</v>
      </c>
      <c r="J121" s="27">
        <v>28214</v>
      </c>
      <c r="K121" t="str">
        <f>_xlfn.XLOOKUP(J:J,'[3]FILTROS 2'!$A:$A,'[3]FILTROS 2'!$E:$E,"",0,1)</f>
        <v>ESMALTE - BRILLON</v>
      </c>
      <c r="L121" s="30"/>
      <c r="O121">
        <f>_xlfn.XLOOKUP(A:A,[4]TD90D!$A:$A,[4]TD90D!$CW:$CW,"",0,1)</f>
        <v>2</v>
      </c>
      <c r="P121">
        <f>_xlfn.XLOOKUP(A:A,[4]TD90D!$A:$A,[4]TD90D!$CX:$CX,"",0,1)</f>
        <v>1</v>
      </c>
      <c r="Q121">
        <f>_xlfn.XLOOKUP(A:A,[4]TD90D!$A:$A,[4]TD90D!$DA:$DA,"",0,1)</f>
        <v>0</v>
      </c>
      <c r="R121" s="31">
        <f t="shared" si="9"/>
        <v>0.5</v>
      </c>
      <c r="S121">
        <f>_xlfn.XLOOKUP(A:A,'[4]TD90D PZAS'!$A:$A,'[4]TD90D PZAS'!$CW:$CW,"",0,1)</f>
        <v>12</v>
      </c>
      <c r="T121">
        <f>_xlfn.XLOOKUP(A:A,'[4]TD90D PZAS'!$A:$A,'[4]TD90D PZAS'!$CX:$CX,"",0,1)</f>
        <v>1</v>
      </c>
      <c r="U121">
        <f>_xlfn.XLOOKUP(A:A,'[4]TD90D PZAS'!$A:$A,'[4]TD90D PZAS'!$DA:$DA,"",0,1)</f>
        <v>0</v>
      </c>
    </row>
    <row r="122" spans="1:21" x14ac:dyDescent="0.35">
      <c r="A122" t="s">
        <v>162</v>
      </c>
      <c r="B122" t="str">
        <f>_xlfn.XLOOKUP(A:A,[1]Hoja1!$C:$C,[1]Hoja1!$D:$D,"",0,1)</f>
        <v>VINILICA GLOSI OCRE 3A</v>
      </c>
      <c r="C122" s="8">
        <v>2</v>
      </c>
      <c r="D122" s="11">
        <f>_xlfn.XLOOKUP(A:A,[2]Hoja1!$C:$C,[2]Hoja1!$H:$H,"",0,1)</f>
        <v>237.07</v>
      </c>
      <c r="E122" s="11">
        <f>_xlfn.XLOOKUP(A:A,[1]Hoja1!$C:$C,[1]Hoja1!$H:$H,"",0,1)</f>
        <v>179.31</v>
      </c>
      <c r="F122" s="14">
        <f>_xlfn.XLOOKUP(A:A,TD!A:A,TD!EC:EC,"",0,1)</f>
        <v>0</v>
      </c>
      <c r="G122" s="15">
        <f t="shared" si="6"/>
        <v>0</v>
      </c>
      <c r="H122" s="16">
        <f t="shared" si="7"/>
        <v>711.21</v>
      </c>
      <c r="I122" s="16">
        <f t="shared" si="8"/>
        <v>537.93000000000006</v>
      </c>
      <c r="J122" s="27" t="s">
        <v>162</v>
      </c>
      <c r="K122" t="str">
        <f>_xlfn.XLOOKUP(J:J,'[3]FILTROS 2'!$A:$A,'[3]FILTROS 2'!$E:$E,"",0,1)</f>
        <v>VINILICA - GLOSI 3 AÑOS</v>
      </c>
      <c r="L122" s="30"/>
      <c r="O122">
        <f>_xlfn.XLOOKUP(A:A,[4]TD90D!$A:$A,[4]TD90D!$CW:$CW,"",0,1)</f>
        <v>2</v>
      </c>
      <c r="P122">
        <f>_xlfn.XLOOKUP(A:A,[4]TD90D!$A:$A,[4]TD90D!$CX:$CX,"",0,1)</f>
        <v>1</v>
      </c>
      <c r="Q122">
        <f>_xlfn.XLOOKUP(A:A,[4]TD90D!$A:$A,[4]TD90D!$DA:$DA,"",0,1)</f>
        <v>0</v>
      </c>
      <c r="R122" s="31">
        <f t="shared" si="9"/>
        <v>0.5</v>
      </c>
      <c r="S122">
        <f>_xlfn.XLOOKUP(A:A,'[4]TD90D PZAS'!$A:$A,'[4]TD90D PZAS'!$CW:$CW,"",0,1)</f>
        <v>0</v>
      </c>
      <c r="T122">
        <f>_xlfn.XLOOKUP(A:A,'[4]TD90D PZAS'!$A:$A,'[4]TD90D PZAS'!$CX:$CX,"",0,1)</f>
        <v>0</v>
      </c>
      <c r="U122">
        <f>_xlfn.XLOOKUP(A:A,'[4]TD90D PZAS'!$A:$A,'[4]TD90D PZAS'!$DA:$DA,"",0,1)</f>
        <v>0</v>
      </c>
    </row>
    <row r="123" spans="1:21" x14ac:dyDescent="0.35">
      <c r="A123" t="s">
        <v>240</v>
      </c>
      <c r="B123" t="str">
        <f>_xlfn.XLOOKUP(A:A,[1]Hoja1!$C:$C,[1]Hoja1!$D:$D,"",0,1)</f>
        <v>CUNA CHICA SIN MANGO P/RESANAR</v>
      </c>
      <c r="C123" s="8">
        <v>2</v>
      </c>
      <c r="D123" s="11">
        <f>_xlfn.XLOOKUP(A:A,[2]Hoja1!$C:$C,[2]Hoja1!$H:$H,"",0,1)</f>
        <v>10.34</v>
      </c>
      <c r="E123" s="11">
        <f>_xlfn.XLOOKUP(A:A,[1]Hoja1!$C:$C,[1]Hoja1!$H:$H,"",0,1)</f>
        <v>6.03</v>
      </c>
      <c r="F123" s="14">
        <f>_xlfn.XLOOKUP(A:A,TD!A:A,TD!EC:EC,"",0,1)</f>
        <v>50</v>
      </c>
      <c r="G123" s="15">
        <f t="shared" si="6"/>
        <v>50</v>
      </c>
      <c r="H123" s="16">
        <f t="shared" si="7"/>
        <v>31.02</v>
      </c>
      <c r="I123" s="16">
        <f t="shared" si="8"/>
        <v>18.09</v>
      </c>
      <c r="J123" s="27">
        <v>9184</v>
      </c>
      <c r="K123" t="str">
        <f>_xlfn.XLOOKUP(J:J,'[3]FILTROS 2'!$A:$A,'[3]FILTROS 2'!$E:$E,"",0,1)</f>
        <v>ACCESORIOS PARA PREPARACION DE</v>
      </c>
      <c r="L123" s="30"/>
      <c r="O123">
        <f>_xlfn.XLOOKUP(A:A,[4]TD90D!$A:$A,[4]TD90D!$CW:$CW,"",0,1)</f>
        <v>2</v>
      </c>
      <c r="P123">
        <f>_xlfn.XLOOKUP(A:A,[4]TD90D!$A:$A,[4]TD90D!$CX:$CX,"",0,1)</f>
        <v>1</v>
      </c>
      <c r="Q123">
        <f>_xlfn.XLOOKUP(A:A,[4]TD90D!$A:$A,[4]TD90D!$DA:$DA,"",0,1)</f>
        <v>0</v>
      </c>
      <c r="R123" s="31">
        <f t="shared" si="9"/>
        <v>0.5</v>
      </c>
      <c r="S123">
        <f>_xlfn.XLOOKUP(A:A,'[4]TD90D PZAS'!$A:$A,'[4]TD90D PZAS'!$CW:$CW,"",0,1)</f>
        <v>100</v>
      </c>
      <c r="T123">
        <f>_xlfn.XLOOKUP(A:A,'[4]TD90D PZAS'!$A:$A,'[4]TD90D PZAS'!$CX:$CX,"",0,1)</f>
        <v>1</v>
      </c>
      <c r="U123">
        <f>_xlfn.XLOOKUP(A:A,'[4]TD90D PZAS'!$A:$A,'[4]TD90D PZAS'!$DA:$DA,"",0,1)</f>
        <v>0</v>
      </c>
    </row>
    <row r="124" spans="1:21" x14ac:dyDescent="0.35">
      <c r="A124" t="s">
        <v>377</v>
      </c>
      <c r="B124" t="str">
        <f>_xlfn.XLOOKUP(A:A,[1]Hoja1!$C:$C,[1]Hoja1!$D:$D,"",0,1)</f>
        <v>BRILLON ALUMINIO</v>
      </c>
      <c r="C124" s="8">
        <v>2</v>
      </c>
      <c r="D124" s="11">
        <f>_xlfn.XLOOKUP(A:A,[2]Hoja1!$C:$C,[2]Hoja1!$H:$H,"",0,1)</f>
        <v>58.62</v>
      </c>
      <c r="E124" s="11">
        <f>_xlfn.XLOOKUP(A:A,[1]Hoja1!$C:$C,[1]Hoja1!$H:$H,"",0,1)</f>
        <v>43.97</v>
      </c>
      <c r="F124" s="14">
        <f>_xlfn.XLOOKUP(A:A,TD!A:A,TD!EC:EC,"",0,1)</f>
        <v>6</v>
      </c>
      <c r="G124" s="15">
        <f t="shared" si="6"/>
        <v>6</v>
      </c>
      <c r="H124" s="16">
        <f t="shared" si="7"/>
        <v>175.85999999999999</v>
      </c>
      <c r="I124" s="16">
        <f t="shared" si="8"/>
        <v>131.91</v>
      </c>
      <c r="J124" s="27">
        <v>28106</v>
      </c>
      <c r="K124" t="str">
        <f>_xlfn.XLOOKUP(J:J,'[3]FILTROS 2'!$A:$A,'[3]FILTROS 2'!$E:$E,"",0,1)</f>
        <v>ESMALTE - BRILLON</v>
      </c>
      <c r="L124" s="30"/>
      <c r="O124" t="str">
        <f>_xlfn.XLOOKUP(A:A,[4]TD90D!$A:$A,[4]TD90D!$CW:$CW,"",0,1)</f>
        <v/>
      </c>
      <c r="P124" t="str">
        <f>_xlfn.XLOOKUP(A:A,[4]TD90D!$A:$A,[4]TD90D!$CX:$CX,"",0,1)</f>
        <v/>
      </c>
      <c r="Q124" t="str">
        <f>_xlfn.XLOOKUP(A:A,[4]TD90D!$A:$A,[4]TD90D!$DA:$DA,"",0,1)</f>
        <v/>
      </c>
      <c r="R124" s="31" t="e">
        <f t="shared" si="9"/>
        <v>#VALUE!</v>
      </c>
      <c r="S124" t="str">
        <f>_xlfn.XLOOKUP(A:A,'[4]TD90D PZAS'!$A:$A,'[4]TD90D PZAS'!$CW:$CW,"",0,1)</f>
        <v/>
      </c>
      <c r="T124" t="str">
        <f>_xlfn.XLOOKUP(A:A,'[4]TD90D PZAS'!$A:$A,'[4]TD90D PZAS'!$CX:$CX,"",0,1)</f>
        <v/>
      </c>
      <c r="U124" t="str">
        <f>_xlfn.XLOOKUP(A:A,'[4]TD90D PZAS'!$A:$A,'[4]TD90D PZAS'!$DA:$DA,"",0,1)</f>
        <v/>
      </c>
    </row>
    <row r="125" spans="1:21" x14ac:dyDescent="0.35">
      <c r="A125" t="s">
        <v>160</v>
      </c>
      <c r="B125" t="str">
        <f>_xlfn.XLOOKUP(A:A,[1]Hoja1!$C:$C,[1]Hoja1!$D:$D,"",0,1)</f>
        <v>SINSALITRE</v>
      </c>
      <c r="C125" s="8">
        <v>2</v>
      </c>
      <c r="D125" s="11">
        <f>_xlfn.XLOOKUP(A:A,[2]Hoja1!$C:$C,[2]Hoja1!$H:$H,"",0,1)</f>
        <v>50</v>
      </c>
      <c r="E125" s="11">
        <f>_xlfn.XLOOKUP(A:A,[1]Hoja1!$C:$C,[1]Hoja1!$H:$H,"",0,1)</f>
        <v>36.21</v>
      </c>
      <c r="F125" s="14">
        <f>_xlfn.XLOOKUP(A:A,TD!A:A,TD!EC:EC,"",0,1)</f>
        <v>0</v>
      </c>
      <c r="G125" s="15">
        <f t="shared" si="6"/>
        <v>0</v>
      </c>
      <c r="H125" s="16">
        <f t="shared" si="7"/>
        <v>150</v>
      </c>
      <c r="I125" s="16">
        <f t="shared" si="8"/>
        <v>108.63</v>
      </c>
      <c r="J125" s="27">
        <v>9913</v>
      </c>
      <c r="K125" t="str">
        <f>_xlfn.XLOOKUP(J:J,'[3]FILTROS 2'!$A:$A,'[3]FILTROS 2'!$E:$E,"",0,1)</f>
        <v>ANTISALITRE</v>
      </c>
      <c r="L125" s="30"/>
      <c r="O125">
        <f>_xlfn.XLOOKUP(A:A,[4]TD90D!$A:$A,[4]TD90D!$CW:$CW,"",0,1)</f>
        <v>2</v>
      </c>
      <c r="P125">
        <f>_xlfn.XLOOKUP(A:A,[4]TD90D!$A:$A,[4]TD90D!$CX:$CX,"",0,1)</f>
        <v>1</v>
      </c>
      <c r="Q125">
        <f>_xlfn.XLOOKUP(A:A,[4]TD90D!$A:$A,[4]TD90D!$DA:$DA,"",0,1)</f>
        <v>0</v>
      </c>
      <c r="R125" s="31">
        <f t="shared" si="9"/>
        <v>0.5</v>
      </c>
      <c r="S125">
        <f>_xlfn.XLOOKUP(A:A,'[4]TD90D PZAS'!$A:$A,'[4]TD90D PZAS'!$CW:$CW,"",0,1)</f>
        <v>0</v>
      </c>
      <c r="T125">
        <f>_xlfn.XLOOKUP(A:A,'[4]TD90D PZAS'!$A:$A,'[4]TD90D PZAS'!$CX:$CX,"",0,1)</f>
        <v>0</v>
      </c>
      <c r="U125">
        <f>_xlfn.XLOOKUP(A:A,'[4]TD90D PZAS'!$A:$A,'[4]TD90D PZAS'!$DA:$DA,"",0,1)</f>
        <v>0</v>
      </c>
    </row>
    <row r="126" spans="1:21" x14ac:dyDescent="0.35">
      <c r="A126" t="s">
        <v>398</v>
      </c>
      <c r="B126" t="str">
        <f>_xlfn.XLOOKUP(A:A,[1]Hoja1!$C:$C,[1]Hoja1!$D:$D,"",0,1)</f>
        <v>VINILICA GLOSI ROJO 5A</v>
      </c>
      <c r="C126" s="8">
        <v>2</v>
      </c>
      <c r="D126" s="11">
        <f>_xlfn.XLOOKUP(A:A,[2]Hoja1!$C:$C,[2]Hoja1!$H:$H,"",0,1)</f>
        <v>107.76</v>
      </c>
      <c r="E126" s="11">
        <f>_xlfn.XLOOKUP(A:A,[1]Hoja1!$C:$C,[1]Hoja1!$H:$H,"",0,1)</f>
        <v>78.45</v>
      </c>
      <c r="F126" s="14">
        <f>_xlfn.XLOOKUP(A:A,TD!A:A,TD!EC:EC,"",0,1)</f>
        <v>0</v>
      </c>
      <c r="G126" s="15">
        <f t="shared" si="6"/>
        <v>0</v>
      </c>
      <c r="H126" s="16">
        <f t="shared" si="7"/>
        <v>323.28000000000003</v>
      </c>
      <c r="I126" s="16">
        <f t="shared" si="8"/>
        <v>235.35000000000002</v>
      </c>
      <c r="J126" s="27" t="s">
        <v>398</v>
      </c>
      <c r="K126" t="str">
        <f>_xlfn.XLOOKUP(J:J,'[3]FILTROS 2'!$A:$A,'[3]FILTROS 2'!$E:$E,"",0,1)</f>
        <v>VINILICA - GLOSI 5 AÑOS</v>
      </c>
      <c r="L126" s="30"/>
      <c r="O126">
        <f>_xlfn.XLOOKUP(A:A,[4]TD90D!$A:$A,[4]TD90D!$CW:$CW,"",0,1)</f>
        <v>2</v>
      </c>
      <c r="P126">
        <f>_xlfn.XLOOKUP(A:A,[4]TD90D!$A:$A,[4]TD90D!$CX:$CX,"",0,1)</f>
        <v>1</v>
      </c>
      <c r="Q126">
        <f>_xlfn.XLOOKUP(A:A,[4]TD90D!$A:$A,[4]TD90D!$DA:$DA,"",0,1)</f>
        <v>0</v>
      </c>
      <c r="R126" s="31">
        <f t="shared" si="9"/>
        <v>0.5</v>
      </c>
      <c r="S126">
        <f>_xlfn.XLOOKUP(A:A,'[4]TD90D PZAS'!$A:$A,'[4]TD90D PZAS'!$CW:$CW,"",0,1)</f>
        <v>0</v>
      </c>
      <c r="T126">
        <f>_xlfn.XLOOKUP(A:A,'[4]TD90D PZAS'!$A:$A,'[4]TD90D PZAS'!$CX:$CX,"",0,1)</f>
        <v>0</v>
      </c>
      <c r="U126">
        <f>_xlfn.XLOOKUP(A:A,'[4]TD90D PZAS'!$A:$A,'[4]TD90D PZAS'!$DA:$DA,"",0,1)</f>
        <v>0</v>
      </c>
    </row>
    <row r="127" spans="1:21" x14ac:dyDescent="0.35">
      <c r="A127" t="s">
        <v>154</v>
      </c>
      <c r="B127" t="str">
        <f>_xlfn.XLOOKUP(A:A,[1]Hoja1!$C:$C,[1]Hoja1!$D:$D,"",0,1)</f>
        <v>AEROSOL AZUL OBSCURO</v>
      </c>
      <c r="C127" s="8">
        <v>2</v>
      </c>
      <c r="D127" s="11">
        <f>_xlfn.XLOOKUP(A:A,[2]Hoja1!$C:$C,[2]Hoja1!$H:$H,"",0,1)</f>
        <v>55.17</v>
      </c>
      <c r="E127" s="11">
        <f>_xlfn.XLOOKUP(A:A,[1]Hoja1!$C:$C,[1]Hoja1!$H:$H,"",0,1)</f>
        <v>41.38</v>
      </c>
      <c r="F127" s="14">
        <f>_xlfn.XLOOKUP(A:A,TD!A:A,TD!EC:EC,"",0,1)</f>
        <v>0</v>
      </c>
      <c r="G127" s="15">
        <f t="shared" si="6"/>
        <v>0</v>
      </c>
      <c r="H127" s="16">
        <f t="shared" si="7"/>
        <v>165.51</v>
      </c>
      <c r="I127" s="16">
        <f t="shared" si="8"/>
        <v>124.14000000000001</v>
      </c>
      <c r="J127" s="27">
        <v>2366</v>
      </c>
      <c r="K127" t="str">
        <f>_xlfn.XLOOKUP(J:J,'[3]FILTROS 2'!$A:$A,'[3]FILTROS 2'!$E:$E,"",0,1)</f>
        <v>AEROSOLES PRISA</v>
      </c>
      <c r="L127" s="30"/>
      <c r="O127">
        <f>_xlfn.XLOOKUP(A:A,[4]TD90D!$A:$A,[4]TD90D!$CW:$CW,"",0,1)</f>
        <v>4</v>
      </c>
      <c r="P127">
        <f>_xlfn.XLOOKUP(A:A,[4]TD90D!$A:$A,[4]TD90D!$CX:$CX,"",0,1)</f>
        <v>2</v>
      </c>
      <c r="Q127">
        <f>_xlfn.XLOOKUP(A:A,[4]TD90D!$A:$A,[4]TD90D!$DA:$DA,"",0,1)</f>
        <v>0</v>
      </c>
      <c r="R127" s="31">
        <f t="shared" si="9"/>
        <v>1</v>
      </c>
      <c r="S127">
        <f>_xlfn.XLOOKUP(A:A,'[4]TD90D PZAS'!$A:$A,'[4]TD90D PZAS'!$CW:$CW,"",0,1)</f>
        <v>12</v>
      </c>
      <c r="T127">
        <f>_xlfn.XLOOKUP(A:A,'[4]TD90D PZAS'!$A:$A,'[4]TD90D PZAS'!$CX:$CX,"",0,1)</f>
        <v>1</v>
      </c>
      <c r="U127">
        <f>_xlfn.XLOOKUP(A:A,'[4]TD90D PZAS'!$A:$A,'[4]TD90D PZAS'!$DA:$DA,"",0,1)</f>
        <v>0</v>
      </c>
    </row>
    <row r="128" spans="1:21" x14ac:dyDescent="0.35">
      <c r="A128" t="s">
        <v>422</v>
      </c>
      <c r="B128" t="str">
        <f>_xlfn.XLOOKUP(A:A,[1]Hoja1!$C:$C,[1]Hoja1!$D:$D,"",0,1)</f>
        <v>THINNER ESTANDAR MULTIUSOS</v>
      </c>
      <c r="C128" s="8">
        <v>2</v>
      </c>
      <c r="D128" s="11">
        <f>_xlfn.XLOOKUP(A:A,[2]Hoja1!$C:$C,[2]Hoja1!$H:$H,"",0,1)</f>
        <v>1118.97</v>
      </c>
      <c r="E128" s="11">
        <f>_xlfn.XLOOKUP(A:A,[1]Hoja1!$C:$C,[1]Hoja1!$H:$H,"",0,1)</f>
        <v>1118.97</v>
      </c>
      <c r="F128" s="14">
        <f>_xlfn.XLOOKUP(A:A,TD!A:A,TD!EC:EC,"",0,1)</f>
        <v>1.5</v>
      </c>
      <c r="G128" s="15">
        <f t="shared" si="6"/>
        <v>1</v>
      </c>
      <c r="H128" s="16">
        <f t="shared" si="7"/>
        <v>3356.91</v>
      </c>
      <c r="I128" s="16">
        <f t="shared" si="8"/>
        <v>3356.91</v>
      </c>
      <c r="J128" s="27">
        <v>60361</v>
      </c>
      <c r="K128" t="str">
        <f>_xlfn.XLOOKUP(J:J,'[3]FILTROS 2'!$A:$A,'[3]FILTROS 2'!$E:$E,"",0,1)</f>
        <v>SOLVENTES INDUSTRIALES</v>
      </c>
      <c r="L128" s="30"/>
      <c r="O128" t="str">
        <f>_xlfn.XLOOKUP(A:A,[4]TD90D!$A:$A,[4]TD90D!$CW:$CW,"",0,1)</f>
        <v/>
      </c>
      <c r="P128" t="str">
        <f>_xlfn.XLOOKUP(A:A,[4]TD90D!$A:$A,[4]TD90D!$CX:$CX,"",0,1)</f>
        <v/>
      </c>
      <c r="Q128" t="str">
        <f>_xlfn.XLOOKUP(A:A,[4]TD90D!$A:$A,[4]TD90D!$DA:$DA,"",0,1)</f>
        <v/>
      </c>
      <c r="R128" s="31" t="e">
        <f t="shared" si="9"/>
        <v>#VALUE!</v>
      </c>
      <c r="S128" t="str">
        <f>_xlfn.XLOOKUP(A:A,'[4]TD90D PZAS'!$A:$A,'[4]TD90D PZAS'!$CW:$CW,"",0,1)</f>
        <v/>
      </c>
      <c r="T128" t="str">
        <f>_xlfn.XLOOKUP(A:A,'[4]TD90D PZAS'!$A:$A,'[4]TD90D PZAS'!$CX:$CX,"",0,1)</f>
        <v/>
      </c>
      <c r="U128" t="str">
        <f>_xlfn.XLOOKUP(A:A,'[4]TD90D PZAS'!$A:$A,'[4]TD90D PZAS'!$DA:$DA,"",0,1)</f>
        <v/>
      </c>
    </row>
    <row r="129" spans="1:21" x14ac:dyDescent="0.35">
      <c r="A129" t="s">
        <v>223</v>
      </c>
      <c r="B129" t="str">
        <f>_xlfn.XLOOKUP(A:A,[1]Hoja1!$C:$C,[1]Hoja1!$D:$D,"",0,1)</f>
        <v/>
      </c>
      <c r="C129" s="8">
        <v>2</v>
      </c>
      <c r="D129" s="11">
        <f>_xlfn.XLOOKUP(A:A,[2]Hoja1!$C:$C,[2]Hoja1!$H:$H,"",0,1)</f>
        <v>187.93</v>
      </c>
      <c r="E129" s="11" t="str">
        <f>_xlfn.XLOOKUP(A:A,[1]Hoja1!$C:$C,[1]Hoja1!$H:$H,"",0,1)</f>
        <v/>
      </c>
      <c r="F129" s="14">
        <f>_xlfn.XLOOKUP(A:A,TD!A:A,TD!EC:EC,"",0,1)</f>
        <v>6</v>
      </c>
      <c r="G129" s="15">
        <f t="shared" si="6"/>
        <v>6</v>
      </c>
      <c r="H129" s="16">
        <f t="shared" si="7"/>
        <v>563.79</v>
      </c>
      <c r="I129" s="16" t="e">
        <f t="shared" si="8"/>
        <v>#VALUE!</v>
      </c>
      <c r="J129" s="27">
        <v>22994</v>
      </c>
      <c r="K129" t="str">
        <f>_xlfn.XLOOKUP(J:J,'[3]FILTROS 2'!$A:$A,'[3]FILTROS 2'!$E:$E,"",0,1)</f>
        <v>ESMALTE - KITOX</v>
      </c>
      <c r="L129" s="30"/>
      <c r="O129">
        <f>_xlfn.XLOOKUP(A:A,[4]TD90D!$A:$A,[4]TD90D!$CW:$CW,"",0,1)</f>
        <v>2</v>
      </c>
      <c r="P129">
        <f>_xlfn.XLOOKUP(A:A,[4]TD90D!$A:$A,[4]TD90D!$CX:$CX,"",0,1)</f>
        <v>1</v>
      </c>
      <c r="Q129">
        <f>_xlfn.XLOOKUP(A:A,[4]TD90D!$A:$A,[4]TD90D!$DA:$DA,"",0,1)</f>
        <v>0</v>
      </c>
      <c r="R129" s="31">
        <f t="shared" si="9"/>
        <v>0.5</v>
      </c>
      <c r="S129">
        <f>_xlfn.XLOOKUP(A:A,'[4]TD90D PZAS'!$A:$A,'[4]TD90D PZAS'!$CW:$CW,"",0,1)</f>
        <v>12</v>
      </c>
      <c r="T129">
        <f>_xlfn.XLOOKUP(A:A,'[4]TD90D PZAS'!$A:$A,'[4]TD90D PZAS'!$CX:$CX,"",0,1)</f>
        <v>1</v>
      </c>
      <c r="U129">
        <f>_xlfn.XLOOKUP(A:A,'[4]TD90D PZAS'!$A:$A,'[4]TD90D PZAS'!$DA:$DA,"",0,1)</f>
        <v>0</v>
      </c>
    </row>
    <row r="130" spans="1:21" x14ac:dyDescent="0.35">
      <c r="A130" t="s">
        <v>149</v>
      </c>
      <c r="B130" t="str">
        <f>_xlfn.XLOOKUP(A:A,[1]Hoja1!$C:$C,[1]Hoja1!$D:$D,"",0,1)</f>
        <v>PULIMENTO ROJO MEDIANO TRIPOLI</v>
      </c>
      <c r="C130" s="8">
        <v>2</v>
      </c>
      <c r="D130" s="11">
        <f>_xlfn.XLOOKUP(A:A,[2]Hoja1!$C:$C,[2]Hoja1!$H:$H,"",0,1)</f>
        <v>3031.03</v>
      </c>
      <c r="E130" s="11">
        <f>_xlfn.XLOOKUP(A:A,[1]Hoja1!$C:$C,[1]Hoja1!$H:$H,"",0,1)</f>
        <v>2368.1</v>
      </c>
      <c r="F130" s="14">
        <f>_xlfn.XLOOKUP(A:A,TD!A:A,TD!EC:EC,"",0,1)</f>
        <v>0</v>
      </c>
      <c r="G130" s="15">
        <f t="shared" si="6"/>
        <v>0</v>
      </c>
      <c r="H130" s="16">
        <f t="shared" si="7"/>
        <v>9093.09</v>
      </c>
      <c r="I130" s="16">
        <f t="shared" si="8"/>
        <v>7104.2999999999993</v>
      </c>
      <c r="J130" s="27">
        <v>29591</v>
      </c>
      <c r="K130" t="str">
        <f>_xlfn.XLOOKUP(J:J,'[3]FILTROS 2'!$A:$A,'[3]FILTROS 2'!$E:$E,"",0,1)</f>
        <v>PULIMENTO</v>
      </c>
      <c r="L130" s="30"/>
      <c r="O130">
        <f>_xlfn.XLOOKUP(A:A,[4]TD90D!$A:$A,[4]TD90D!$CW:$CW,"",0,1)</f>
        <v>2</v>
      </c>
      <c r="P130">
        <f>_xlfn.XLOOKUP(A:A,[4]TD90D!$A:$A,[4]TD90D!$CX:$CX,"",0,1)</f>
        <v>1</v>
      </c>
      <c r="Q130">
        <f>_xlfn.XLOOKUP(A:A,[4]TD90D!$A:$A,[4]TD90D!$DA:$DA,"",0,1)</f>
        <v>0</v>
      </c>
      <c r="R130" s="31">
        <f t="shared" si="9"/>
        <v>0.5</v>
      </c>
      <c r="S130">
        <f>_xlfn.XLOOKUP(A:A,'[4]TD90D PZAS'!$A:$A,'[4]TD90D PZAS'!$CW:$CW,"",0,1)</f>
        <v>0</v>
      </c>
      <c r="T130">
        <f>_xlfn.XLOOKUP(A:A,'[4]TD90D PZAS'!$A:$A,'[4]TD90D PZAS'!$CX:$CX,"",0,1)</f>
        <v>0</v>
      </c>
      <c r="U130">
        <f>_xlfn.XLOOKUP(A:A,'[4]TD90D PZAS'!$A:$A,'[4]TD90D PZAS'!$DA:$DA,"",0,1)</f>
        <v>0</v>
      </c>
    </row>
    <row r="131" spans="1:21" x14ac:dyDescent="0.35">
      <c r="A131" t="s">
        <v>235</v>
      </c>
      <c r="B131" t="str">
        <f>_xlfn.XLOOKUP(A:A,[1]Hoja1!$C:$C,[1]Hoja1!$D:$D,"",0,1)</f>
        <v/>
      </c>
      <c r="C131" s="8">
        <v>2</v>
      </c>
      <c r="D131" s="11">
        <f>_xlfn.XLOOKUP(A:A,[2]Hoja1!$C:$C,[2]Hoja1!$H:$H,"",0,1)</f>
        <v>105.17</v>
      </c>
      <c r="E131" s="11" t="str">
        <f>_xlfn.XLOOKUP(A:A,[1]Hoja1!$C:$C,[1]Hoja1!$H:$H,"",0,1)</f>
        <v/>
      </c>
      <c r="F131" s="14">
        <f>_xlfn.XLOOKUP(A:A,TD!A:A,TD!EC:EC,"",0,1)</f>
        <v>6</v>
      </c>
      <c r="G131" s="15">
        <f t="shared" si="6"/>
        <v>6</v>
      </c>
      <c r="H131" s="16">
        <f t="shared" si="7"/>
        <v>315.51</v>
      </c>
      <c r="I131" s="16" t="e">
        <f t="shared" si="8"/>
        <v>#VALUE!</v>
      </c>
      <c r="J131" s="27">
        <v>22995</v>
      </c>
      <c r="K131" t="str">
        <f>_xlfn.XLOOKUP(J:J,'[3]FILTROS 2'!$A:$A,'[3]FILTROS 2'!$E:$E,"",0,1)</f>
        <v>ESMALTE - KITOX</v>
      </c>
      <c r="L131" s="30"/>
      <c r="O131">
        <f>_xlfn.XLOOKUP(A:A,[4]TD90D!$A:$A,[4]TD90D!$CW:$CW,"",0,1)</f>
        <v>2</v>
      </c>
      <c r="P131">
        <f>_xlfn.XLOOKUP(A:A,[4]TD90D!$A:$A,[4]TD90D!$CX:$CX,"",0,1)</f>
        <v>1</v>
      </c>
      <c r="Q131">
        <f>_xlfn.XLOOKUP(A:A,[4]TD90D!$A:$A,[4]TD90D!$DA:$DA,"",0,1)</f>
        <v>0</v>
      </c>
      <c r="R131" s="31">
        <f t="shared" si="9"/>
        <v>0.5</v>
      </c>
      <c r="S131">
        <f>_xlfn.XLOOKUP(A:A,'[4]TD90D PZAS'!$A:$A,'[4]TD90D PZAS'!$CW:$CW,"",0,1)</f>
        <v>12</v>
      </c>
      <c r="T131">
        <f>_xlfn.XLOOKUP(A:A,'[4]TD90D PZAS'!$A:$A,'[4]TD90D PZAS'!$CX:$CX,"",0,1)</f>
        <v>1</v>
      </c>
      <c r="U131">
        <f>_xlfn.XLOOKUP(A:A,'[4]TD90D PZAS'!$A:$A,'[4]TD90D PZAS'!$DA:$DA,"",0,1)</f>
        <v>0</v>
      </c>
    </row>
    <row r="132" spans="1:21" x14ac:dyDescent="0.35">
      <c r="A132" t="s">
        <v>220</v>
      </c>
      <c r="B132" t="str">
        <f>_xlfn.XLOOKUP(A:A,[1]Hoja1!$C:$C,[1]Hoja1!$D:$D,"",0,1)</f>
        <v/>
      </c>
      <c r="C132" s="8">
        <v>2</v>
      </c>
      <c r="D132" s="11">
        <f>_xlfn.XLOOKUP(A:A,[2]Hoja1!$C:$C,[2]Hoja1!$H:$H,"",0,1)</f>
        <v>671.55</v>
      </c>
      <c r="E132" s="11" t="str">
        <f>_xlfn.XLOOKUP(A:A,[1]Hoja1!$C:$C,[1]Hoja1!$H:$H,"",0,1)</f>
        <v/>
      </c>
      <c r="F132" s="14">
        <f>_xlfn.XLOOKUP(A:A,TD!A:A,TD!EC:EC,"",0,1)</f>
        <v>3</v>
      </c>
      <c r="G132" s="15">
        <f t="shared" si="6"/>
        <v>3</v>
      </c>
      <c r="H132" s="16">
        <f t="shared" si="7"/>
        <v>2014.6499999999999</v>
      </c>
      <c r="I132" s="16" t="e">
        <f t="shared" si="8"/>
        <v>#VALUE!</v>
      </c>
      <c r="J132" s="27">
        <v>22003</v>
      </c>
      <c r="K132" t="str">
        <f>_xlfn.XLOOKUP(J:J,'[3]FILTROS 2'!$A:$A,'[3]FILTROS 2'!$E:$E,"",0,1)</f>
        <v>ESMALTE - KITOX</v>
      </c>
      <c r="L132" s="30"/>
      <c r="O132">
        <f>_xlfn.XLOOKUP(A:A,[4]TD90D!$A:$A,[4]TD90D!$CW:$CW,"",0,1)</f>
        <v>2</v>
      </c>
      <c r="P132">
        <f>_xlfn.XLOOKUP(A:A,[4]TD90D!$A:$A,[4]TD90D!$CX:$CX,"",0,1)</f>
        <v>1</v>
      </c>
      <c r="Q132">
        <f>_xlfn.XLOOKUP(A:A,[4]TD90D!$A:$A,[4]TD90D!$DA:$DA,"",0,1)</f>
        <v>0</v>
      </c>
      <c r="R132" s="31">
        <f t="shared" si="9"/>
        <v>0.5</v>
      </c>
      <c r="S132">
        <f>_xlfn.XLOOKUP(A:A,'[4]TD90D PZAS'!$A:$A,'[4]TD90D PZAS'!$CW:$CW,"",0,1)</f>
        <v>6</v>
      </c>
      <c r="T132">
        <f>_xlfn.XLOOKUP(A:A,'[4]TD90D PZAS'!$A:$A,'[4]TD90D PZAS'!$CX:$CX,"",0,1)</f>
        <v>1</v>
      </c>
      <c r="U132">
        <f>_xlfn.XLOOKUP(A:A,'[4]TD90D PZAS'!$A:$A,'[4]TD90D PZAS'!$DA:$DA,"",0,1)</f>
        <v>0</v>
      </c>
    </row>
    <row r="133" spans="1:21" x14ac:dyDescent="0.35">
      <c r="A133" t="s">
        <v>318</v>
      </c>
      <c r="B133" t="str">
        <f>_xlfn.XLOOKUP(A:A,[1]Hoja1!$C:$C,[1]Hoja1!$D:$D,"",0,1)</f>
        <v>BARNIZ GLOSI ALQUI NOGAL</v>
      </c>
      <c r="C133" s="8">
        <v>2</v>
      </c>
      <c r="D133" s="11">
        <f>_xlfn.XLOOKUP(A:A,[2]Hoja1!$C:$C,[2]Hoja1!$H:$H,"",0,1)</f>
        <v>181.9</v>
      </c>
      <c r="E133" s="11">
        <f>_xlfn.XLOOKUP(A:A,[1]Hoja1!$C:$C,[1]Hoja1!$H:$H,"",0,1)</f>
        <v>145.69</v>
      </c>
      <c r="F133" s="14">
        <f>_xlfn.XLOOKUP(A:A,TD!A:A,TD!EC:EC,"",0,1)</f>
        <v>3</v>
      </c>
      <c r="G133" s="15">
        <f t="shared" si="6"/>
        <v>3</v>
      </c>
      <c r="H133" s="16">
        <f t="shared" si="7"/>
        <v>545.70000000000005</v>
      </c>
      <c r="I133" s="16">
        <f t="shared" si="8"/>
        <v>437.07</v>
      </c>
      <c r="J133" s="27" t="s">
        <v>318</v>
      </c>
      <c r="K133" t="str">
        <f>_xlfn.XLOOKUP(J:J,'[3]FILTROS 2'!$A:$A,'[3]FILTROS 2'!$E:$E,"",0,1)</f>
        <v>BARNIZ ALQUIDALICO GLOSI 3-1</v>
      </c>
      <c r="L133" s="30"/>
      <c r="O133" t="str">
        <f>_xlfn.XLOOKUP(A:A,[4]TD90D!$A:$A,[4]TD90D!$CW:$CW,"",0,1)</f>
        <v/>
      </c>
      <c r="P133" t="str">
        <f>_xlfn.XLOOKUP(A:A,[4]TD90D!$A:$A,[4]TD90D!$CX:$CX,"",0,1)</f>
        <v/>
      </c>
      <c r="Q133" t="str">
        <f>_xlfn.XLOOKUP(A:A,[4]TD90D!$A:$A,[4]TD90D!$DA:$DA,"",0,1)</f>
        <v/>
      </c>
      <c r="R133" s="31" t="e">
        <f t="shared" si="9"/>
        <v>#VALUE!</v>
      </c>
      <c r="S133" t="str">
        <f>_xlfn.XLOOKUP(A:A,'[4]TD90D PZAS'!$A:$A,'[4]TD90D PZAS'!$CW:$CW,"",0,1)</f>
        <v/>
      </c>
      <c r="T133" t="str">
        <f>_xlfn.XLOOKUP(A:A,'[4]TD90D PZAS'!$A:$A,'[4]TD90D PZAS'!$CX:$CX,"",0,1)</f>
        <v/>
      </c>
      <c r="U133" t="str">
        <f>_xlfn.XLOOKUP(A:A,'[4]TD90D PZAS'!$A:$A,'[4]TD90D PZAS'!$DA:$DA,"",0,1)</f>
        <v/>
      </c>
    </row>
    <row r="134" spans="1:21" x14ac:dyDescent="0.35">
      <c r="A134" t="s">
        <v>97</v>
      </c>
      <c r="B134" t="str">
        <f>_xlfn.XLOOKUP(A:A,[1]Hoja1!$C:$C,[1]Hoja1!$D:$D,"",0,1)</f>
        <v>BRILLON CANELA</v>
      </c>
      <c r="C134" s="8">
        <v>2</v>
      </c>
      <c r="D134" s="11">
        <f>_xlfn.XLOOKUP(A:A,[2]Hoja1!$C:$C,[2]Hoja1!$H:$H,"",0,1)</f>
        <v>90.52</v>
      </c>
      <c r="E134" s="11">
        <f>_xlfn.XLOOKUP(A:A,[1]Hoja1!$C:$C,[1]Hoja1!$H:$H,"",0,1)</f>
        <v>67.239999999999995</v>
      </c>
      <c r="F134" s="14">
        <f>_xlfn.XLOOKUP(A:A,TD!A:A,TD!EC:EC,"",0,1)</f>
        <v>5</v>
      </c>
      <c r="G134" s="15">
        <f t="shared" ref="G134:G197" si="10">INT(F134)</f>
        <v>5</v>
      </c>
      <c r="H134" s="16">
        <f t="shared" ref="H134:H197" si="11">D134*$G$5</f>
        <v>271.56</v>
      </c>
      <c r="I134" s="16">
        <f t="shared" ref="I134:I197" si="12">E134*$G$5</f>
        <v>201.71999999999997</v>
      </c>
      <c r="J134" s="27">
        <v>28575</v>
      </c>
      <c r="K134" t="str">
        <f>_xlfn.XLOOKUP(J:J,'[3]FILTROS 2'!$A:$A,'[3]FILTROS 2'!$E:$E,"",0,1)</f>
        <v>ESMALTE - BRILLON</v>
      </c>
      <c r="L134" s="30"/>
      <c r="O134" t="str">
        <f>_xlfn.XLOOKUP(A:A,[4]TD90D!$A:$A,[4]TD90D!$CW:$CW,"",0,1)</f>
        <v/>
      </c>
      <c r="P134" t="str">
        <f>_xlfn.XLOOKUP(A:A,[4]TD90D!$A:$A,[4]TD90D!$CX:$CX,"",0,1)</f>
        <v/>
      </c>
      <c r="Q134" t="str">
        <f>_xlfn.XLOOKUP(A:A,[4]TD90D!$A:$A,[4]TD90D!$DA:$DA,"",0,1)</f>
        <v/>
      </c>
      <c r="R134" s="31" t="e">
        <f t="shared" ref="R134:R197" si="13">P134/C134</f>
        <v>#VALUE!</v>
      </c>
      <c r="S134" t="str">
        <f>_xlfn.XLOOKUP(A:A,'[4]TD90D PZAS'!$A:$A,'[4]TD90D PZAS'!$CW:$CW,"",0,1)</f>
        <v/>
      </c>
      <c r="T134" t="str">
        <f>_xlfn.XLOOKUP(A:A,'[4]TD90D PZAS'!$A:$A,'[4]TD90D PZAS'!$CX:$CX,"",0,1)</f>
        <v/>
      </c>
      <c r="U134" t="str">
        <f>_xlfn.XLOOKUP(A:A,'[4]TD90D PZAS'!$A:$A,'[4]TD90D PZAS'!$DA:$DA,"",0,1)</f>
        <v/>
      </c>
    </row>
    <row r="135" spans="1:21" x14ac:dyDescent="0.35">
      <c r="A135" t="s">
        <v>75</v>
      </c>
      <c r="B135" t="str">
        <f>_xlfn.XLOOKUP(A:A,[1]Hoja1!$C:$C,[1]Hoja1!$D:$D,"",0,1)</f>
        <v>RELLENADOR AUTOMOTRIZ</v>
      </c>
      <c r="C135" s="8">
        <v>2</v>
      </c>
      <c r="D135" s="11">
        <f>_xlfn.XLOOKUP(A:A,[2]Hoja1!$C:$C,[2]Hoja1!$H:$H,"",0,1)</f>
        <v>137.07</v>
      </c>
      <c r="E135" s="11">
        <f>_xlfn.XLOOKUP(A:A,[1]Hoja1!$C:$C,[1]Hoja1!$H:$H,"",0,1)</f>
        <v>103.45</v>
      </c>
      <c r="F135" s="14">
        <f>_xlfn.XLOOKUP(A:A,TD!A:A,TD!EC:EC,"",0,1)</f>
        <v>9</v>
      </c>
      <c r="G135" s="15">
        <f t="shared" si="10"/>
        <v>9</v>
      </c>
      <c r="H135" s="16">
        <f t="shared" si="11"/>
        <v>411.21</v>
      </c>
      <c r="I135" s="16">
        <f t="shared" si="12"/>
        <v>310.35000000000002</v>
      </c>
      <c r="J135" s="27">
        <v>29004</v>
      </c>
      <c r="K135" t="str">
        <f>_xlfn.XLOOKUP(J:J,'[3]FILTROS 2'!$A:$A,'[3]FILTROS 2'!$E:$E,"",0,1)</f>
        <v>PASTA RELLENADORA</v>
      </c>
      <c r="L135" s="30"/>
      <c r="O135">
        <f>_xlfn.XLOOKUP(A:A,[4]TD90D!$A:$A,[4]TD90D!$CW:$CW,"",0,1)</f>
        <v>2</v>
      </c>
      <c r="P135">
        <f>_xlfn.XLOOKUP(A:A,[4]TD90D!$A:$A,[4]TD90D!$CX:$CX,"",0,1)</f>
        <v>1</v>
      </c>
      <c r="Q135">
        <f>_xlfn.XLOOKUP(A:A,[4]TD90D!$A:$A,[4]TD90D!$DA:$DA,"",0,1)</f>
        <v>0</v>
      </c>
      <c r="R135" s="31">
        <f t="shared" si="13"/>
        <v>0.5</v>
      </c>
      <c r="S135">
        <f>_xlfn.XLOOKUP(A:A,'[4]TD90D PZAS'!$A:$A,'[4]TD90D PZAS'!$CW:$CW,"",0,1)</f>
        <v>42</v>
      </c>
      <c r="T135">
        <f>_xlfn.XLOOKUP(A:A,'[4]TD90D PZAS'!$A:$A,'[4]TD90D PZAS'!$CX:$CX,"",0,1)</f>
        <v>1</v>
      </c>
      <c r="U135">
        <f>_xlfn.XLOOKUP(A:A,'[4]TD90D PZAS'!$A:$A,'[4]TD90D PZAS'!$DA:$DA,"",0,1)</f>
        <v>0</v>
      </c>
    </row>
    <row r="136" spans="1:21" x14ac:dyDescent="0.35">
      <c r="A136" t="s">
        <v>300</v>
      </c>
      <c r="B136" t="str">
        <f>_xlfn.XLOOKUP(A:A,[1]Hoja1!$C:$C,[1]Hoja1!$D:$D,"",0,1)</f>
        <v/>
      </c>
      <c r="C136" s="8">
        <v>2</v>
      </c>
      <c r="D136" s="11">
        <f>_xlfn.XLOOKUP(A:A,[2]Hoja1!$C:$C,[2]Hoja1!$H:$H,"",0,1)</f>
        <v>105.17</v>
      </c>
      <c r="E136" s="11" t="str">
        <f>_xlfn.XLOOKUP(A:A,[1]Hoja1!$C:$C,[1]Hoja1!$H:$H,"",0,1)</f>
        <v/>
      </c>
      <c r="F136" s="14">
        <f>_xlfn.XLOOKUP(A:A,TD!A:A,TD!EC:EC,"",0,1)</f>
        <v>9</v>
      </c>
      <c r="G136" s="15">
        <f t="shared" si="10"/>
        <v>9</v>
      </c>
      <c r="H136" s="16">
        <f t="shared" si="11"/>
        <v>315.51</v>
      </c>
      <c r="I136" s="16" t="e">
        <f t="shared" si="12"/>
        <v>#VALUE!</v>
      </c>
      <c r="J136" s="27">
        <v>22005</v>
      </c>
      <c r="K136" t="str">
        <f>_xlfn.XLOOKUP(J:J,'[3]FILTROS 2'!$A:$A,'[3]FILTROS 2'!$E:$E,"",0,1)</f>
        <v>ESMALTE - KITOX</v>
      </c>
      <c r="L136" s="30"/>
      <c r="O136" t="str">
        <f>_xlfn.XLOOKUP(A:A,[4]TD90D!$A:$A,[4]TD90D!$CW:$CW,"",0,1)</f>
        <v/>
      </c>
      <c r="P136" t="str">
        <f>_xlfn.XLOOKUP(A:A,[4]TD90D!$A:$A,[4]TD90D!$CX:$CX,"",0,1)</f>
        <v/>
      </c>
      <c r="Q136" t="str">
        <f>_xlfn.XLOOKUP(A:A,[4]TD90D!$A:$A,[4]TD90D!$DA:$DA,"",0,1)</f>
        <v/>
      </c>
      <c r="R136" s="31" t="e">
        <f t="shared" si="13"/>
        <v>#VALUE!</v>
      </c>
      <c r="S136" t="str">
        <f>_xlfn.XLOOKUP(A:A,'[4]TD90D PZAS'!$A:$A,'[4]TD90D PZAS'!$CW:$CW,"",0,1)</f>
        <v/>
      </c>
      <c r="T136" t="str">
        <f>_xlfn.XLOOKUP(A:A,'[4]TD90D PZAS'!$A:$A,'[4]TD90D PZAS'!$CX:$CX,"",0,1)</f>
        <v/>
      </c>
      <c r="U136" t="str">
        <f>_xlfn.XLOOKUP(A:A,'[4]TD90D PZAS'!$A:$A,'[4]TD90D PZAS'!$DA:$DA,"",0,1)</f>
        <v/>
      </c>
    </row>
    <row r="137" spans="1:21" x14ac:dyDescent="0.35">
      <c r="A137" t="s">
        <v>17</v>
      </c>
      <c r="B137" t="str">
        <f>_xlfn.XLOOKUP(A:A,[1]Hoja1!$C:$C,[1]Hoja1!$D:$D,"",0,1)</f>
        <v>AEROSOL ROSA</v>
      </c>
      <c r="C137" s="8">
        <v>2</v>
      </c>
      <c r="D137" s="11">
        <f>_xlfn.XLOOKUP(A:A,[2]Hoja1!$C:$C,[2]Hoja1!$H:$H,"",0,1)</f>
        <v>55.17</v>
      </c>
      <c r="E137" s="11">
        <f>_xlfn.XLOOKUP(A:A,[1]Hoja1!$C:$C,[1]Hoja1!$H:$H,"",0,1)</f>
        <v>41.38</v>
      </c>
      <c r="F137" s="14">
        <f>_xlfn.XLOOKUP(A:A,TD!A:A,TD!EC:EC,"",0,1)</f>
        <v>4.5</v>
      </c>
      <c r="G137" s="15">
        <f t="shared" si="10"/>
        <v>4</v>
      </c>
      <c r="H137" s="16">
        <f t="shared" si="11"/>
        <v>165.51</v>
      </c>
      <c r="I137" s="16">
        <f t="shared" si="12"/>
        <v>124.14000000000001</v>
      </c>
      <c r="J137" s="27">
        <v>2343</v>
      </c>
      <c r="K137" t="str">
        <f>_xlfn.XLOOKUP(J:J,'[3]FILTROS 2'!$A:$A,'[3]FILTROS 2'!$E:$E,"",0,1)</f>
        <v>AEROSOLES PRISA</v>
      </c>
      <c r="L137" s="30"/>
      <c r="O137">
        <f>_xlfn.XLOOKUP(A:A,[4]TD90D!$A:$A,[4]TD90D!$CW:$CW,"",0,1)</f>
        <v>2</v>
      </c>
      <c r="P137">
        <f>_xlfn.XLOOKUP(A:A,[4]TD90D!$A:$A,[4]TD90D!$CX:$CX,"",0,1)</f>
        <v>1</v>
      </c>
      <c r="Q137">
        <f>_xlfn.XLOOKUP(A:A,[4]TD90D!$A:$A,[4]TD90D!$DA:$DA,"",0,1)</f>
        <v>0</v>
      </c>
      <c r="R137" s="31">
        <f t="shared" si="13"/>
        <v>0.5</v>
      </c>
      <c r="S137">
        <f>_xlfn.XLOOKUP(A:A,'[4]TD90D PZAS'!$A:$A,'[4]TD90D PZAS'!$CW:$CW,"",0,1)</f>
        <v>12</v>
      </c>
      <c r="T137">
        <f>_xlfn.XLOOKUP(A:A,'[4]TD90D PZAS'!$A:$A,'[4]TD90D PZAS'!$CX:$CX,"",0,1)</f>
        <v>1</v>
      </c>
      <c r="U137">
        <f>_xlfn.XLOOKUP(A:A,'[4]TD90D PZAS'!$A:$A,'[4]TD90D PZAS'!$DA:$DA,"",0,1)</f>
        <v>0</v>
      </c>
    </row>
    <row r="138" spans="1:21" x14ac:dyDescent="0.35">
      <c r="A138" t="s">
        <v>267</v>
      </c>
      <c r="B138" t="str">
        <f>_xlfn.XLOOKUP(A:A,[1]Hoja1!$C:$C,[1]Hoja1!$D:$D,"",0,1)</f>
        <v>VINILICA GLOSI PAJA 3A</v>
      </c>
      <c r="C138" s="8">
        <v>2</v>
      </c>
      <c r="D138" s="11">
        <f>_xlfn.XLOOKUP(A:A,[2]Hoja1!$C:$C,[2]Hoja1!$H:$H,"",0,1)</f>
        <v>874.14</v>
      </c>
      <c r="E138" s="11">
        <f>_xlfn.XLOOKUP(A:A,[1]Hoja1!$C:$C,[1]Hoja1!$H:$H,"",0,1)</f>
        <v>656.9</v>
      </c>
      <c r="F138" s="14">
        <f>_xlfn.XLOOKUP(A:A,TD!A:A,TD!EC:EC,"",0,1)</f>
        <v>0</v>
      </c>
      <c r="G138" s="15">
        <f t="shared" si="10"/>
        <v>0</v>
      </c>
      <c r="H138" s="16">
        <f t="shared" si="11"/>
        <v>2622.42</v>
      </c>
      <c r="I138" s="16">
        <f t="shared" si="12"/>
        <v>1970.6999999999998</v>
      </c>
      <c r="J138" s="27" t="s">
        <v>267</v>
      </c>
      <c r="K138" t="str">
        <f>_xlfn.XLOOKUP(J:J,'[3]FILTROS 2'!$A:$A,'[3]FILTROS 2'!$E:$E,"",0,1)</f>
        <v>VINILICA - GLOSI 3 AÑOS</v>
      </c>
      <c r="L138" s="30"/>
      <c r="O138">
        <f>_xlfn.XLOOKUP(A:A,[4]TD90D!$A:$A,[4]TD90D!$CW:$CW,"",0,1)</f>
        <v>2</v>
      </c>
      <c r="P138">
        <f>_xlfn.XLOOKUP(A:A,[4]TD90D!$A:$A,[4]TD90D!$CX:$CX,"",0,1)</f>
        <v>1</v>
      </c>
      <c r="Q138">
        <f>_xlfn.XLOOKUP(A:A,[4]TD90D!$A:$A,[4]TD90D!$DA:$DA,"",0,1)</f>
        <v>0</v>
      </c>
      <c r="R138" s="31">
        <f t="shared" si="13"/>
        <v>0.5</v>
      </c>
      <c r="S138">
        <f>_xlfn.XLOOKUP(A:A,'[4]TD90D PZAS'!$A:$A,'[4]TD90D PZAS'!$CW:$CW,"",0,1)</f>
        <v>0</v>
      </c>
      <c r="T138">
        <f>_xlfn.XLOOKUP(A:A,'[4]TD90D PZAS'!$A:$A,'[4]TD90D PZAS'!$CX:$CX,"",0,1)</f>
        <v>0</v>
      </c>
      <c r="U138">
        <f>_xlfn.XLOOKUP(A:A,'[4]TD90D PZAS'!$A:$A,'[4]TD90D PZAS'!$DA:$DA,"",0,1)</f>
        <v>0</v>
      </c>
    </row>
    <row r="139" spans="1:21" x14ac:dyDescent="0.35">
      <c r="A139" t="s">
        <v>158</v>
      </c>
      <c r="B139" t="str">
        <f>_xlfn.XLOOKUP(A:A,[1]Hoja1!$C:$C,[1]Hoja1!$D:$D,"",0,1)</f>
        <v>AEROSOL PRIMARIO GRIS</v>
      </c>
      <c r="C139" s="8">
        <v>2</v>
      </c>
      <c r="D139" s="11">
        <f>_xlfn.XLOOKUP(A:A,[2]Hoja1!$C:$C,[2]Hoja1!$H:$H,"",0,1)</f>
        <v>55.17</v>
      </c>
      <c r="E139" s="11">
        <f>_xlfn.XLOOKUP(A:A,[1]Hoja1!$C:$C,[1]Hoja1!$H:$H,"",0,1)</f>
        <v>41.38</v>
      </c>
      <c r="F139" s="14">
        <f>_xlfn.XLOOKUP(A:A,TD!A:A,TD!EC:EC,"",0,1)</f>
        <v>0</v>
      </c>
      <c r="G139" s="15">
        <f t="shared" si="10"/>
        <v>0</v>
      </c>
      <c r="H139" s="16">
        <f t="shared" si="11"/>
        <v>165.51</v>
      </c>
      <c r="I139" s="16">
        <f t="shared" si="12"/>
        <v>124.14000000000001</v>
      </c>
      <c r="J139" s="27">
        <v>2381</v>
      </c>
      <c r="K139" t="str">
        <f>_xlfn.XLOOKUP(J:J,'[3]FILTROS 2'!$A:$A,'[3]FILTROS 2'!$E:$E,"",0,1)</f>
        <v>AEROSOLES PRISA</v>
      </c>
      <c r="L139" s="30"/>
      <c r="O139">
        <f>_xlfn.XLOOKUP(A:A,[4]TD90D!$A:$A,[4]TD90D!$CW:$CW,"",0,1)</f>
        <v>3</v>
      </c>
      <c r="P139">
        <f>_xlfn.XLOOKUP(A:A,[4]TD90D!$A:$A,[4]TD90D!$CX:$CX,"",0,1)</f>
        <v>1</v>
      </c>
      <c r="Q139">
        <f>_xlfn.XLOOKUP(A:A,[4]TD90D!$A:$A,[4]TD90D!$DA:$DA,"",0,1)</f>
        <v>0</v>
      </c>
      <c r="R139" s="31">
        <f t="shared" si="13"/>
        <v>0.5</v>
      </c>
      <c r="S139">
        <f>_xlfn.XLOOKUP(A:A,'[4]TD90D PZAS'!$A:$A,'[4]TD90D PZAS'!$CW:$CW,"",0,1)</f>
        <v>12</v>
      </c>
      <c r="T139">
        <f>_xlfn.XLOOKUP(A:A,'[4]TD90D PZAS'!$A:$A,'[4]TD90D PZAS'!$CX:$CX,"",0,1)</f>
        <v>1</v>
      </c>
      <c r="U139">
        <f>_xlfn.XLOOKUP(A:A,'[4]TD90D PZAS'!$A:$A,'[4]TD90D PZAS'!$DA:$DA,"",0,1)</f>
        <v>0</v>
      </c>
    </row>
    <row r="140" spans="1:21" x14ac:dyDescent="0.35">
      <c r="A140" t="s">
        <v>268</v>
      </c>
      <c r="B140" t="str">
        <f>_xlfn.XLOOKUP(A:A,[1]Hoja1!$C:$C,[1]Hoja1!$D:$D,"",0,1)</f>
        <v>VINILICA GLOSI CANTALUP 3A</v>
      </c>
      <c r="C140" s="8">
        <v>2</v>
      </c>
      <c r="D140" s="11">
        <f>_xlfn.XLOOKUP(A:A,[2]Hoja1!$C:$C,[2]Hoja1!$H:$H,"",0,1)</f>
        <v>874.14</v>
      </c>
      <c r="E140" s="11">
        <f>_xlfn.XLOOKUP(A:A,[1]Hoja1!$C:$C,[1]Hoja1!$H:$H,"",0,1)</f>
        <v>656.9</v>
      </c>
      <c r="F140" s="14">
        <f>_xlfn.XLOOKUP(A:A,TD!A:A,TD!EC:EC,"",0,1)</f>
        <v>0</v>
      </c>
      <c r="G140" s="15">
        <f t="shared" si="10"/>
        <v>0</v>
      </c>
      <c r="H140" s="16">
        <f t="shared" si="11"/>
        <v>2622.42</v>
      </c>
      <c r="I140" s="16">
        <f t="shared" si="12"/>
        <v>1970.6999999999998</v>
      </c>
      <c r="J140" s="27" t="s">
        <v>268</v>
      </c>
      <c r="K140" t="str">
        <f>_xlfn.XLOOKUP(J:J,'[3]FILTROS 2'!$A:$A,'[3]FILTROS 2'!$E:$E,"",0,1)</f>
        <v>VINILICA - GLOSI 3 AÑOS</v>
      </c>
      <c r="L140" s="30"/>
      <c r="O140">
        <f>_xlfn.XLOOKUP(A:A,[4]TD90D!$A:$A,[4]TD90D!$CW:$CW,"",0,1)</f>
        <v>2</v>
      </c>
      <c r="P140">
        <f>_xlfn.XLOOKUP(A:A,[4]TD90D!$A:$A,[4]TD90D!$CX:$CX,"",0,1)</f>
        <v>1</v>
      </c>
      <c r="Q140">
        <f>_xlfn.XLOOKUP(A:A,[4]TD90D!$A:$A,[4]TD90D!$DA:$DA,"",0,1)</f>
        <v>0</v>
      </c>
      <c r="R140" s="31">
        <f t="shared" si="13"/>
        <v>0.5</v>
      </c>
      <c r="S140">
        <f>_xlfn.XLOOKUP(A:A,'[4]TD90D PZAS'!$A:$A,'[4]TD90D PZAS'!$CW:$CW,"",0,1)</f>
        <v>0</v>
      </c>
      <c r="T140">
        <f>_xlfn.XLOOKUP(A:A,'[4]TD90D PZAS'!$A:$A,'[4]TD90D PZAS'!$CX:$CX,"",0,1)</f>
        <v>0</v>
      </c>
      <c r="U140">
        <f>_xlfn.XLOOKUP(A:A,'[4]TD90D PZAS'!$A:$A,'[4]TD90D PZAS'!$DA:$DA,"",0,1)</f>
        <v>0</v>
      </c>
    </row>
    <row r="141" spans="1:21" x14ac:dyDescent="0.35">
      <c r="A141" t="s">
        <v>19</v>
      </c>
      <c r="B141" t="str">
        <f>_xlfn.XLOOKUP(A:A,[1]Hoja1!$C:$C,[1]Hoja1!$D:$D,"",0,1)</f>
        <v>AEROSOL MORADO</v>
      </c>
      <c r="C141" s="8">
        <v>2</v>
      </c>
      <c r="D141" s="11">
        <f>_xlfn.XLOOKUP(A:A,[2]Hoja1!$C:$C,[2]Hoja1!$H:$H,"",0,1)</f>
        <v>71.55</v>
      </c>
      <c r="E141" s="11">
        <f>_xlfn.XLOOKUP(A:A,[1]Hoja1!$C:$C,[1]Hoja1!$H:$H,"",0,1)</f>
        <v>53.45</v>
      </c>
      <c r="F141" s="14">
        <f>_xlfn.XLOOKUP(A:A,TD!A:A,TD!EC:EC,"",0,1)</f>
        <v>4.5</v>
      </c>
      <c r="G141" s="15">
        <f t="shared" si="10"/>
        <v>4</v>
      </c>
      <c r="H141" s="16">
        <f t="shared" si="11"/>
        <v>214.64999999999998</v>
      </c>
      <c r="I141" s="16">
        <f t="shared" si="12"/>
        <v>160.35000000000002</v>
      </c>
      <c r="J141" s="27">
        <v>2344</v>
      </c>
      <c r="K141" t="str">
        <f>_xlfn.XLOOKUP(J:J,'[3]FILTROS 2'!$A:$A,'[3]FILTROS 2'!$E:$E,"",0,1)</f>
        <v>AEROSOLES PRISA</v>
      </c>
      <c r="L141" s="30"/>
      <c r="O141">
        <f>_xlfn.XLOOKUP(A:A,[4]TD90D!$A:$A,[4]TD90D!$CW:$CW,"",0,1)</f>
        <v>2</v>
      </c>
      <c r="P141">
        <f>_xlfn.XLOOKUP(A:A,[4]TD90D!$A:$A,[4]TD90D!$CX:$CX,"",0,1)</f>
        <v>1</v>
      </c>
      <c r="Q141">
        <f>_xlfn.XLOOKUP(A:A,[4]TD90D!$A:$A,[4]TD90D!$DA:$DA,"",0,1)</f>
        <v>0</v>
      </c>
      <c r="R141" s="31">
        <f t="shared" si="13"/>
        <v>0.5</v>
      </c>
      <c r="S141">
        <f>_xlfn.XLOOKUP(A:A,'[4]TD90D PZAS'!$A:$A,'[4]TD90D PZAS'!$CW:$CW,"",0,1)</f>
        <v>24</v>
      </c>
      <c r="T141">
        <f>_xlfn.XLOOKUP(A:A,'[4]TD90D PZAS'!$A:$A,'[4]TD90D PZAS'!$CX:$CX,"",0,1)</f>
        <v>1</v>
      </c>
      <c r="U141">
        <f>_xlfn.XLOOKUP(A:A,'[4]TD90D PZAS'!$A:$A,'[4]TD90D PZAS'!$DA:$DA,"",0,1)</f>
        <v>0</v>
      </c>
    </row>
    <row r="142" spans="1:21" x14ac:dyDescent="0.35">
      <c r="A142" t="s">
        <v>272</v>
      </c>
      <c r="B142" t="str">
        <f>_xlfn.XLOOKUP(A:A,[1]Hoja1!$C:$C,[1]Hoja1!$D:$D,"",0,1)</f>
        <v>VINILICA GLOSI AZUL 3A</v>
      </c>
      <c r="C142" s="8">
        <v>2</v>
      </c>
      <c r="D142" s="11">
        <f>_xlfn.XLOOKUP(A:A,[2]Hoja1!$C:$C,[2]Hoja1!$H:$H,"",0,1)</f>
        <v>874.14</v>
      </c>
      <c r="E142" s="11">
        <f>_xlfn.XLOOKUP(A:A,[1]Hoja1!$C:$C,[1]Hoja1!$H:$H,"",0,1)</f>
        <v>656.9</v>
      </c>
      <c r="F142" s="14">
        <f>_xlfn.XLOOKUP(A:A,TD!A:A,TD!EC:EC,"",0,1)</f>
        <v>0</v>
      </c>
      <c r="G142" s="15">
        <f t="shared" si="10"/>
        <v>0</v>
      </c>
      <c r="H142" s="16">
        <f t="shared" si="11"/>
        <v>2622.42</v>
      </c>
      <c r="I142" s="16">
        <f t="shared" si="12"/>
        <v>1970.6999999999998</v>
      </c>
      <c r="J142" s="27" t="s">
        <v>272</v>
      </c>
      <c r="K142" t="str">
        <f>_xlfn.XLOOKUP(J:J,'[3]FILTROS 2'!$A:$A,'[3]FILTROS 2'!$E:$E,"",0,1)</f>
        <v>VINILICA - GLOSI 3 AÑOS</v>
      </c>
      <c r="L142" s="30"/>
      <c r="O142">
        <f>_xlfn.XLOOKUP(A:A,[4]TD90D!$A:$A,[4]TD90D!$CW:$CW,"",0,1)</f>
        <v>2</v>
      </c>
      <c r="P142">
        <f>_xlfn.XLOOKUP(A:A,[4]TD90D!$A:$A,[4]TD90D!$CX:$CX,"",0,1)</f>
        <v>1</v>
      </c>
      <c r="Q142">
        <f>_xlfn.XLOOKUP(A:A,[4]TD90D!$A:$A,[4]TD90D!$DA:$DA,"",0,1)</f>
        <v>0</v>
      </c>
      <c r="R142" s="31">
        <f t="shared" si="13"/>
        <v>0.5</v>
      </c>
      <c r="S142">
        <f>_xlfn.XLOOKUP(A:A,'[4]TD90D PZAS'!$A:$A,'[4]TD90D PZAS'!$CW:$CW,"",0,1)</f>
        <v>0</v>
      </c>
      <c r="T142">
        <f>_xlfn.XLOOKUP(A:A,'[4]TD90D PZAS'!$A:$A,'[4]TD90D PZAS'!$CX:$CX,"",0,1)</f>
        <v>0</v>
      </c>
      <c r="U142">
        <f>_xlfn.XLOOKUP(A:A,'[4]TD90D PZAS'!$A:$A,'[4]TD90D PZAS'!$DA:$DA,"",0,1)</f>
        <v>0</v>
      </c>
    </row>
    <row r="143" spans="1:21" x14ac:dyDescent="0.35">
      <c r="A143" t="s">
        <v>361</v>
      </c>
      <c r="B143" t="str">
        <f>_xlfn.XLOOKUP(A:A,[1]Hoja1!$C:$C,[1]Hoja1!$D:$D,"",0,1)</f>
        <v>VINILICA GLOSI OCRE PRO</v>
      </c>
      <c r="C143" s="8">
        <v>2</v>
      </c>
      <c r="D143" s="11">
        <f>_xlfn.XLOOKUP(A:A,[2]Hoja1!$C:$C,[2]Hoja1!$H:$H,"",0,1)</f>
        <v>454.31</v>
      </c>
      <c r="E143" s="11">
        <f>_xlfn.XLOOKUP(A:A,[1]Hoja1!$C:$C,[1]Hoja1!$H:$H,"",0,1)</f>
        <v>339.66</v>
      </c>
      <c r="F143" s="14">
        <f>_xlfn.XLOOKUP(A:A,TD!A:A,TD!EC:EC,"",0,1)</f>
        <v>1.5</v>
      </c>
      <c r="G143" s="15">
        <f t="shared" si="10"/>
        <v>1</v>
      </c>
      <c r="H143" s="16">
        <f t="shared" si="11"/>
        <v>1362.93</v>
      </c>
      <c r="I143" s="16">
        <f t="shared" si="12"/>
        <v>1018.98</v>
      </c>
      <c r="J143" s="27" t="s">
        <v>361</v>
      </c>
      <c r="K143" t="str">
        <f>_xlfn.XLOOKUP(J:J,'[3]FILTROS 2'!$A:$A,'[3]FILTROS 2'!$E:$E,"",0,1)</f>
        <v>VINILICA - GLOSI PROFESIONAL</v>
      </c>
      <c r="L143" s="30"/>
      <c r="O143" t="str">
        <f>_xlfn.XLOOKUP(A:A,[4]TD90D!$A:$A,[4]TD90D!$CW:$CW,"",0,1)</f>
        <v/>
      </c>
      <c r="P143" t="str">
        <f>_xlfn.XLOOKUP(A:A,[4]TD90D!$A:$A,[4]TD90D!$CX:$CX,"",0,1)</f>
        <v/>
      </c>
      <c r="Q143" t="str">
        <f>_xlfn.XLOOKUP(A:A,[4]TD90D!$A:$A,[4]TD90D!$DA:$DA,"",0,1)</f>
        <v/>
      </c>
      <c r="R143" s="31" t="e">
        <f t="shared" si="13"/>
        <v>#VALUE!</v>
      </c>
      <c r="S143" t="str">
        <f>_xlfn.XLOOKUP(A:A,'[4]TD90D PZAS'!$A:$A,'[4]TD90D PZAS'!$CW:$CW,"",0,1)</f>
        <v/>
      </c>
      <c r="T143" t="str">
        <f>_xlfn.XLOOKUP(A:A,'[4]TD90D PZAS'!$A:$A,'[4]TD90D PZAS'!$CX:$CX,"",0,1)</f>
        <v/>
      </c>
      <c r="U143" t="str">
        <f>_xlfn.XLOOKUP(A:A,'[4]TD90D PZAS'!$A:$A,'[4]TD90D PZAS'!$DA:$DA,"",0,1)</f>
        <v/>
      </c>
    </row>
    <row r="144" spans="1:21" x14ac:dyDescent="0.35">
      <c r="A144" t="s">
        <v>56</v>
      </c>
      <c r="B144" t="str">
        <f>_xlfn.XLOOKUP(A:A,[1]Hoja1!$C:$C,[1]Hoja1!$D:$D,"",0,1)</f>
        <v>VINILICA GLOSI BLANCO 5A</v>
      </c>
      <c r="C144" s="8">
        <v>2</v>
      </c>
      <c r="D144" s="11">
        <f>_xlfn.XLOOKUP(A:A,[2]Hoja1!$C:$C,[2]Hoja1!$H:$H,"",0,1)</f>
        <v>107.76</v>
      </c>
      <c r="E144" s="11">
        <f>_xlfn.XLOOKUP(A:A,[1]Hoja1!$C:$C,[1]Hoja1!$H:$H,"",0,1)</f>
        <v>78.45</v>
      </c>
      <c r="F144" s="14">
        <f>_xlfn.XLOOKUP(A:A,TD!A:A,TD!EC:EC,"",0,1)</f>
        <v>4.5</v>
      </c>
      <c r="G144" s="15">
        <f t="shared" si="10"/>
        <v>4</v>
      </c>
      <c r="H144" s="16">
        <f t="shared" si="11"/>
        <v>323.28000000000003</v>
      </c>
      <c r="I144" s="16">
        <f t="shared" si="12"/>
        <v>235.35000000000002</v>
      </c>
      <c r="J144" s="27" t="s">
        <v>56</v>
      </c>
      <c r="K144" t="str">
        <f>_xlfn.XLOOKUP(J:J,'[3]FILTROS 2'!$A:$A,'[3]FILTROS 2'!$E:$E,"",0,1)</f>
        <v>VINILICA - GLOSI 5 AÑOS</v>
      </c>
      <c r="L144" s="30"/>
      <c r="O144" t="str">
        <f>_xlfn.XLOOKUP(A:A,[4]TD90D!$A:$A,[4]TD90D!$CW:$CW,"",0,1)</f>
        <v/>
      </c>
      <c r="P144" t="str">
        <f>_xlfn.XLOOKUP(A:A,[4]TD90D!$A:$A,[4]TD90D!$CX:$CX,"",0,1)</f>
        <v/>
      </c>
      <c r="Q144" t="str">
        <f>_xlfn.XLOOKUP(A:A,[4]TD90D!$A:$A,[4]TD90D!$DA:$DA,"",0,1)</f>
        <v/>
      </c>
      <c r="R144" s="31" t="e">
        <f t="shared" si="13"/>
        <v>#VALUE!</v>
      </c>
      <c r="S144" t="str">
        <f>_xlfn.XLOOKUP(A:A,'[4]TD90D PZAS'!$A:$A,'[4]TD90D PZAS'!$CW:$CW,"",0,1)</f>
        <v/>
      </c>
      <c r="T144" t="str">
        <f>_xlfn.XLOOKUP(A:A,'[4]TD90D PZAS'!$A:$A,'[4]TD90D PZAS'!$CX:$CX,"",0,1)</f>
        <v/>
      </c>
      <c r="U144" t="str">
        <f>_xlfn.XLOOKUP(A:A,'[4]TD90D PZAS'!$A:$A,'[4]TD90D PZAS'!$DA:$DA,"",0,1)</f>
        <v/>
      </c>
    </row>
    <row r="145" spans="1:21" x14ac:dyDescent="0.35">
      <c r="A145" t="s">
        <v>364</v>
      </c>
      <c r="B145" t="str">
        <f>_xlfn.XLOOKUP(A:A,[1]Hoja1!$C:$C,[1]Hoja1!$D:$D,"",0,1)</f>
        <v>VINILICA GLOSI NEGRO PRO</v>
      </c>
      <c r="C145" s="8">
        <v>2</v>
      </c>
      <c r="D145" s="11">
        <f>_xlfn.XLOOKUP(A:A,[2]Hoja1!$C:$C,[2]Hoja1!$H:$H,"",0,1)</f>
        <v>454.31</v>
      </c>
      <c r="E145" s="11">
        <f>_xlfn.XLOOKUP(A:A,[1]Hoja1!$C:$C,[1]Hoja1!$H:$H,"",0,1)</f>
        <v>339.66</v>
      </c>
      <c r="F145" s="14">
        <f>_xlfn.XLOOKUP(A:A,TD!A:A,TD!EC:EC,"",0,1)</f>
        <v>0</v>
      </c>
      <c r="G145" s="15">
        <f t="shared" si="10"/>
        <v>0</v>
      </c>
      <c r="H145" s="16">
        <f t="shared" si="11"/>
        <v>1362.93</v>
      </c>
      <c r="I145" s="16">
        <f t="shared" si="12"/>
        <v>1018.98</v>
      </c>
      <c r="J145" s="27" t="s">
        <v>364</v>
      </c>
      <c r="K145" t="str">
        <f>_xlfn.XLOOKUP(J:J,'[3]FILTROS 2'!$A:$A,'[3]FILTROS 2'!$E:$E,"",0,1)</f>
        <v>VINILICA - GLOSI PROFESIONAL</v>
      </c>
      <c r="L145" s="30"/>
      <c r="O145">
        <f>_xlfn.XLOOKUP(A:A,[4]TD90D!$A:$A,[4]TD90D!$CW:$CW,"",0,1)</f>
        <v>3</v>
      </c>
      <c r="P145">
        <f>_xlfn.XLOOKUP(A:A,[4]TD90D!$A:$A,[4]TD90D!$CX:$CX,"",0,1)</f>
        <v>1</v>
      </c>
      <c r="Q145">
        <f>_xlfn.XLOOKUP(A:A,[4]TD90D!$A:$A,[4]TD90D!$DA:$DA,"",0,1)</f>
        <v>0</v>
      </c>
      <c r="R145" s="31">
        <f t="shared" si="13"/>
        <v>0.5</v>
      </c>
      <c r="S145">
        <f>_xlfn.XLOOKUP(A:A,'[4]TD90D PZAS'!$A:$A,'[4]TD90D PZAS'!$CW:$CW,"",0,1)</f>
        <v>2</v>
      </c>
      <c r="T145">
        <f>_xlfn.XLOOKUP(A:A,'[4]TD90D PZAS'!$A:$A,'[4]TD90D PZAS'!$CX:$CX,"",0,1)</f>
        <v>1</v>
      </c>
      <c r="U145">
        <f>_xlfn.XLOOKUP(A:A,'[4]TD90D PZAS'!$A:$A,'[4]TD90D PZAS'!$DA:$DA,"",0,1)</f>
        <v>0</v>
      </c>
    </row>
    <row r="146" spans="1:21" x14ac:dyDescent="0.35">
      <c r="A146" t="s">
        <v>396</v>
      </c>
      <c r="B146" t="str">
        <f>_xlfn.XLOOKUP(A:A,[1]Hoja1!$C:$C,[1]Hoja1!$D:$D,"",0,1)</f>
        <v>VINILICA GLOSI CORAL 5A</v>
      </c>
      <c r="C146" s="8">
        <v>2</v>
      </c>
      <c r="D146" s="11">
        <f>_xlfn.XLOOKUP(A:A,[2]Hoja1!$C:$C,[2]Hoja1!$H:$H,"",0,1)</f>
        <v>107.76</v>
      </c>
      <c r="E146" s="11">
        <f>_xlfn.XLOOKUP(A:A,[1]Hoja1!$C:$C,[1]Hoja1!$H:$H,"",0,1)</f>
        <v>78.45</v>
      </c>
      <c r="F146" s="14">
        <f>_xlfn.XLOOKUP(A:A,TD!A:A,TD!EC:EC,"",0,1)</f>
        <v>0</v>
      </c>
      <c r="G146" s="15">
        <f t="shared" si="10"/>
        <v>0</v>
      </c>
      <c r="H146" s="16">
        <f t="shared" si="11"/>
        <v>323.28000000000003</v>
      </c>
      <c r="I146" s="16">
        <f t="shared" si="12"/>
        <v>235.35000000000002</v>
      </c>
      <c r="J146" s="27" t="s">
        <v>396</v>
      </c>
      <c r="K146" t="str">
        <f>_xlfn.XLOOKUP(J:J,'[3]FILTROS 2'!$A:$A,'[3]FILTROS 2'!$E:$E,"",0,1)</f>
        <v>VINILICA - GLOSI 5 AÑOS</v>
      </c>
      <c r="L146" s="30"/>
      <c r="O146">
        <f>_xlfn.XLOOKUP(A:A,[4]TD90D!$A:$A,[4]TD90D!$CW:$CW,"",0,1)</f>
        <v>2</v>
      </c>
      <c r="P146">
        <f>_xlfn.XLOOKUP(A:A,[4]TD90D!$A:$A,[4]TD90D!$CX:$CX,"",0,1)</f>
        <v>1</v>
      </c>
      <c r="Q146">
        <f>_xlfn.XLOOKUP(A:A,[4]TD90D!$A:$A,[4]TD90D!$DA:$DA,"",0,1)</f>
        <v>0</v>
      </c>
      <c r="R146" s="31">
        <f t="shared" si="13"/>
        <v>0.5</v>
      </c>
      <c r="S146">
        <f>_xlfn.XLOOKUP(A:A,'[4]TD90D PZAS'!$A:$A,'[4]TD90D PZAS'!$CW:$CW,"",0,1)</f>
        <v>0</v>
      </c>
      <c r="T146">
        <f>_xlfn.XLOOKUP(A:A,'[4]TD90D PZAS'!$A:$A,'[4]TD90D PZAS'!$CX:$CX,"",0,1)</f>
        <v>0</v>
      </c>
      <c r="U146">
        <f>_xlfn.XLOOKUP(A:A,'[4]TD90D PZAS'!$A:$A,'[4]TD90D PZAS'!$DA:$DA,"",0,1)</f>
        <v>0</v>
      </c>
    </row>
    <row r="147" spans="1:21" x14ac:dyDescent="0.35">
      <c r="A147" t="s">
        <v>99</v>
      </c>
      <c r="B147" t="str">
        <f>_xlfn.XLOOKUP(A:A,[1]Hoja1!$C:$C,[1]Hoja1!$D:$D,"",0,1)</f>
        <v>AEROSOL NEGRO METALICO</v>
      </c>
      <c r="C147" s="8">
        <v>2</v>
      </c>
      <c r="D147" s="11">
        <f>_xlfn.XLOOKUP(A:A,[2]Hoja1!$C:$C,[2]Hoja1!$H:$H,"",0,1)</f>
        <v>71.55</v>
      </c>
      <c r="E147" s="11">
        <f>_xlfn.XLOOKUP(A:A,[1]Hoja1!$C:$C,[1]Hoja1!$H:$H,"",0,1)</f>
        <v>53.45</v>
      </c>
      <c r="F147" s="14">
        <f>_xlfn.XLOOKUP(A:A,TD!A:A,TD!EC:EC,"",0,1)</f>
        <v>4.5</v>
      </c>
      <c r="G147" s="15">
        <f t="shared" si="10"/>
        <v>4</v>
      </c>
      <c r="H147" s="16">
        <f t="shared" si="11"/>
        <v>214.64999999999998</v>
      </c>
      <c r="I147" s="16">
        <f t="shared" si="12"/>
        <v>160.35000000000002</v>
      </c>
      <c r="J147" s="27">
        <v>2396</v>
      </c>
      <c r="K147" t="str">
        <f>_xlfn.XLOOKUP(J:J,'[3]FILTROS 2'!$A:$A,'[3]FILTROS 2'!$E:$E,"",0,1)</f>
        <v>AEROSOLES PRISA</v>
      </c>
      <c r="L147" s="30"/>
      <c r="O147">
        <f>_xlfn.XLOOKUP(A:A,[4]TD90D!$A:$A,[4]TD90D!$CW:$CW,"",0,1)</f>
        <v>4</v>
      </c>
      <c r="P147">
        <f>_xlfn.XLOOKUP(A:A,[4]TD90D!$A:$A,[4]TD90D!$CX:$CX,"",0,1)</f>
        <v>2</v>
      </c>
      <c r="Q147">
        <f>_xlfn.XLOOKUP(A:A,[4]TD90D!$A:$A,[4]TD90D!$DA:$DA,"",0,1)</f>
        <v>0</v>
      </c>
      <c r="R147" s="31">
        <f t="shared" si="13"/>
        <v>1</v>
      </c>
      <c r="S147">
        <f>_xlfn.XLOOKUP(A:A,'[4]TD90D PZAS'!$A:$A,'[4]TD90D PZAS'!$CW:$CW,"",0,1)</f>
        <v>24</v>
      </c>
      <c r="T147">
        <f>_xlfn.XLOOKUP(A:A,'[4]TD90D PZAS'!$A:$A,'[4]TD90D PZAS'!$CX:$CX,"",0,1)</f>
        <v>2</v>
      </c>
      <c r="U147">
        <f>_xlfn.XLOOKUP(A:A,'[4]TD90D PZAS'!$A:$A,'[4]TD90D PZAS'!$DA:$DA,"",0,1)</f>
        <v>0</v>
      </c>
    </row>
    <row r="148" spans="1:21" x14ac:dyDescent="0.35">
      <c r="A148" t="s">
        <v>302</v>
      </c>
      <c r="B148" t="str">
        <f>_xlfn.XLOOKUP(A:A,[1]Hoja1!$C:$C,[1]Hoja1!$D:$D,"",0,1)</f>
        <v>VINILICA GLOSI VIOLETA 5A</v>
      </c>
      <c r="C148" s="8">
        <v>2</v>
      </c>
      <c r="D148" s="11">
        <f>_xlfn.XLOOKUP(A:A,[2]Hoja1!$C:$C,[2]Hoja1!$H:$H,"",0,1)</f>
        <v>107.76</v>
      </c>
      <c r="E148" s="11">
        <f>_xlfn.XLOOKUP(A:A,[1]Hoja1!$C:$C,[1]Hoja1!$H:$H,"",0,1)</f>
        <v>78.45</v>
      </c>
      <c r="F148" s="14">
        <f>_xlfn.XLOOKUP(A:A,TD!A:A,TD!EC:EC,"",0,1)</f>
        <v>4.5</v>
      </c>
      <c r="G148" s="15">
        <f t="shared" si="10"/>
        <v>4</v>
      </c>
      <c r="H148" s="16">
        <f t="shared" si="11"/>
        <v>323.28000000000003</v>
      </c>
      <c r="I148" s="16">
        <f t="shared" si="12"/>
        <v>235.35000000000002</v>
      </c>
      <c r="J148" s="27" t="s">
        <v>302</v>
      </c>
      <c r="K148" t="str">
        <f>_xlfn.XLOOKUP(J:J,'[3]FILTROS 2'!$A:$A,'[3]FILTROS 2'!$E:$E,"",0,1)</f>
        <v>VINILICA - GLOSI 5 AÑOS</v>
      </c>
      <c r="L148" s="30"/>
      <c r="O148">
        <f>_xlfn.XLOOKUP(A:A,[4]TD90D!$A:$A,[4]TD90D!$CW:$CW,"",0,1)</f>
        <v>2</v>
      </c>
      <c r="P148">
        <f>_xlfn.XLOOKUP(A:A,[4]TD90D!$A:$A,[4]TD90D!$CX:$CX,"",0,1)</f>
        <v>1</v>
      </c>
      <c r="Q148">
        <f>_xlfn.XLOOKUP(A:A,[4]TD90D!$A:$A,[4]TD90D!$DA:$DA,"",0,1)</f>
        <v>0</v>
      </c>
      <c r="R148" s="31">
        <f t="shared" si="13"/>
        <v>0.5</v>
      </c>
      <c r="S148">
        <f>_xlfn.XLOOKUP(A:A,'[4]TD90D PZAS'!$A:$A,'[4]TD90D PZAS'!$CW:$CW,"",0,1)</f>
        <v>9</v>
      </c>
      <c r="T148">
        <f>_xlfn.XLOOKUP(A:A,'[4]TD90D PZAS'!$A:$A,'[4]TD90D PZAS'!$CX:$CX,"",0,1)</f>
        <v>1</v>
      </c>
      <c r="U148">
        <f>_xlfn.XLOOKUP(A:A,'[4]TD90D PZAS'!$A:$A,'[4]TD90D PZAS'!$DA:$DA,"",0,1)</f>
        <v>0</v>
      </c>
    </row>
    <row r="149" spans="1:21" x14ac:dyDescent="0.35">
      <c r="A149" t="s">
        <v>216</v>
      </c>
      <c r="B149" t="str">
        <f>_xlfn.XLOOKUP(A:A,[1]Hoja1!$C:$C,[1]Hoja1!$D:$D,"",0,1)</f>
        <v>TRAFICO AMARILLO SCT</v>
      </c>
      <c r="C149" s="8">
        <v>2</v>
      </c>
      <c r="D149" s="11">
        <f>_xlfn.XLOOKUP(A:A,[2]Hoja1!$C:$C,[2]Hoja1!$H:$H,"",0,1)</f>
        <v>1027.5899999999999</v>
      </c>
      <c r="E149" s="11">
        <f>_xlfn.XLOOKUP(A:A,[1]Hoja1!$C:$C,[1]Hoja1!$H:$H,"",0,1)</f>
        <v>900</v>
      </c>
      <c r="F149" s="14">
        <f>_xlfn.XLOOKUP(A:A,TD!A:A,TD!EC:EC,"",0,1)</f>
        <v>2</v>
      </c>
      <c r="G149" s="15">
        <f t="shared" si="10"/>
        <v>2</v>
      </c>
      <c r="H149" s="16">
        <f t="shared" si="11"/>
        <v>3082.7699999999995</v>
      </c>
      <c r="I149" s="16">
        <f t="shared" si="12"/>
        <v>2700</v>
      </c>
      <c r="J149" s="27">
        <v>17163</v>
      </c>
      <c r="K149" t="str">
        <f>_xlfn.XLOOKUP(J:J,'[3]FILTROS 2'!$A:$A,'[3]FILTROS 2'!$E:$E,"",0,1)</f>
        <v>PINTURA PARA TRAFICO</v>
      </c>
      <c r="L149" s="30"/>
      <c r="O149">
        <f>_xlfn.XLOOKUP(A:A,[4]TD90D!$A:$A,[4]TD90D!$CW:$CW,"",0,1)</f>
        <v>3</v>
      </c>
      <c r="P149">
        <f>_xlfn.XLOOKUP(A:A,[4]TD90D!$A:$A,[4]TD90D!$CX:$CX,"",0,1)</f>
        <v>1</v>
      </c>
      <c r="Q149">
        <f>_xlfn.XLOOKUP(A:A,[4]TD90D!$A:$A,[4]TD90D!$DA:$DA,"",0,1)</f>
        <v>0</v>
      </c>
      <c r="R149" s="31">
        <f t="shared" si="13"/>
        <v>0.5</v>
      </c>
      <c r="S149">
        <f>_xlfn.XLOOKUP(A:A,'[4]TD90D PZAS'!$A:$A,'[4]TD90D PZAS'!$CW:$CW,"",0,1)</f>
        <v>6</v>
      </c>
      <c r="T149">
        <f>_xlfn.XLOOKUP(A:A,'[4]TD90D PZAS'!$A:$A,'[4]TD90D PZAS'!$CX:$CX,"",0,1)</f>
        <v>1</v>
      </c>
      <c r="U149">
        <f>_xlfn.XLOOKUP(A:A,'[4]TD90D PZAS'!$A:$A,'[4]TD90D PZAS'!$DA:$DA,"",0,1)</f>
        <v>0</v>
      </c>
    </row>
    <row r="150" spans="1:21" x14ac:dyDescent="0.35">
      <c r="A150" t="s">
        <v>197</v>
      </c>
      <c r="B150" t="str">
        <f>_xlfn.XLOOKUP(A:A,[1]Hoja1!$C:$C,[1]Hoja1!$D:$D,"",0,1)</f>
        <v>VINILICA GLOSI AZUL 5A</v>
      </c>
      <c r="C150" s="8">
        <v>2</v>
      </c>
      <c r="D150" s="11">
        <f>_xlfn.XLOOKUP(A:A,[2]Hoja1!$C:$C,[2]Hoja1!$H:$H,"",0,1)</f>
        <v>107.76</v>
      </c>
      <c r="E150" s="11">
        <f>_xlfn.XLOOKUP(A:A,[1]Hoja1!$C:$C,[1]Hoja1!$H:$H,"",0,1)</f>
        <v>78.45</v>
      </c>
      <c r="F150" s="14">
        <f>_xlfn.XLOOKUP(A:A,TD!A:A,TD!EC:EC,"",0,1)</f>
        <v>1.5</v>
      </c>
      <c r="G150" s="15">
        <f t="shared" si="10"/>
        <v>1</v>
      </c>
      <c r="H150" s="16">
        <f t="shared" si="11"/>
        <v>323.28000000000003</v>
      </c>
      <c r="I150" s="16">
        <f t="shared" si="12"/>
        <v>235.35000000000002</v>
      </c>
      <c r="J150" s="27" t="s">
        <v>197</v>
      </c>
      <c r="K150" t="str">
        <f>_xlfn.XLOOKUP(J:J,'[3]FILTROS 2'!$A:$A,'[3]FILTROS 2'!$E:$E,"",0,1)</f>
        <v>VINILICA - GLOSI 5 AÑOS</v>
      </c>
      <c r="L150" s="30"/>
      <c r="O150" t="str">
        <f>_xlfn.XLOOKUP(A:A,[4]TD90D!$A:$A,[4]TD90D!$CW:$CW,"",0,1)</f>
        <v/>
      </c>
      <c r="P150" t="str">
        <f>_xlfn.XLOOKUP(A:A,[4]TD90D!$A:$A,[4]TD90D!$CX:$CX,"",0,1)</f>
        <v/>
      </c>
      <c r="Q150" t="str">
        <f>_xlfn.XLOOKUP(A:A,[4]TD90D!$A:$A,[4]TD90D!$DA:$DA,"",0,1)</f>
        <v/>
      </c>
      <c r="R150" s="31" t="e">
        <f t="shared" si="13"/>
        <v>#VALUE!</v>
      </c>
      <c r="S150" t="str">
        <f>_xlfn.XLOOKUP(A:A,'[4]TD90D PZAS'!$A:$A,'[4]TD90D PZAS'!$CW:$CW,"",0,1)</f>
        <v/>
      </c>
      <c r="T150" t="str">
        <f>_xlfn.XLOOKUP(A:A,'[4]TD90D PZAS'!$A:$A,'[4]TD90D PZAS'!$CX:$CX,"",0,1)</f>
        <v/>
      </c>
      <c r="U150" t="str">
        <f>_xlfn.XLOOKUP(A:A,'[4]TD90D PZAS'!$A:$A,'[4]TD90D PZAS'!$DA:$DA,"",0,1)</f>
        <v/>
      </c>
    </row>
    <row r="151" spans="1:21" x14ac:dyDescent="0.35">
      <c r="A151" t="s">
        <v>80</v>
      </c>
      <c r="B151" t="str">
        <f>_xlfn.XLOOKUP(A:A,[1]Hoja1!$C:$C,[1]Hoja1!$D:$D,"",0,1)</f>
        <v>BRILLON CACAO</v>
      </c>
      <c r="C151" s="8">
        <v>2</v>
      </c>
      <c r="D151" s="11">
        <f>_xlfn.XLOOKUP(A:A,[2]Hoja1!$C:$C,[2]Hoja1!$H:$H,"",0,1)</f>
        <v>533.62</v>
      </c>
      <c r="E151" s="11">
        <f>_xlfn.XLOOKUP(A:A,[1]Hoja1!$C:$C,[1]Hoja1!$H:$H,"",0,1)</f>
        <v>401.72</v>
      </c>
      <c r="F151" s="14">
        <f>_xlfn.XLOOKUP(A:A,TD!A:A,TD!EC:EC,"",0,1)</f>
        <v>2</v>
      </c>
      <c r="G151" s="15">
        <f t="shared" si="10"/>
        <v>2</v>
      </c>
      <c r="H151" s="16">
        <f t="shared" si="11"/>
        <v>1600.8600000000001</v>
      </c>
      <c r="I151" s="16">
        <f t="shared" si="12"/>
        <v>1205.1600000000001</v>
      </c>
      <c r="J151" s="27">
        <v>28583</v>
      </c>
      <c r="K151" t="str">
        <f>_xlfn.XLOOKUP(J:J,'[3]FILTROS 2'!$A:$A,'[3]FILTROS 2'!$E:$E,"",0,1)</f>
        <v>ESMALTE - BRILLON</v>
      </c>
      <c r="L151" s="30"/>
      <c r="O151">
        <f>_xlfn.XLOOKUP(A:A,[4]TD90D!$A:$A,[4]TD90D!$CW:$CW,"",0,1)</f>
        <v>2</v>
      </c>
      <c r="P151">
        <f>_xlfn.XLOOKUP(A:A,[4]TD90D!$A:$A,[4]TD90D!$CX:$CX,"",0,1)</f>
        <v>1</v>
      </c>
      <c r="Q151">
        <f>_xlfn.XLOOKUP(A:A,[4]TD90D!$A:$A,[4]TD90D!$DA:$DA,"",0,1)</f>
        <v>0</v>
      </c>
      <c r="R151" s="31">
        <f t="shared" si="13"/>
        <v>0.5</v>
      </c>
      <c r="S151">
        <f>_xlfn.XLOOKUP(A:A,'[4]TD90D PZAS'!$A:$A,'[4]TD90D PZAS'!$CW:$CW,"",0,1)</f>
        <v>4</v>
      </c>
      <c r="T151">
        <f>_xlfn.XLOOKUP(A:A,'[4]TD90D PZAS'!$A:$A,'[4]TD90D PZAS'!$CX:$CX,"",0,1)</f>
        <v>1</v>
      </c>
      <c r="U151">
        <f>_xlfn.XLOOKUP(A:A,'[4]TD90D PZAS'!$A:$A,'[4]TD90D PZAS'!$DA:$DA,"",0,1)</f>
        <v>0</v>
      </c>
    </row>
    <row r="152" spans="1:21" x14ac:dyDescent="0.35">
      <c r="A152" t="s">
        <v>148</v>
      </c>
      <c r="B152" t="str">
        <f>_xlfn.XLOOKUP(A:A,[1]Hoja1!$C:$C,[1]Hoja1!$D:$D,"",0,1)</f>
        <v>BRILLON DORADO</v>
      </c>
      <c r="C152" s="8">
        <v>2</v>
      </c>
      <c r="D152" s="11">
        <f>_xlfn.XLOOKUP(A:A,[2]Hoja1!$C:$C,[2]Hoja1!$H:$H,"",0,1)</f>
        <v>59.48</v>
      </c>
      <c r="E152" s="11">
        <f>_xlfn.XLOOKUP(A:A,[1]Hoja1!$C:$C,[1]Hoja1!$H:$H,"",0,1)</f>
        <v>43.97</v>
      </c>
      <c r="F152" s="14">
        <f>_xlfn.XLOOKUP(A:A,TD!A:A,TD!EC:EC,"",0,1)</f>
        <v>2</v>
      </c>
      <c r="G152" s="15">
        <f t="shared" si="10"/>
        <v>2</v>
      </c>
      <c r="H152" s="16">
        <f t="shared" si="11"/>
        <v>178.44</v>
      </c>
      <c r="I152" s="16">
        <f t="shared" si="12"/>
        <v>131.91</v>
      </c>
      <c r="J152" s="27">
        <v>28915</v>
      </c>
      <c r="K152" t="str">
        <f>_xlfn.XLOOKUP(J:J,'[3]FILTROS 2'!$A:$A,'[3]FILTROS 2'!$E:$E,"",0,1)</f>
        <v>ESMALTE - BRILLON</v>
      </c>
      <c r="L152" s="30"/>
      <c r="O152" t="str">
        <f>_xlfn.XLOOKUP(A:A,[4]TD90D!$A:$A,[4]TD90D!$CW:$CW,"",0,1)</f>
        <v/>
      </c>
      <c r="P152" t="str">
        <f>_xlfn.XLOOKUP(A:A,[4]TD90D!$A:$A,[4]TD90D!$CX:$CX,"",0,1)</f>
        <v/>
      </c>
      <c r="Q152" t="str">
        <f>_xlfn.XLOOKUP(A:A,[4]TD90D!$A:$A,[4]TD90D!$DA:$DA,"",0,1)</f>
        <v/>
      </c>
      <c r="R152" s="31" t="e">
        <f t="shared" si="13"/>
        <v>#VALUE!</v>
      </c>
      <c r="S152" t="str">
        <f>_xlfn.XLOOKUP(A:A,'[4]TD90D PZAS'!$A:$A,'[4]TD90D PZAS'!$CW:$CW,"",0,1)</f>
        <v/>
      </c>
      <c r="T152" t="str">
        <f>_xlfn.XLOOKUP(A:A,'[4]TD90D PZAS'!$A:$A,'[4]TD90D PZAS'!$CX:$CX,"",0,1)</f>
        <v/>
      </c>
      <c r="U152" t="str">
        <f>_xlfn.XLOOKUP(A:A,'[4]TD90D PZAS'!$A:$A,'[4]TD90D PZAS'!$DA:$DA,"",0,1)</f>
        <v/>
      </c>
    </row>
    <row r="153" spans="1:21" x14ac:dyDescent="0.35">
      <c r="A153" t="s">
        <v>336</v>
      </c>
      <c r="B153" t="str">
        <f>_xlfn.XLOOKUP(A:A,[1]Hoja1!$C:$C,[1]Hoja1!$D:$D,"",0,1)</f>
        <v>BARNIZ GLOSI ALQUI CEDRO</v>
      </c>
      <c r="C153" s="8">
        <v>2</v>
      </c>
      <c r="D153" s="11">
        <f>_xlfn.XLOOKUP(A:A,[2]Hoja1!$C:$C,[2]Hoja1!$H:$H,"",0,1)</f>
        <v>181.9</v>
      </c>
      <c r="E153" s="11">
        <f>_xlfn.XLOOKUP(A:A,[1]Hoja1!$C:$C,[1]Hoja1!$H:$H,"",0,1)</f>
        <v>145.69</v>
      </c>
      <c r="F153" s="14">
        <f>_xlfn.XLOOKUP(A:A,TD!A:A,TD!EC:EC,"",0,1)</f>
        <v>3</v>
      </c>
      <c r="G153" s="15">
        <f t="shared" si="10"/>
        <v>3</v>
      </c>
      <c r="H153" s="16">
        <f t="shared" si="11"/>
        <v>545.70000000000005</v>
      </c>
      <c r="I153" s="16">
        <f t="shared" si="12"/>
        <v>437.07</v>
      </c>
      <c r="J153" s="27" t="s">
        <v>336</v>
      </c>
      <c r="K153" t="str">
        <f>_xlfn.XLOOKUP(J:J,'[3]FILTROS 2'!$A:$A,'[3]FILTROS 2'!$E:$E,"",0,1)</f>
        <v>BARNIZ ALQUIDALICO GLOSI 3-1</v>
      </c>
      <c r="L153" s="30"/>
      <c r="O153" t="str">
        <f>_xlfn.XLOOKUP(A:A,[4]TD90D!$A:$A,[4]TD90D!$CW:$CW,"",0,1)</f>
        <v/>
      </c>
      <c r="P153" t="str">
        <f>_xlfn.XLOOKUP(A:A,[4]TD90D!$A:$A,[4]TD90D!$CX:$CX,"",0,1)</f>
        <v/>
      </c>
      <c r="Q153" t="str">
        <f>_xlfn.XLOOKUP(A:A,[4]TD90D!$A:$A,[4]TD90D!$DA:$DA,"",0,1)</f>
        <v/>
      </c>
      <c r="R153" s="31" t="e">
        <f t="shared" si="13"/>
        <v>#VALUE!</v>
      </c>
      <c r="S153" t="str">
        <f>_xlfn.XLOOKUP(A:A,'[4]TD90D PZAS'!$A:$A,'[4]TD90D PZAS'!$CW:$CW,"",0,1)</f>
        <v/>
      </c>
      <c r="T153" t="str">
        <f>_xlfn.XLOOKUP(A:A,'[4]TD90D PZAS'!$A:$A,'[4]TD90D PZAS'!$CX:$CX,"",0,1)</f>
        <v/>
      </c>
      <c r="U153" t="str">
        <f>_xlfn.XLOOKUP(A:A,'[4]TD90D PZAS'!$A:$A,'[4]TD90D PZAS'!$DA:$DA,"",0,1)</f>
        <v/>
      </c>
    </row>
    <row r="154" spans="1:21" x14ac:dyDescent="0.35">
      <c r="A154" t="s">
        <v>298</v>
      </c>
      <c r="B154" t="str">
        <f>_xlfn.XLOOKUP(A:A,[1]Hoja1!$C:$C,[1]Hoja1!$D:$D,"",0,1)</f>
        <v/>
      </c>
      <c r="C154" s="8">
        <v>1</v>
      </c>
      <c r="D154" s="11">
        <f>_xlfn.XLOOKUP(A:A,[2]Hoja1!$C:$C,[2]Hoja1!$H:$H,"",0,1)</f>
        <v>917.24</v>
      </c>
      <c r="E154" s="11" t="str">
        <f>_xlfn.XLOOKUP(A:A,[1]Hoja1!$C:$C,[1]Hoja1!$H:$H,"",0,1)</f>
        <v/>
      </c>
      <c r="F154" s="14">
        <f>_xlfn.XLOOKUP(A:A,TD!A:A,TD!EC:EC,"",0,1)</f>
        <v>4</v>
      </c>
      <c r="G154" s="15">
        <f t="shared" si="10"/>
        <v>4</v>
      </c>
      <c r="H154" s="16">
        <f t="shared" si="11"/>
        <v>2751.7200000000003</v>
      </c>
      <c r="I154" s="16" t="e">
        <f t="shared" si="12"/>
        <v>#VALUE!</v>
      </c>
      <c r="J154" s="27">
        <v>21993</v>
      </c>
      <c r="K154" t="str">
        <f>_xlfn.XLOOKUP(J:J,'[3]FILTROS 2'!$A:$A,'[3]FILTROS 2'!$E:$E,"",0,1)</f>
        <v>ESMALTE - MILCO</v>
      </c>
      <c r="L154" s="30"/>
      <c r="O154" t="str">
        <f>_xlfn.XLOOKUP(A:A,[4]TD90D!$A:$A,[4]TD90D!$CW:$CW,"",0,1)</f>
        <v/>
      </c>
      <c r="P154" t="str">
        <f>_xlfn.XLOOKUP(A:A,[4]TD90D!$A:$A,[4]TD90D!$CX:$CX,"",0,1)</f>
        <v/>
      </c>
      <c r="Q154" t="str">
        <f>_xlfn.XLOOKUP(A:A,[4]TD90D!$A:$A,[4]TD90D!$DA:$DA,"",0,1)</f>
        <v/>
      </c>
      <c r="R154" s="31" t="e">
        <f t="shared" si="13"/>
        <v>#VALUE!</v>
      </c>
      <c r="S154" t="str">
        <f>_xlfn.XLOOKUP(A:A,'[4]TD90D PZAS'!$A:$A,'[4]TD90D PZAS'!$CW:$CW,"",0,1)</f>
        <v/>
      </c>
      <c r="T154" t="str">
        <f>_xlfn.XLOOKUP(A:A,'[4]TD90D PZAS'!$A:$A,'[4]TD90D PZAS'!$CX:$CX,"",0,1)</f>
        <v/>
      </c>
      <c r="U154" t="str">
        <f>_xlfn.XLOOKUP(A:A,'[4]TD90D PZAS'!$A:$A,'[4]TD90D PZAS'!$DA:$DA,"",0,1)</f>
        <v/>
      </c>
    </row>
    <row r="155" spans="1:21" x14ac:dyDescent="0.35">
      <c r="A155" t="s">
        <v>408</v>
      </c>
      <c r="B155" t="str">
        <f>_xlfn.XLOOKUP(A:A,[1]Hoja1!$C:$C,[1]Hoja1!$D:$D,"",0,1)</f>
        <v>BARNIZ ALQ. ROBLE AMERICANO</v>
      </c>
      <c r="C155" s="8">
        <v>1</v>
      </c>
      <c r="D155" s="11">
        <f>_xlfn.XLOOKUP(A:A,[2]Hoja1!$C:$C,[2]Hoja1!$H:$H,"",0,1)</f>
        <v>232.76</v>
      </c>
      <c r="E155" s="11">
        <f>_xlfn.XLOOKUP(A:A,[1]Hoja1!$C:$C,[1]Hoja1!$H:$H,"",0,1)</f>
        <v>205.17</v>
      </c>
      <c r="F155" s="14">
        <f>_xlfn.XLOOKUP(A:A,TD!A:A,TD!EC:EC,"",0,1)</f>
        <v>6</v>
      </c>
      <c r="G155" s="15">
        <f t="shared" si="10"/>
        <v>6</v>
      </c>
      <c r="H155" s="16">
        <f t="shared" si="11"/>
        <v>698.28</v>
      </c>
      <c r="I155" s="16">
        <f t="shared" si="12"/>
        <v>615.51</v>
      </c>
      <c r="J155" s="27">
        <v>28864</v>
      </c>
      <c r="K155" t="str">
        <f>_xlfn.XLOOKUP(J:J,'[3]FILTROS 2'!$A:$A,'[3]FILTROS 2'!$E:$E,"",0,1)</f>
        <v>BARNIZ ALQUIDALICO SIGLO</v>
      </c>
      <c r="L155" s="30"/>
      <c r="O155" t="str">
        <f>_xlfn.XLOOKUP(A:A,[4]TD90D!$A:$A,[4]TD90D!$CW:$CW,"",0,1)</f>
        <v/>
      </c>
      <c r="P155" t="str">
        <f>_xlfn.XLOOKUP(A:A,[4]TD90D!$A:$A,[4]TD90D!$CX:$CX,"",0,1)</f>
        <v/>
      </c>
      <c r="Q155" t="str">
        <f>_xlfn.XLOOKUP(A:A,[4]TD90D!$A:$A,[4]TD90D!$DA:$DA,"",0,1)</f>
        <v/>
      </c>
      <c r="R155" s="31" t="e">
        <f t="shared" si="13"/>
        <v>#VALUE!</v>
      </c>
      <c r="S155" t="str">
        <f>_xlfn.XLOOKUP(A:A,'[4]TD90D PZAS'!$A:$A,'[4]TD90D PZAS'!$CW:$CW,"",0,1)</f>
        <v/>
      </c>
      <c r="T155" t="str">
        <f>_xlfn.XLOOKUP(A:A,'[4]TD90D PZAS'!$A:$A,'[4]TD90D PZAS'!$CX:$CX,"",0,1)</f>
        <v/>
      </c>
      <c r="U155" t="str">
        <f>_xlfn.XLOOKUP(A:A,'[4]TD90D PZAS'!$A:$A,'[4]TD90D PZAS'!$DA:$DA,"",0,1)</f>
        <v/>
      </c>
    </row>
    <row r="156" spans="1:21" x14ac:dyDescent="0.35">
      <c r="A156" t="s">
        <v>308</v>
      </c>
      <c r="B156" t="str">
        <f>_xlfn.XLOOKUP(A:A,[1]Hoja1!$C:$C,[1]Hoja1!$D:$D,"",0,1)</f>
        <v>BRILLON CANELA</v>
      </c>
      <c r="C156" s="8">
        <v>1</v>
      </c>
      <c r="D156" s="11">
        <f>_xlfn.XLOOKUP(A:A,[2]Hoja1!$C:$C,[2]Hoja1!$H:$H,"",0,1)</f>
        <v>150.86000000000001</v>
      </c>
      <c r="E156" s="11">
        <f>_xlfn.XLOOKUP(A:A,[1]Hoja1!$C:$C,[1]Hoja1!$H:$H,"",0,1)</f>
        <v>112.93</v>
      </c>
      <c r="F156" s="14">
        <f>_xlfn.XLOOKUP(A:A,TD!A:A,TD!EC:EC,"",0,1)</f>
        <v>6</v>
      </c>
      <c r="G156" s="15">
        <f t="shared" si="10"/>
        <v>6</v>
      </c>
      <c r="H156" s="16">
        <f t="shared" si="11"/>
        <v>452.58000000000004</v>
      </c>
      <c r="I156" s="16">
        <f t="shared" si="12"/>
        <v>338.79</v>
      </c>
      <c r="J156" s="27">
        <v>28574</v>
      </c>
      <c r="K156" t="str">
        <f>_xlfn.XLOOKUP(J:J,'[3]FILTROS 2'!$A:$A,'[3]FILTROS 2'!$E:$E,"",0,1)</f>
        <v>ESMALTE - BRILLON</v>
      </c>
      <c r="L156" s="30"/>
      <c r="O156" t="str">
        <f>_xlfn.XLOOKUP(A:A,[4]TD90D!$A:$A,[4]TD90D!$CW:$CW,"",0,1)</f>
        <v/>
      </c>
      <c r="P156" t="str">
        <f>_xlfn.XLOOKUP(A:A,[4]TD90D!$A:$A,[4]TD90D!$CX:$CX,"",0,1)</f>
        <v/>
      </c>
      <c r="Q156" t="str">
        <f>_xlfn.XLOOKUP(A:A,[4]TD90D!$A:$A,[4]TD90D!$DA:$DA,"",0,1)</f>
        <v/>
      </c>
      <c r="R156" s="31" t="e">
        <f t="shared" si="13"/>
        <v>#VALUE!</v>
      </c>
      <c r="S156" t="str">
        <f>_xlfn.XLOOKUP(A:A,'[4]TD90D PZAS'!$A:$A,'[4]TD90D PZAS'!$CW:$CW,"",0,1)</f>
        <v/>
      </c>
      <c r="T156" t="str">
        <f>_xlfn.XLOOKUP(A:A,'[4]TD90D PZAS'!$A:$A,'[4]TD90D PZAS'!$CX:$CX,"",0,1)</f>
        <v/>
      </c>
      <c r="U156" t="str">
        <f>_xlfn.XLOOKUP(A:A,'[4]TD90D PZAS'!$A:$A,'[4]TD90D PZAS'!$DA:$DA,"",0,1)</f>
        <v/>
      </c>
    </row>
    <row r="157" spans="1:21" x14ac:dyDescent="0.35">
      <c r="A157" t="s">
        <v>338</v>
      </c>
      <c r="B157" t="str">
        <f>_xlfn.XLOOKUP(A:A,[1]Hoja1!$C:$C,[1]Hoja1!$D:$D,"",0,1)</f>
        <v>PARAGUAS 3 AÑOS EMULSIONADO</v>
      </c>
      <c r="C157" s="8">
        <v>1</v>
      </c>
      <c r="D157" s="11">
        <f>_xlfn.XLOOKUP(A:A,[2]Hoja1!$C:$C,[2]Hoja1!$H:$H,"",0,1)</f>
        <v>960.34</v>
      </c>
      <c r="E157" s="11">
        <f>_xlfn.XLOOKUP(A:A,[1]Hoja1!$C:$C,[1]Hoja1!$H:$H,"",0,1)</f>
        <v>745.69</v>
      </c>
      <c r="F157" s="14">
        <f>_xlfn.XLOOKUP(A:A,TD!A:A,TD!EC:EC,"",0,1)</f>
        <v>1</v>
      </c>
      <c r="G157" s="15">
        <f t="shared" si="10"/>
        <v>1</v>
      </c>
      <c r="H157" s="16">
        <f t="shared" si="11"/>
        <v>2881.02</v>
      </c>
      <c r="I157" s="16">
        <f t="shared" si="12"/>
        <v>2237.0700000000002</v>
      </c>
      <c r="J157" s="27">
        <v>61001</v>
      </c>
      <c r="K157" t="str">
        <f>_xlfn.XLOOKUP(J:J,'[3]FILTROS 2'!$A:$A,'[3]FILTROS 2'!$E:$E,"",0,1)</f>
        <v>IMPERM - PARAGUAS 3 AÑOS EMULS</v>
      </c>
      <c r="L157" s="30"/>
      <c r="O157" t="str">
        <f>_xlfn.XLOOKUP(A:A,[4]TD90D!$A:$A,[4]TD90D!$CW:$CW,"",0,1)</f>
        <v/>
      </c>
      <c r="P157" t="str">
        <f>_xlfn.XLOOKUP(A:A,[4]TD90D!$A:$A,[4]TD90D!$CX:$CX,"",0,1)</f>
        <v/>
      </c>
      <c r="Q157" t="str">
        <f>_xlfn.XLOOKUP(A:A,[4]TD90D!$A:$A,[4]TD90D!$DA:$DA,"",0,1)</f>
        <v/>
      </c>
      <c r="R157" s="31" t="e">
        <f t="shared" si="13"/>
        <v>#VALUE!</v>
      </c>
      <c r="S157" t="str">
        <f>_xlfn.XLOOKUP(A:A,'[4]TD90D PZAS'!$A:$A,'[4]TD90D PZAS'!$CW:$CW,"",0,1)</f>
        <v/>
      </c>
      <c r="T157" t="str">
        <f>_xlfn.XLOOKUP(A:A,'[4]TD90D PZAS'!$A:$A,'[4]TD90D PZAS'!$CX:$CX,"",0,1)</f>
        <v/>
      </c>
      <c r="U157" t="str">
        <f>_xlfn.XLOOKUP(A:A,'[4]TD90D PZAS'!$A:$A,'[4]TD90D PZAS'!$DA:$DA,"",0,1)</f>
        <v/>
      </c>
    </row>
    <row r="158" spans="1:21" x14ac:dyDescent="0.35">
      <c r="A158" t="s">
        <v>152</v>
      </c>
      <c r="B158" t="str">
        <f>_xlfn.XLOOKUP(A:A,[1]Hoja1!$C:$C,[1]Hoja1!$D:$D,"",0,1)</f>
        <v>REMOVEDOR DE PINTURA</v>
      </c>
      <c r="C158" s="8">
        <v>1</v>
      </c>
      <c r="D158" s="11">
        <f>_xlfn.XLOOKUP(A:A,[2]Hoja1!$C:$C,[2]Hoja1!$H:$H,"",0,1)</f>
        <v>229.31</v>
      </c>
      <c r="E158" s="11">
        <f>_xlfn.XLOOKUP(A:A,[1]Hoja1!$C:$C,[1]Hoja1!$H:$H,"",0,1)</f>
        <v>155.16999999999999</v>
      </c>
      <c r="F158" s="14">
        <f>_xlfn.XLOOKUP(A:A,TD!A:A,TD!EC:EC,"",0,1)</f>
        <v>6</v>
      </c>
      <c r="G158" s="15">
        <f t="shared" si="10"/>
        <v>6</v>
      </c>
      <c r="H158" s="16">
        <f t="shared" si="11"/>
        <v>687.93000000000006</v>
      </c>
      <c r="I158" s="16">
        <f t="shared" si="12"/>
        <v>465.51</v>
      </c>
      <c r="J158" s="27">
        <v>29104</v>
      </c>
      <c r="K158" t="str">
        <f>_xlfn.XLOOKUP(J:J,'[3]FILTROS 2'!$A:$A,'[3]FILTROS 2'!$E:$E,"",0,1)</f>
        <v>REMOVEDOR</v>
      </c>
      <c r="L158" s="30"/>
      <c r="O158" t="str">
        <f>_xlfn.XLOOKUP(A:A,[4]TD90D!$A:$A,[4]TD90D!$CW:$CW,"",0,1)</f>
        <v/>
      </c>
      <c r="P158" t="str">
        <f>_xlfn.XLOOKUP(A:A,[4]TD90D!$A:$A,[4]TD90D!$CX:$CX,"",0,1)</f>
        <v/>
      </c>
      <c r="Q158" t="str">
        <f>_xlfn.XLOOKUP(A:A,[4]TD90D!$A:$A,[4]TD90D!$DA:$DA,"",0,1)</f>
        <v/>
      </c>
      <c r="R158" s="31" t="e">
        <f t="shared" si="13"/>
        <v>#VALUE!</v>
      </c>
      <c r="S158" t="str">
        <f>_xlfn.XLOOKUP(A:A,'[4]TD90D PZAS'!$A:$A,'[4]TD90D PZAS'!$CW:$CW,"",0,1)</f>
        <v/>
      </c>
      <c r="T158" t="str">
        <f>_xlfn.XLOOKUP(A:A,'[4]TD90D PZAS'!$A:$A,'[4]TD90D PZAS'!$CX:$CX,"",0,1)</f>
        <v/>
      </c>
      <c r="U158" t="str">
        <f>_xlfn.XLOOKUP(A:A,'[4]TD90D PZAS'!$A:$A,'[4]TD90D PZAS'!$DA:$DA,"",0,1)</f>
        <v/>
      </c>
    </row>
    <row r="159" spans="1:21" x14ac:dyDescent="0.35">
      <c r="A159" t="s">
        <v>346</v>
      </c>
      <c r="B159" t="str">
        <f>_xlfn.XLOOKUP(A:A,[1]Hoja1!$C:$C,[1]Hoja1!$D:$D,"",0,1)</f>
        <v>PARAGUAS 3 AÑOS EMULSIONADO</v>
      </c>
      <c r="C159" s="8">
        <v>1</v>
      </c>
      <c r="D159" s="11">
        <f>_xlfn.XLOOKUP(A:A,[2]Hoja1!$C:$C,[2]Hoja1!$H:$H,"",0,1)</f>
        <v>255.17</v>
      </c>
      <c r="E159" s="11">
        <f>_xlfn.XLOOKUP(A:A,[1]Hoja1!$C:$C,[1]Hoja1!$H:$H,"",0,1)</f>
        <v>195.69</v>
      </c>
      <c r="F159" s="14">
        <f>_xlfn.XLOOKUP(A:A,TD!A:A,TD!EC:EC,"",0,1)</f>
        <v>1</v>
      </c>
      <c r="G159" s="15">
        <f t="shared" si="10"/>
        <v>1</v>
      </c>
      <c r="H159" s="16">
        <f t="shared" si="11"/>
        <v>765.51</v>
      </c>
      <c r="I159" s="16">
        <f t="shared" si="12"/>
        <v>587.06999999999994</v>
      </c>
      <c r="J159" s="27">
        <v>61003</v>
      </c>
      <c r="K159" t="str">
        <f>_xlfn.XLOOKUP(J:J,'[3]FILTROS 2'!$A:$A,'[3]FILTROS 2'!$E:$E,"",0,1)</f>
        <v>IMPERM - PARAGUAS 3 AÑOS EMULS</v>
      </c>
      <c r="L159" s="30"/>
      <c r="O159" t="str">
        <f>_xlfn.XLOOKUP(A:A,[4]TD90D!$A:$A,[4]TD90D!$CW:$CW,"",0,1)</f>
        <v/>
      </c>
      <c r="P159" t="str">
        <f>_xlfn.XLOOKUP(A:A,[4]TD90D!$A:$A,[4]TD90D!$CX:$CX,"",0,1)</f>
        <v/>
      </c>
      <c r="Q159" t="str">
        <f>_xlfn.XLOOKUP(A:A,[4]TD90D!$A:$A,[4]TD90D!$DA:$DA,"",0,1)</f>
        <v/>
      </c>
      <c r="R159" s="31" t="e">
        <f t="shared" si="13"/>
        <v>#VALUE!</v>
      </c>
      <c r="S159" t="str">
        <f>_xlfn.XLOOKUP(A:A,'[4]TD90D PZAS'!$A:$A,'[4]TD90D PZAS'!$CW:$CW,"",0,1)</f>
        <v/>
      </c>
      <c r="T159" t="str">
        <f>_xlfn.XLOOKUP(A:A,'[4]TD90D PZAS'!$A:$A,'[4]TD90D PZAS'!$CX:$CX,"",0,1)</f>
        <v/>
      </c>
      <c r="U159" t="str">
        <f>_xlfn.XLOOKUP(A:A,'[4]TD90D PZAS'!$A:$A,'[4]TD90D PZAS'!$DA:$DA,"",0,1)</f>
        <v/>
      </c>
    </row>
    <row r="160" spans="1:21" x14ac:dyDescent="0.35">
      <c r="A160" t="s">
        <v>424</v>
      </c>
      <c r="B160" t="str">
        <f>_xlfn.XLOOKUP(A:A,[1]Hoja1!$C:$C,[1]Hoja1!$D:$D,"",0,1)</f>
        <v>BRILLON BLANCO COCO</v>
      </c>
      <c r="C160" s="8">
        <v>1</v>
      </c>
      <c r="D160" s="11">
        <f>_xlfn.XLOOKUP(A:A,[2]Hoja1!$C:$C,[2]Hoja1!$H:$H,"",0,1)</f>
        <v>150.86000000000001</v>
      </c>
      <c r="E160" s="11">
        <f>_xlfn.XLOOKUP(A:A,[1]Hoja1!$C:$C,[1]Hoja1!$H:$H,"",0,1)</f>
        <v>112.93</v>
      </c>
      <c r="F160" s="14">
        <f>_xlfn.XLOOKUP(A:A,TD!A:A,TD!EC:EC,"",0,1)</f>
        <v>3</v>
      </c>
      <c r="G160" s="15">
        <f t="shared" si="10"/>
        <v>3</v>
      </c>
      <c r="H160" s="16">
        <f t="shared" si="11"/>
        <v>452.58000000000004</v>
      </c>
      <c r="I160" s="16">
        <f t="shared" si="12"/>
        <v>338.79</v>
      </c>
      <c r="J160" s="27">
        <v>28034</v>
      </c>
      <c r="K160" t="str">
        <f>_xlfn.XLOOKUP(J:J,'[3]FILTROS 2'!$A:$A,'[3]FILTROS 2'!$E:$E,"",0,1)</f>
        <v>ESMALTE - BRILLON</v>
      </c>
      <c r="L160" s="30"/>
      <c r="O160" t="str">
        <f>_xlfn.XLOOKUP(A:A,[4]TD90D!$A:$A,[4]TD90D!$CW:$CW,"",0,1)</f>
        <v/>
      </c>
      <c r="P160" t="str">
        <f>_xlfn.XLOOKUP(A:A,[4]TD90D!$A:$A,[4]TD90D!$CX:$CX,"",0,1)</f>
        <v/>
      </c>
      <c r="Q160" t="str">
        <f>_xlfn.XLOOKUP(A:A,[4]TD90D!$A:$A,[4]TD90D!$DA:$DA,"",0,1)</f>
        <v/>
      </c>
      <c r="R160" s="31" t="e">
        <f t="shared" si="13"/>
        <v>#VALUE!</v>
      </c>
      <c r="S160" t="str">
        <f>_xlfn.XLOOKUP(A:A,'[4]TD90D PZAS'!$A:$A,'[4]TD90D PZAS'!$CW:$CW,"",0,1)</f>
        <v/>
      </c>
      <c r="T160" t="str">
        <f>_xlfn.XLOOKUP(A:A,'[4]TD90D PZAS'!$A:$A,'[4]TD90D PZAS'!$CX:$CX,"",0,1)</f>
        <v/>
      </c>
      <c r="U160" t="str">
        <f>_xlfn.XLOOKUP(A:A,'[4]TD90D PZAS'!$A:$A,'[4]TD90D PZAS'!$DA:$DA,"",0,1)</f>
        <v/>
      </c>
    </row>
    <row r="161" spans="1:21" x14ac:dyDescent="0.35">
      <c r="A161" t="s">
        <v>184</v>
      </c>
      <c r="B161" t="str">
        <f>_xlfn.XLOOKUP(A:A,[1]Hoja1!$C:$C,[1]Hoja1!$D:$D,"",0,1)</f>
        <v>BRILLON DORADO</v>
      </c>
      <c r="C161" s="8">
        <v>1</v>
      </c>
      <c r="D161" s="11">
        <f>_xlfn.XLOOKUP(A:A,[2]Hoja1!$C:$C,[2]Hoja1!$H:$H,"",0,1)</f>
        <v>533.62</v>
      </c>
      <c r="E161" s="11">
        <f>_xlfn.XLOOKUP(A:A,[1]Hoja1!$C:$C,[1]Hoja1!$H:$H,"",0,1)</f>
        <v>401.72</v>
      </c>
      <c r="F161" s="14">
        <f>_xlfn.XLOOKUP(A:A,TD!A:A,TD!EC:EC,"",0,1)</f>
        <v>2</v>
      </c>
      <c r="G161" s="15">
        <f t="shared" si="10"/>
        <v>2</v>
      </c>
      <c r="H161" s="16">
        <f t="shared" si="11"/>
        <v>1600.8600000000001</v>
      </c>
      <c r="I161" s="16">
        <f t="shared" si="12"/>
        <v>1205.1600000000001</v>
      </c>
      <c r="J161" s="27">
        <v>28913</v>
      </c>
      <c r="K161" t="str">
        <f>_xlfn.XLOOKUP(J:J,'[3]FILTROS 2'!$A:$A,'[3]FILTROS 2'!$E:$E,"",0,1)</f>
        <v>ESMALTE - BRILLON</v>
      </c>
      <c r="L161" s="30"/>
      <c r="O161" t="str">
        <f>_xlfn.XLOOKUP(A:A,[4]TD90D!$A:$A,[4]TD90D!$CW:$CW,"",0,1)</f>
        <v/>
      </c>
      <c r="P161" t="str">
        <f>_xlfn.XLOOKUP(A:A,[4]TD90D!$A:$A,[4]TD90D!$CX:$CX,"",0,1)</f>
        <v/>
      </c>
      <c r="Q161" t="str">
        <f>_xlfn.XLOOKUP(A:A,[4]TD90D!$A:$A,[4]TD90D!$DA:$DA,"",0,1)</f>
        <v/>
      </c>
      <c r="R161" s="31" t="e">
        <f t="shared" si="13"/>
        <v>#VALUE!</v>
      </c>
      <c r="S161" t="str">
        <f>_xlfn.XLOOKUP(A:A,'[4]TD90D PZAS'!$A:$A,'[4]TD90D PZAS'!$CW:$CW,"",0,1)</f>
        <v/>
      </c>
      <c r="T161" t="str">
        <f>_xlfn.XLOOKUP(A:A,'[4]TD90D PZAS'!$A:$A,'[4]TD90D PZAS'!$CX:$CX,"",0,1)</f>
        <v/>
      </c>
      <c r="U161" t="str">
        <f>_xlfn.XLOOKUP(A:A,'[4]TD90D PZAS'!$A:$A,'[4]TD90D PZAS'!$DA:$DA,"",0,1)</f>
        <v/>
      </c>
    </row>
    <row r="162" spans="1:21" x14ac:dyDescent="0.35">
      <c r="A162" t="s">
        <v>164</v>
      </c>
      <c r="B162" t="str">
        <f>_xlfn.XLOOKUP(A:A,[1]Hoja1!$C:$C,[1]Hoja1!$D:$D,"",0,1)</f>
        <v>BRILLON AMARILLO MANGO</v>
      </c>
      <c r="C162" s="8">
        <v>1</v>
      </c>
      <c r="D162" s="11">
        <f>_xlfn.XLOOKUP(A:A,[2]Hoja1!$C:$C,[2]Hoja1!$H:$H,"",0,1)</f>
        <v>150.86000000000001</v>
      </c>
      <c r="E162" s="11">
        <f>_xlfn.XLOOKUP(A:A,[1]Hoja1!$C:$C,[1]Hoja1!$H:$H,"",0,1)</f>
        <v>112.93</v>
      </c>
      <c r="F162" s="14">
        <f>_xlfn.XLOOKUP(A:A,TD!A:A,TD!EC:EC,"",0,1)</f>
        <v>6</v>
      </c>
      <c r="G162" s="15">
        <f t="shared" si="10"/>
        <v>6</v>
      </c>
      <c r="H162" s="16">
        <f t="shared" si="11"/>
        <v>452.58000000000004</v>
      </c>
      <c r="I162" s="16">
        <f t="shared" si="12"/>
        <v>338.79</v>
      </c>
      <c r="J162" s="27">
        <v>28154</v>
      </c>
      <c r="K162" t="str">
        <f>_xlfn.XLOOKUP(J:J,'[3]FILTROS 2'!$A:$A,'[3]FILTROS 2'!$E:$E,"",0,1)</f>
        <v>ESMALTE - BRILLON</v>
      </c>
      <c r="L162" s="30"/>
      <c r="O162" t="str">
        <f>_xlfn.XLOOKUP(A:A,[4]TD90D!$A:$A,[4]TD90D!$CW:$CW,"",0,1)</f>
        <v/>
      </c>
      <c r="P162" t="str">
        <f>_xlfn.XLOOKUP(A:A,[4]TD90D!$A:$A,[4]TD90D!$CX:$CX,"",0,1)</f>
        <v/>
      </c>
      <c r="Q162" t="str">
        <f>_xlfn.XLOOKUP(A:A,[4]TD90D!$A:$A,[4]TD90D!$DA:$DA,"",0,1)</f>
        <v/>
      </c>
      <c r="R162" s="31" t="e">
        <f t="shared" si="13"/>
        <v>#VALUE!</v>
      </c>
      <c r="S162" t="str">
        <f>_xlfn.XLOOKUP(A:A,'[4]TD90D PZAS'!$A:$A,'[4]TD90D PZAS'!$CW:$CW,"",0,1)</f>
        <v/>
      </c>
      <c r="T162" t="str">
        <f>_xlfn.XLOOKUP(A:A,'[4]TD90D PZAS'!$A:$A,'[4]TD90D PZAS'!$CX:$CX,"",0,1)</f>
        <v/>
      </c>
      <c r="U162" t="str">
        <f>_xlfn.XLOOKUP(A:A,'[4]TD90D PZAS'!$A:$A,'[4]TD90D PZAS'!$DA:$DA,"",0,1)</f>
        <v/>
      </c>
    </row>
    <row r="163" spans="1:21" x14ac:dyDescent="0.35">
      <c r="A163" t="s">
        <v>354</v>
      </c>
      <c r="B163" t="str">
        <f>_xlfn.XLOOKUP(A:A,[1]Hoja1!$C:$C,[1]Hoja1!$D:$D,"",0,1)</f>
        <v>PARAGUAS 5 AÑOS ASFALTICO</v>
      </c>
      <c r="C163" s="8">
        <v>1</v>
      </c>
      <c r="D163" s="11">
        <f>_xlfn.XLOOKUP(A:A,[2]Hoja1!$C:$C,[2]Hoja1!$H:$H,"",0,1)</f>
        <v>340.52</v>
      </c>
      <c r="E163" s="11">
        <f>_xlfn.XLOOKUP(A:A,[1]Hoja1!$C:$C,[1]Hoja1!$H:$H,"",0,1)</f>
        <v>257.76</v>
      </c>
      <c r="F163" s="14">
        <f>_xlfn.XLOOKUP(A:A,TD!A:A,TD!EC:EC,"",0,1)</f>
        <v>2</v>
      </c>
      <c r="G163" s="15">
        <f t="shared" si="10"/>
        <v>2</v>
      </c>
      <c r="H163" s="16">
        <f t="shared" si="11"/>
        <v>1021.56</v>
      </c>
      <c r="I163" s="16">
        <f t="shared" si="12"/>
        <v>773.28</v>
      </c>
      <c r="J163" s="27">
        <v>61103</v>
      </c>
      <c r="K163" t="str">
        <f>_xlfn.XLOOKUP(J:J,'[3]FILTROS 2'!$A:$A,'[3]FILTROS 2'!$E:$E,"",0,1)</f>
        <v>IMPERM - PARAGUAS 5 AÑOS ASFAL</v>
      </c>
      <c r="L163" s="30"/>
      <c r="O163">
        <f>_xlfn.XLOOKUP(A:A,[4]TD90D!$A:$A,[4]TD90D!$CW:$CW,"",0,1)</f>
        <v>2</v>
      </c>
      <c r="P163">
        <f>_xlfn.XLOOKUP(A:A,[4]TD90D!$A:$A,[4]TD90D!$CX:$CX,"",0,1)</f>
        <v>1</v>
      </c>
      <c r="Q163">
        <f>_xlfn.XLOOKUP(A:A,[4]TD90D!$A:$A,[4]TD90D!$DA:$DA,"",0,1)</f>
        <v>0</v>
      </c>
      <c r="R163" s="31">
        <f t="shared" si="13"/>
        <v>1</v>
      </c>
      <c r="S163">
        <f>_xlfn.XLOOKUP(A:A,'[4]TD90D PZAS'!$A:$A,'[4]TD90D PZAS'!$CW:$CW,"",0,1)</f>
        <v>0</v>
      </c>
      <c r="T163">
        <f>_xlfn.XLOOKUP(A:A,'[4]TD90D PZAS'!$A:$A,'[4]TD90D PZAS'!$CX:$CX,"",0,1)</f>
        <v>0</v>
      </c>
      <c r="U163">
        <f>_xlfn.XLOOKUP(A:A,'[4]TD90D PZAS'!$A:$A,'[4]TD90D PZAS'!$DA:$DA,"",0,1)</f>
        <v>0</v>
      </c>
    </row>
    <row r="164" spans="1:21" x14ac:dyDescent="0.35">
      <c r="A164" t="s">
        <v>124</v>
      </c>
      <c r="B164" t="str">
        <f>_xlfn.XLOOKUP(A:A,[1]Hoja1!$C:$C,[1]Hoja1!$D:$D,"",0,1)</f>
        <v>VINILICA GLOSI NEGRO 5A</v>
      </c>
      <c r="C164" s="8">
        <v>1</v>
      </c>
      <c r="D164" s="11">
        <f>_xlfn.XLOOKUP(A:A,[2]Hoja1!$C:$C,[2]Hoja1!$H:$H,"",0,1)</f>
        <v>1213.79</v>
      </c>
      <c r="E164" s="11">
        <f>_xlfn.XLOOKUP(A:A,[1]Hoja1!$C:$C,[1]Hoja1!$H:$H,"",0,1)</f>
        <v>909.48</v>
      </c>
      <c r="F164" s="14">
        <f>_xlfn.XLOOKUP(A:A,TD!A:A,TD!EC:EC,"",0,1)</f>
        <v>1</v>
      </c>
      <c r="G164" s="15">
        <f t="shared" si="10"/>
        <v>1</v>
      </c>
      <c r="H164" s="16">
        <f t="shared" si="11"/>
        <v>3641.37</v>
      </c>
      <c r="I164" s="16">
        <f t="shared" si="12"/>
        <v>2728.44</v>
      </c>
      <c r="J164" s="27" t="s">
        <v>124</v>
      </c>
      <c r="K164" t="str">
        <f>_xlfn.XLOOKUP(J:J,'[3]FILTROS 2'!$A:$A,'[3]FILTROS 2'!$E:$E,"",0,1)</f>
        <v>VINILICA - GLOSI 5 AÑOS</v>
      </c>
      <c r="L164" s="30"/>
      <c r="O164" t="str">
        <f>_xlfn.XLOOKUP(A:A,[4]TD90D!$A:$A,[4]TD90D!$CW:$CW,"",0,1)</f>
        <v/>
      </c>
      <c r="P164" t="str">
        <f>_xlfn.XLOOKUP(A:A,[4]TD90D!$A:$A,[4]TD90D!$CX:$CX,"",0,1)</f>
        <v/>
      </c>
      <c r="Q164" t="str">
        <f>_xlfn.XLOOKUP(A:A,[4]TD90D!$A:$A,[4]TD90D!$DA:$DA,"",0,1)</f>
        <v/>
      </c>
      <c r="R164" s="31" t="e">
        <f t="shared" si="13"/>
        <v>#VALUE!</v>
      </c>
      <c r="S164" t="str">
        <f>_xlfn.XLOOKUP(A:A,'[4]TD90D PZAS'!$A:$A,'[4]TD90D PZAS'!$CW:$CW,"",0,1)</f>
        <v/>
      </c>
      <c r="T164" t="str">
        <f>_xlfn.XLOOKUP(A:A,'[4]TD90D PZAS'!$A:$A,'[4]TD90D PZAS'!$CX:$CX,"",0,1)</f>
        <v/>
      </c>
      <c r="U164" t="str">
        <f>_xlfn.XLOOKUP(A:A,'[4]TD90D PZAS'!$A:$A,'[4]TD90D PZAS'!$DA:$DA,"",0,1)</f>
        <v/>
      </c>
    </row>
    <row r="165" spans="1:21" x14ac:dyDescent="0.35">
      <c r="A165" t="s">
        <v>236</v>
      </c>
      <c r="B165" t="str">
        <f>_xlfn.XLOOKUP(A:A,[1]Hoja1!$C:$C,[1]Hoja1!$D:$D,"",0,1)</f>
        <v/>
      </c>
      <c r="C165" s="8">
        <v>1</v>
      </c>
      <c r="D165" s="11">
        <f>_xlfn.XLOOKUP(A:A,[2]Hoja1!$C:$C,[2]Hoja1!$H:$H,"",0,1)</f>
        <v>2845.69</v>
      </c>
      <c r="E165" s="11" t="str">
        <f>_xlfn.XLOOKUP(A:A,[1]Hoja1!$C:$C,[1]Hoja1!$H:$H,"",0,1)</f>
        <v/>
      </c>
      <c r="F165" s="14">
        <f>_xlfn.XLOOKUP(A:A,TD!A:A,TD!EC:EC,"",0,1)</f>
        <v>2</v>
      </c>
      <c r="G165" s="15">
        <f t="shared" si="10"/>
        <v>2</v>
      </c>
      <c r="H165" s="16">
        <f t="shared" si="11"/>
        <v>8537.07</v>
      </c>
      <c r="I165" s="16" t="e">
        <f t="shared" si="12"/>
        <v>#VALUE!</v>
      </c>
      <c r="J165" s="27">
        <v>22931</v>
      </c>
      <c r="K165" t="str">
        <f>_xlfn.XLOOKUP(J:J,'[3]FILTROS 2'!$A:$A,'[3]FILTROS 2'!$E:$E,"",0,1)</f>
        <v>ESMALTE - KITOX</v>
      </c>
      <c r="L165" s="30"/>
      <c r="O165" t="str">
        <f>_xlfn.XLOOKUP(A:A,[4]TD90D!$A:$A,[4]TD90D!$CW:$CW,"",0,1)</f>
        <v/>
      </c>
      <c r="P165" t="str">
        <f>_xlfn.XLOOKUP(A:A,[4]TD90D!$A:$A,[4]TD90D!$CX:$CX,"",0,1)</f>
        <v/>
      </c>
      <c r="Q165" t="str">
        <f>_xlfn.XLOOKUP(A:A,[4]TD90D!$A:$A,[4]TD90D!$DA:$DA,"",0,1)</f>
        <v/>
      </c>
      <c r="R165" s="31" t="e">
        <f t="shared" si="13"/>
        <v>#VALUE!</v>
      </c>
      <c r="S165" t="str">
        <f>_xlfn.XLOOKUP(A:A,'[4]TD90D PZAS'!$A:$A,'[4]TD90D PZAS'!$CW:$CW,"",0,1)</f>
        <v/>
      </c>
      <c r="T165" t="str">
        <f>_xlfn.XLOOKUP(A:A,'[4]TD90D PZAS'!$A:$A,'[4]TD90D PZAS'!$CX:$CX,"",0,1)</f>
        <v/>
      </c>
      <c r="U165" t="str">
        <f>_xlfn.XLOOKUP(A:A,'[4]TD90D PZAS'!$A:$A,'[4]TD90D PZAS'!$DA:$DA,"",0,1)</f>
        <v/>
      </c>
    </row>
    <row r="166" spans="1:21" x14ac:dyDescent="0.35">
      <c r="A166" t="s">
        <v>36</v>
      </c>
      <c r="B166" t="str">
        <f>_xlfn.XLOOKUP(A:A,[1]Hoja1!$C:$C,[1]Hoja1!$D:$D,"",0,1)</f>
        <v>ESMALTE GLOSI SR ALUMINIO</v>
      </c>
      <c r="C166" s="8">
        <v>1</v>
      </c>
      <c r="D166" s="11">
        <f>_xlfn.XLOOKUP(A:A,[2]Hoja1!$C:$C,[2]Hoja1!$H:$H,"",0,1)</f>
        <v>205.17</v>
      </c>
      <c r="E166" s="11">
        <f>_xlfn.XLOOKUP(A:A,[1]Hoja1!$C:$C,[1]Hoja1!$H:$H,"",0,1)</f>
        <v>161.21</v>
      </c>
      <c r="F166" s="14">
        <f>_xlfn.XLOOKUP(A:A,TD!A:A,TD!EC:EC,"",0,1)</f>
        <v>3</v>
      </c>
      <c r="G166" s="15">
        <f t="shared" si="10"/>
        <v>3</v>
      </c>
      <c r="H166" s="16">
        <f t="shared" si="11"/>
        <v>615.51</v>
      </c>
      <c r="I166" s="16">
        <f t="shared" si="12"/>
        <v>483.63</v>
      </c>
      <c r="J166" s="27" t="s">
        <v>36</v>
      </c>
      <c r="K166" t="str">
        <f>_xlfn.XLOOKUP(J:J,'[3]FILTROS 2'!$A:$A,'[3]FILTROS 2'!$E:$E,"",0,1)</f>
        <v>ESMALTE - GLOSI SECADO RAPIDO</v>
      </c>
      <c r="L166" s="30"/>
      <c r="O166" t="str">
        <f>_xlfn.XLOOKUP(A:A,[4]TD90D!$A:$A,[4]TD90D!$CW:$CW,"",0,1)</f>
        <v/>
      </c>
      <c r="P166" t="str">
        <f>_xlfn.XLOOKUP(A:A,[4]TD90D!$A:$A,[4]TD90D!$CX:$CX,"",0,1)</f>
        <v/>
      </c>
      <c r="Q166" t="str">
        <f>_xlfn.XLOOKUP(A:A,[4]TD90D!$A:$A,[4]TD90D!$DA:$DA,"",0,1)</f>
        <v/>
      </c>
      <c r="R166" s="31" t="e">
        <f t="shared" si="13"/>
        <v>#VALUE!</v>
      </c>
      <c r="S166" t="str">
        <f>_xlfn.XLOOKUP(A:A,'[4]TD90D PZAS'!$A:$A,'[4]TD90D PZAS'!$CW:$CW,"",0,1)</f>
        <v/>
      </c>
      <c r="T166" t="str">
        <f>_xlfn.XLOOKUP(A:A,'[4]TD90D PZAS'!$A:$A,'[4]TD90D PZAS'!$CX:$CX,"",0,1)</f>
        <v/>
      </c>
      <c r="U166" t="str">
        <f>_xlfn.XLOOKUP(A:A,'[4]TD90D PZAS'!$A:$A,'[4]TD90D PZAS'!$DA:$DA,"",0,1)</f>
        <v/>
      </c>
    </row>
    <row r="167" spans="1:21" x14ac:dyDescent="0.35">
      <c r="A167" t="s">
        <v>221</v>
      </c>
      <c r="B167" t="str">
        <f>_xlfn.XLOOKUP(A:A,[1]Hoja1!$C:$C,[1]Hoja1!$D:$D,"",0,1)</f>
        <v/>
      </c>
      <c r="C167" s="8">
        <v>1</v>
      </c>
      <c r="D167" s="11">
        <f>_xlfn.XLOOKUP(A:A,[2]Hoja1!$C:$C,[2]Hoja1!$H:$H,"",0,1)</f>
        <v>2845.69</v>
      </c>
      <c r="E167" s="11" t="str">
        <f>_xlfn.XLOOKUP(A:A,[1]Hoja1!$C:$C,[1]Hoja1!$H:$H,"",0,1)</f>
        <v/>
      </c>
      <c r="F167" s="14">
        <f>_xlfn.XLOOKUP(A:A,TD!A:A,TD!EC:EC,"",0,1)</f>
        <v>1</v>
      </c>
      <c r="G167" s="15">
        <f t="shared" si="10"/>
        <v>1</v>
      </c>
      <c r="H167" s="16">
        <f t="shared" si="11"/>
        <v>8537.07</v>
      </c>
      <c r="I167" s="16" t="e">
        <f t="shared" si="12"/>
        <v>#VALUE!</v>
      </c>
      <c r="J167" s="27">
        <v>22991</v>
      </c>
      <c r="K167" t="str">
        <f>_xlfn.XLOOKUP(J:J,'[3]FILTROS 2'!$A:$A,'[3]FILTROS 2'!$E:$E,"",0,1)</f>
        <v>ESMALTE - KITOX</v>
      </c>
      <c r="L167" s="30"/>
      <c r="O167">
        <f>_xlfn.XLOOKUP(A:A,[4]TD90D!$A:$A,[4]TD90D!$CW:$CW,"",0,1)</f>
        <v>2</v>
      </c>
      <c r="P167">
        <f>_xlfn.XLOOKUP(A:A,[4]TD90D!$A:$A,[4]TD90D!$CX:$CX,"",0,1)</f>
        <v>1</v>
      </c>
      <c r="Q167">
        <f>_xlfn.XLOOKUP(A:A,[4]TD90D!$A:$A,[4]TD90D!$DA:$DA,"",0,1)</f>
        <v>0</v>
      </c>
      <c r="R167" s="31">
        <f t="shared" si="13"/>
        <v>1</v>
      </c>
      <c r="S167">
        <f>_xlfn.XLOOKUP(A:A,'[4]TD90D PZAS'!$A:$A,'[4]TD90D PZAS'!$CW:$CW,"",0,1)</f>
        <v>2</v>
      </c>
      <c r="T167">
        <f>_xlfn.XLOOKUP(A:A,'[4]TD90D PZAS'!$A:$A,'[4]TD90D PZAS'!$CX:$CX,"",0,1)</f>
        <v>1</v>
      </c>
      <c r="U167">
        <f>_xlfn.XLOOKUP(A:A,'[4]TD90D PZAS'!$A:$A,'[4]TD90D PZAS'!$DA:$DA,"",0,1)</f>
        <v>0</v>
      </c>
    </row>
    <row r="168" spans="1:21" x14ac:dyDescent="0.35">
      <c r="A168" t="s">
        <v>259</v>
      </c>
      <c r="B168" t="str">
        <f>_xlfn.XLOOKUP(A:A,[1]Hoja1!$C:$C,[1]Hoja1!$D:$D,"",0,1)</f>
        <v>ESMALTE GLOSI SR BLANCO MATE</v>
      </c>
      <c r="C168" s="8">
        <v>1</v>
      </c>
      <c r="D168" s="11">
        <f>_xlfn.XLOOKUP(A:A,[2]Hoja1!$C:$C,[2]Hoja1!$H:$H,"",0,1)</f>
        <v>205.17</v>
      </c>
      <c r="E168" s="11">
        <f>_xlfn.XLOOKUP(A:A,[1]Hoja1!$C:$C,[1]Hoja1!$H:$H,"",0,1)</f>
        <v>161.21</v>
      </c>
      <c r="F168" s="14">
        <f>_xlfn.XLOOKUP(A:A,TD!A:A,TD!EC:EC,"",0,1)</f>
        <v>6</v>
      </c>
      <c r="G168" s="15">
        <f t="shared" si="10"/>
        <v>6</v>
      </c>
      <c r="H168" s="16">
        <f t="shared" si="11"/>
        <v>615.51</v>
      </c>
      <c r="I168" s="16">
        <f t="shared" si="12"/>
        <v>483.63</v>
      </c>
      <c r="J168" s="27" t="s">
        <v>259</v>
      </c>
      <c r="K168" t="str">
        <f>_xlfn.XLOOKUP(J:J,'[3]FILTROS 2'!$A:$A,'[3]FILTROS 2'!$E:$E,"",0,1)</f>
        <v>ESMALTE - GLOSI SECADO RAPIDO</v>
      </c>
      <c r="L168" s="30"/>
      <c r="O168" t="str">
        <f>_xlfn.XLOOKUP(A:A,[4]TD90D!$A:$A,[4]TD90D!$CW:$CW,"",0,1)</f>
        <v/>
      </c>
      <c r="P168" t="str">
        <f>_xlfn.XLOOKUP(A:A,[4]TD90D!$A:$A,[4]TD90D!$CX:$CX,"",0,1)</f>
        <v/>
      </c>
      <c r="Q168" t="str">
        <f>_xlfn.XLOOKUP(A:A,[4]TD90D!$A:$A,[4]TD90D!$DA:$DA,"",0,1)</f>
        <v/>
      </c>
      <c r="R168" s="31" t="e">
        <f t="shared" si="13"/>
        <v>#VALUE!</v>
      </c>
      <c r="S168" t="str">
        <f>_xlfn.XLOOKUP(A:A,'[4]TD90D PZAS'!$A:$A,'[4]TD90D PZAS'!$CW:$CW,"",0,1)</f>
        <v/>
      </c>
      <c r="T168" t="str">
        <f>_xlfn.XLOOKUP(A:A,'[4]TD90D PZAS'!$A:$A,'[4]TD90D PZAS'!$CX:$CX,"",0,1)</f>
        <v/>
      </c>
      <c r="U168" t="str">
        <f>_xlfn.XLOOKUP(A:A,'[4]TD90D PZAS'!$A:$A,'[4]TD90D PZAS'!$DA:$DA,"",0,1)</f>
        <v/>
      </c>
    </row>
    <row r="169" spans="1:21" x14ac:dyDescent="0.35">
      <c r="A169" t="s">
        <v>214</v>
      </c>
      <c r="B169" t="str">
        <f>_xlfn.XLOOKUP(A:A,[1]Hoja1!$C:$C,[1]Hoja1!$D:$D,"",0,1)</f>
        <v>BASE COLOR BLANCA</v>
      </c>
      <c r="C169" s="8">
        <v>1</v>
      </c>
      <c r="D169" s="11">
        <f>_xlfn.XLOOKUP(A:A,[2]Hoja1!$C:$C,[2]Hoja1!$H:$H,"",0,1)</f>
        <v>1878.45</v>
      </c>
      <c r="E169" s="11">
        <f>_xlfn.XLOOKUP(A:A,[1]Hoja1!$C:$C,[1]Hoja1!$H:$H,"",0,1)</f>
        <v>1311.21</v>
      </c>
      <c r="F169" s="14">
        <f>_xlfn.XLOOKUP(A:A,TD!A:A,TD!EC:EC,"",0,1)</f>
        <v>1</v>
      </c>
      <c r="G169" s="15">
        <f t="shared" si="10"/>
        <v>1</v>
      </c>
      <c r="H169" s="16">
        <f t="shared" si="11"/>
        <v>5635.35</v>
      </c>
      <c r="I169" s="16">
        <f t="shared" si="12"/>
        <v>3933.63</v>
      </c>
      <c r="J169" s="27">
        <v>70003</v>
      </c>
      <c r="K169" t="str">
        <f>_xlfn.XLOOKUP(J:J,'[3]FILTROS 2'!$A:$A,'[3]FILTROS 2'!$E:$E,"",0,1)</f>
        <v>BASE COLOR</v>
      </c>
      <c r="L169" s="30"/>
      <c r="O169" t="str">
        <f>_xlfn.XLOOKUP(A:A,[4]TD90D!$A:$A,[4]TD90D!$CW:$CW,"",0,1)</f>
        <v/>
      </c>
      <c r="P169" t="str">
        <f>_xlfn.XLOOKUP(A:A,[4]TD90D!$A:$A,[4]TD90D!$CX:$CX,"",0,1)</f>
        <v/>
      </c>
      <c r="Q169" t="str">
        <f>_xlfn.XLOOKUP(A:A,[4]TD90D!$A:$A,[4]TD90D!$DA:$DA,"",0,1)</f>
        <v/>
      </c>
      <c r="R169" s="31" t="e">
        <f t="shared" si="13"/>
        <v>#VALUE!</v>
      </c>
      <c r="S169" t="str">
        <f>_xlfn.XLOOKUP(A:A,'[4]TD90D PZAS'!$A:$A,'[4]TD90D PZAS'!$CW:$CW,"",0,1)</f>
        <v/>
      </c>
      <c r="T169" t="str">
        <f>_xlfn.XLOOKUP(A:A,'[4]TD90D PZAS'!$A:$A,'[4]TD90D PZAS'!$CX:$CX,"",0,1)</f>
        <v/>
      </c>
      <c r="U169" t="str">
        <f>_xlfn.XLOOKUP(A:A,'[4]TD90D PZAS'!$A:$A,'[4]TD90D PZAS'!$DA:$DA,"",0,1)</f>
        <v/>
      </c>
    </row>
    <row r="170" spans="1:21" x14ac:dyDescent="0.35">
      <c r="A170" t="s">
        <v>324</v>
      </c>
      <c r="B170" t="str">
        <f>_xlfn.XLOOKUP(A:A,[1]Hoja1!$C:$C,[1]Hoja1!$D:$D,"",0,1)</f>
        <v>VINILICA GLOSI MARFIL 3A</v>
      </c>
      <c r="C170" s="8">
        <v>1</v>
      </c>
      <c r="D170" s="11">
        <f>_xlfn.XLOOKUP(A:A,[2]Hoja1!$C:$C,[2]Hoja1!$H:$H,"",0,1)</f>
        <v>219.83</v>
      </c>
      <c r="E170" s="11">
        <f>_xlfn.XLOOKUP(A:A,[1]Hoja1!$C:$C,[1]Hoja1!$H:$H,"",0,1)</f>
        <v>163.79</v>
      </c>
      <c r="F170" s="14">
        <f>_xlfn.XLOOKUP(A:A,TD!A:A,TD!EC:EC,"",0,1)</f>
        <v>1</v>
      </c>
      <c r="G170" s="15">
        <f t="shared" si="10"/>
        <v>1</v>
      </c>
      <c r="H170" s="16">
        <f t="shared" si="11"/>
        <v>659.49</v>
      </c>
      <c r="I170" s="16">
        <f t="shared" si="12"/>
        <v>491.37</v>
      </c>
      <c r="J170" s="27" t="s">
        <v>324</v>
      </c>
      <c r="K170" t="str">
        <f>_xlfn.XLOOKUP(J:J,'[3]FILTROS 2'!$A:$A,'[3]FILTROS 2'!$E:$E,"",0,1)</f>
        <v>VINILICA - GLOSI 3 AÑOS</v>
      </c>
      <c r="L170" s="30"/>
      <c r="O170" t="str">
        <f>_xlfn.XLOOKUP(A:A,[4]TD90D!$A:$A,[4]TD90D!$CW:$CW,"",0,1)</f>
        <v/>
      </c>
      <c r="P170" t="str">
        <f>_xlfn.XLOOKUP(A:A,[4]TD90D!$A:$A,[4]TD90D!$CX:$CX,"",0,1)</f>
        <v/>
      </c>
      <c r="Q170" t="str">
        <f>_xlfn.XLOOKUP(A:A,[4]TD90D!$A:$A,[4]TD90D!$DA:$DA,"",0,1)</f>
        <v/>
      </c>
      <c r="R170" s="31" t="e">
        <f t="shared" si="13"/>
        <v>#VALUE!</v>
      </c>
      <c r="S170" t="str">
        <f>_xlfn.XLOOKUP(A:A,'[4]TD90D PZAS'!$A:$A,'[4]TD90D PZAS'!$CW:$CW,"",0,1)</f>
        <v/>
      </c>
      <c r="T170" t="str">
        <f>_xlfn.XLOOKUP(A:A,'[4]TD90D PZAS'!$A:$A,'[4]TD90D PZAS'!$CX:$CX,"",0,1)</f>
        <v/>
      </c>
      <c r="U170" t="str">
        <f>_xlfn.XLOOKUP(A:A,'[4]TD90D PZAS'!$A:$A,'[4]TD90D PZAS'!$DA:$DA,"",0,1)</f>
        <v/>
      </c>
    </row>
    <row r="171" spans="1:21" x14ac:dyDescent="0.35">
      <c r="A171" t="s">
        <v>242</v>
      </c>
      <c r="B171" t="str">
        <f>_xlfn.XLOOKUP(A:A,[1]Hoja1!$C:$C,[1]Hoja1!$D:$D,"",0,1)</f>
        <v>NEGRO CHASIS</v>
      </c>
      <c r="C171" s="8">
        <v>1</v>
      </c>
      <c r="D171" s="11">
        <f>_xlfn.XLOOKUP(A:A,[2]Hoja1!$C:$C,[2]Hoja1!$H:$H,"",0,1)</f>
        <v>681.9</v>
      </c>
      <c r="E171" s="11">
        <f>_xlfn.XLOOKUP(A:A,[1]Hoja1!$C:$C,[1]Hoja1!$H:$H,"",0,1)</f>
        <v>543.1</v>
      </c>
      <c r="F171" s="14">
        <f>_xlfn.XLOOKUP(A:A,TD!A:A,TD!EC:EC,"",0,1)</f>
        <v>4</v>
      </c>
      <c r="G171" s="15">
        <f t="shared" si="10"/>
        <v>4</v>
      </c>
      <c r="H171" s="16">
        <f t="shared" si="11"/>
        <v>2045.6999999999998</v>
      </c>
      <c r="I171" s="16">
        <f t="shared" si="12"/>
        <v>1629.3000000000002</v>
      </c>
      <c r="J171" s="27">
        <v>10983</v>
      </c>
      <c r="K171" t="str">
        <f>_xlfn.XLOOKUP(J:J,'[3]FILTROS 2'!$A:$A,'[3]FILTROS 2'!$E:$E,"",0,1)</f>
        <v>NEGRO CHASIS</v>
      </c>
      <c r="L171" s="30"/>
      <c r="O171" t="str">
        <f>_xlfn.XLOOKUP(A:A,[4]TD90D!$A:$A,[4]TD90D!$CW:$CW,"",0,1)</f>
        <v/>
      </c>
      <c r="P171" t="str">
        <f>_xlfn.XLOOKUP(A:A,[4]TD90D!$A:$A,[4]TD90D!$CX:$CX,"",0,1)</f>
        <v/>
      </c>
      <c r="Q171" t="str">
        <f>_xlfn.XLOOKUP(A:A,[4]TD90D!$A:$A,[4]TD90D!$DA:$DA,"",0,1)</f>
        <v/>
      </c>
      <c r="R171" s="31" t="e">
        <f t="shared" si="13"/>
        <v>#VALUE!</v>
      </c>
      <c r="S171" t="str">
        <f>_xlfn.XLOOKUP(A:A,'[4]TD90D PZAS'!$A:$A,'[4]TD90D PZAS'!$CW:$CW,"",0,1)</f>
        <v/>
      </c>
      <c r="T171" t="str">
        <f>_xlfn.XLOOKUP(A:A,'[4]TD90D PZAS'!$A:$A,'[4]TD90D PZAS'!$CX:$CX,"",0,1)</f>
        <v/>
      </c>
      <c r="U171" t="str">
        <f>_xlfn.XLOOKUP(A:A,'[4]TD90D PZAS'!$A:$A,'[4]TD90D PZAS'!$DA:$DA,"",0,1)</f>
        <v/>
      </c>
    </row>
    <row r="172" spans="1:21" x14ac:dyDescent="0.35">
      <c r="A172" t="s">
        <v>378</v>
      </c>
      <c r="B172" t="str">
        <f>_xlfn.XLOOKUP(A:A,[1]Hoja1!$C:$C,[1]Hoja1!$D:$D,"",0,1)</f>
        <v>BRILLON PITAYA</v>
      </c>
      <c r="C172" s="8">
        <v>1</v>
      </c>
      <c r="D172" s="11">
        <f>_xlfn.XLOOKUP(A:A,[2]Hoja1!$C:$C,[2]Hoja1!$H:$H,"",0,1)</f>
        <v>90.52</v>
      </c>
      <c r="E172" s="11">
        <f>_xlfn.XLOOKUP(A:A,[1]Hoja1!$C:$C,[1]Hoja1!$H:$H,"",0,1)</f>
        <v>67.239999999999995</v>
      </c>
      <c r="F172" s="14">
        <f>_xlfn.XLOOKUP(A:A,TD!A:A,TD!EC:EC,"",0,1)</f>
        <v>3</v>
      </c>
      <c r="G172" s="15">
        <f t="shared" si="10"/>
        <v>3</v>
      </c>
      <c r="H172" s="16">
        <f t="shared" si="11"/>
        <v>271.56</v>
      </c>
      <c r="I172" s="16">
        <f t="shared" si="12"/>
        <v>201.71999999999997</v>
      </c>
      <c r="J172" s="27">
        <v>28445</v>
      </c>
      <c r="K172" t="str">
        <f>_xlfn.XLOOKUP(J:J,'[3]FILTROS 2'!$A:$A,'[3]FILTROS 2'!$E:$E,"",0,1)</f>
        <v>ESMALTE - BRILLON</v>
      </c>
      <c r="L172" s="30"/>
      <c r="O172" t="str">
        <f>_xlfn.XLOOKUP(A:A,[4]TD90D!$A:$A,[4]TD90D!$CW:$CW,"",0,1)</f>
        <v/>
      </c>
      <c r="P172" t="str">
        <f>_xlfn.XLOOKUP(A:A,[4]TD90D!$A:$A,[4]TD90D!$CX:$CX,"",0,1)</f>
        <v/>
      </c>
      <c r="Q172" t="str">
        <f>_xlfn.XLOOKUP(A:A,[4]TD90D!$A:$A,[4]TD90D!$DA:$DA,"",0,1)</f>
        <v/>
      </c>
      <c r="R172" s="31" t="e">
        <f t="shared" si="13"/>
        <v>#VALUE!</v>
      </c>
      <c r="S172" t="str">
        <f>_xlfn.XLOOKUP(A:A,'[4]TD90D PZAS'!$A:$A,'[4]TD90D PZAS'!$CW:$CW,"",0,1)</f>
        <v/>
      </c>
      <c r="T172" t="str">
        <f>_xlfn.XLOOKUP(A:A,'[4]TD90D PZAS'!$A:$A,'[4]TD90D PZAS'!$CX:$CX,"",0,1)</f>
        <v/>
      </c>
      <c r="U172" t="str">
        <f>_xlfn.XLOOKUP(A:A,'[4]TD90D PZAS'!$A:$A,'[4]TD90D PZAS'!$DA:$DA,"",0,1)</f>
        <v/>
      </c>
    </row>
    <row r="173" spans="1:21" x14ac:dyDescent="0.35">
      <c r="A173" t="s">
        <v>389</v>
      </c>
      <c r="B173" t="str">
        <f>_xlfn.XLOOKUP(A:A,[1]Hoja1!$C:$C,[1]Hoja1!$D:$D,"",0,1)</f>
        <v>BRILLON GRIS</v>
      </c>
      <c r="C173" s="8">
        <v>1</v>
      </c>
      <c r="D173" s="11">
        <f>_xlfn.XLOOKUP(A:A,[2]Hoja1!$C:$C,[2]Hoja1!$H:$H,"",0,1)</f>
        <v>533.62</v>
      </c>
      <c r="E173" s="11">
        <f>_xlfn.XLOOKUP(A:A,[1]Hoja1!$C:$C,[1]Hoja1!$H:$H,"",0,1)</f>
        <v>401.72</v>
      </c>
      <c r="F173" s="14">
        <f>_xlfn.XLOOKUP(A:A,TD!A:A,TD!EC:EC,"",0,1)</f>
        <v>1</v>
      </c>
      <c r="G173" s="15">
        <f t="shared" si="10"/>
        <v>1</v>
      </c>
      <c r="H173" s="16">
        <f t="shared" si="11"/>
        <v>1600.8600000000001</v>
      </c>
      <c r="I173" s="16">
        <f t="shared" si="12"/>
        <v>1205.1600000000001</v>
      </c>
      <c r="J173" s="27">
        <v>28933</v>
      </c>
      <c r="K173" t="str">
        <f>_xlfn.XLOOKUP(J:J,'[3]FILTROS 2'!$A:$A,'[3]FILTROS 2'!$E:$E,"",0,1)</f>
        <v>ESMALTE - BRILLON</v>
      </c>
      <c r="L173" s="30"/>
      <c r="O173" t="str">
        <f>_xlfn.XLOOKUP(A:A,[4]TD90D!$A:$A,[4]TD90D!$CW:$CW,"",0,1)</f>
        <v/>
      </c>
      <c r="P173" t="str">
        <f>_xlfn.XLOOKUP(A:A,[4]TD90D!$A:$A,[4]TD90D!$CX:$CX,"",0,1)</f>
        <v/>
      </c>
      <c r="Q173" t="str">
        <f>_xlfn.XLOOKUP(A:A,[4]TD90D!$A:$A,[4]TD90D!$DA:$DA,"",0,1)</f>
        <v/>
      </c>
      <c r="R173" s="31" t="e">
        <f t="shared" si="13"/>
        <v>#VALUE!</v>
      </c>
      <c r="S173" t="str">
        <f>_xlfn.XLOOKUP(A:A,'[4]TD90D PZAS'!$A:$A,'[4]TD90D PZAS'!$CW:$CW,"",0,1)</f>
        <v/>
      </c>
      <c r="T173" t="str">
        <f>_xlfn.XLOOKUP(A:A,'[4]TD90D PZAS'!$A:$A,'[4]TD90D PZAS'!$CX:$CX,"",0,1)</f>
        <v/>
      </c>
      <c r="U173" t="str">
        <f>_xlfn.XLOOKUP(A:A,'[4]TD90D PZAS'!$A:$A,'[4]TD90D PZAS'!$DA:$DA,"",0,1)</f>
        <v/>
      </c>
    </row>
    <row r="174" spans="1:21" x14ac:dyDescent="0.35">
      <c r="A174" t="s">
        <v>226</v>
      </c>
      <c r="B174" t="str">
        <f>_xlfn.XLOOKUP(A:A,[1]Hoja1!$C:$C,[1]Hoja1!$D:$D,"",0,1)</f>
        <v/>
      </c>
      <c r="C174" s="8">
        <v>1</v>
      </c>
      <c r="D174" s="11">
        <f>_xlfn.XLOOKUP(A:A,[2]Hoja1!$C:$C,[2]Hoja1!$H:$H,"",0,1)</f>
        <v>231.9</v>
      </c>
      <c r="E174" s="11" t="str">
        <f>_xlfn.XLOOKUP(A:A,[1]Hoja1!$C:$C,[1]Hoja1!$H:$H,"",0,1)</f>
        <v/>
      </c>
      <c r="F174" s="14">
        <f>_xlfn.XLOOKUP(A:A,TD!A:A,TD!EC:EC,"",0,1)</f>
        <v>4</v>
      </c>
      <c r="G174" s="15">
        <f t="shared" si="10"/>
        <v>4</v>
      </c>
      <c r="H174" s="16">
        <f t="shared" si="11"/>
        <v>695.7</v>
      </c>
      <c r="I174" s="16" t="e">
        <f t="shared" si="12"/>
        <v>#VALUE!</v>
      </c>
      <c r="J174" s="27">
        <v>34003</v>
      </c>
      <c r="K174" t="str">
        <f>_xlfn.XLOOKUP(J:J,'[3]FILTROS 2'!$A:$A,'[3]FILTROS 2'!$E:$E,"",0,1)</f>
        <v>VINILICA - VINIBAR</v>
      </c>
      <c r="L174" s="30"/>
      <c r="O174">
        <f>_xlfn.XLOOKUP(A:A,[4]TD90D!$A:$A,[4]TD90D!$CW:$CW,"",0,1)</f>
        <v>4</v>
      </c>
      <c r="P174">
        <f>_xlfn.XLOOKUP(A:A,[4]TD90D!$A:$A,[4]TD90D!$CX:$CX,"",0,1)</f>
        <v>1</v>
      </c>
      <c r="Q174">
        <f>_xlfn.XLOOKUP(A:A,[4]TD90D!$A:$A,[4]TD90D!$DA:$DA,"",0,1)</f>
        <v>0</v>
      </c>
      <c r="R174" s="31">
        <f t="shared" si="13"/>
        <v>1</v>
      </c>
      <c r="S174">
        <f>_xlfn.XLOOKUP(A:A,'[4]TD90D PZAS'!$A:$A,'[4]TD90D PZAS'!$CW:$CW,"",0,1)</f>
        <v>12</v>
      </c>
      <c r="T174">
        <f>_xlfn.XLOOKUP(A:A,'[4]TD90D PZAS'!$A:$A,'[4]TD90D PZAS'!$CX:$CX,"",0,1)</f>
        <v>1</v>
      </c>
      <c r="U174">
        <f>_xlfn.XLOOKUP(A:A,'[4]TD90D PZAS'!$A:$A,'[4]TD90D PZAS'!$DA:$DA,"",0,1)</f>
        <v>0</v>
      </c>
    </row>
    <row r="175" spans="1:21" x14ac:dyDescent="0.35">
      <c r="A175" t="s">
        <v>340</v>
      </c>
      <c r="B175" t="str">
        <f>_xlfn.XLOOKUP(A:A,[1]Hoja1!$C:$C,[1]Hoja1!$D:$D,"",0,1)</f>
        <v>SELLADOR P/MUNEQUEO A.S./A.V.200</v>
      </c>
      <c r="C175" s="8">
        <v>1</v>
      </c>
      <c r="D175" s="11">
        <f>_xlfn.XLOOKUP(A:A,[2]Hoja1!$C:$C,[2]Hoja1!$H:$H,"",0,1)</f>
        <v>279.31</v>
      </c>
      <c r="E175" s="11">
        <f>_xlfn.XLOOKUP(A:A,[1]Hoja1!$C:$C,[1]Hoja1!$H:$H,"",0,1)</f>
        <v>234.48</v>
      </c>
      <c r="F175" s="14">
        <f>_xlfn.XLOOKUP(A:A,TD!A:A,TD!EC:EC,"",0,1)</f>
        <v>6</v>
      </c>
      <c r="G175" s="15">
        <f t="shared" si="10"/>
        <v>6</v>
      </c>
      <c r="H175" s="16">
        <f t="shared" si="11"/>
        <v>837.93000000000006</v>
      </c>
      <c r="I175" s="16">
        <f t="shared" si="12"/>
        <v>703.43999999999994</v>
      </c>
      <c r="J175" s="27">
        <v>12774</v>
      </c>
      <c r="K175" t="str">
        <f>_xlfn.XLOOKUP(J:J,'[3]FILTROS 2'!$A:$A,'[3]FILTROS 2'!$E:$E,"",0,1)</f>
        <v>SELLADORES DE NITROCELULOSA</v>
      </c>
      <c r="L175" s="30"/>
      <c r="O175" t="str">
        <f>_xlfn.XLOOKUP(A:A,[4]TD90D!$A:$A,[4]TD90D!$CW:$CW,"",0,1)</f>
        <v/>
      </c>
      <c r="P175" t="str">
        <f>_xlfn.XLOOKUP(A:A,[4]TD90D!$A:$A,[4]TD90D!$CX:$CX,"",0,1)</f>
        <v/>
      </c>
      <c r="Q175" t="str">
        <f>_xlfn.XLOOKUP(A:A,[4]TD90D!$A:$A,[4]TD90D!$DA:$DA,"",0,1)</f>
        <v/>
      </c>
      <c r="R175" s="31" t="e">
        <f t="shared" si="13"/>
        <v>#VALUE!</v>
      </c>
      <c r="S175" t="str">
        <f>_xlfn.XLOOKUP(A:A,'[4]TD90D PZAS'!$A:$A,'[4]TD90D PZAS'!$CW:$CW,"",0,1)</f>
        <v/>
      </c>
      <c r="T175" t="str">
        <f>_xlfn.XLOOKUP(A:A,'[4]TD90D PZAS'!$A:$A,'[4]TD90D PZAS'!$CX:$CX,"",0,1)</f>
        <v/>
      </c>
      <c r="U175" t="str">
        <f>_xlfn.XLOOKUP(A:A,'[4]TD90D PZAS'!$A:$A,'[4]TD90D PZAS'!$DA:$DA,"",0,1)</f>
        <v/>
      </c>
    </row>
    <row r="176" spans="1:21" x14ac:dyDescent="0.35">
      <c r="A176" t="s">
        <v>286</v>
      </c>
      <c r="B176" t="str">
        <f>_xlfn.XLOOKUP(A:A,[1]Hoja1!$C:$C,[1]Hoja1!$D:$D,"",0,1)</f>
        <v/>
      </c>
      <c r="C176" s="8">
        <v>1</v>
      </c>
      <c r="D176" s="11">
        <f>_xlfn.XLOOKUP(A:A,[2]Hoja1!$C:$C,[2]Hoja1!$H:$H,"",0,1)</f>
        <v>1168.0999999999999</v>
      </c>
      <c r="E176" s="11" t="str">
        <f>_xlfn.XLOOKUP(A:A,[1]Hoja1!$C:$C,[1]Hoja1!$H:$H,"",0,1)</f>
        <v/>
      </c>
      <c r="F176" s="14">
        <f>_xlfn.XLOOKUP(A:A,TD!A:A,TD!EC:EC,"",0,1)</f>
        <v>18</v>
      </c>
      <c r="G176" s="15">
        <f t="shared" si="10"/>
        <v>18</v>
      </c>
      <c r="H176" s="16">
        <f t="shared" si="11"/>
        <v>3504.2999999999997</v>
      </c>
      <c r="I176" s="16" t="e">
        <f t="shared" si="12"/>
        <v>#VALUE!</v>
      </c>
      <c r="J176" s="27">
        <v>38551</v>
      </c>
      <c r="K176" t="str">
        <f>_xlfn.XLOOKUP(J:J,'[3]FILTROS 2'!$A:$A,'[3]FILTROS 2'!$E:$E,"",0,1)</f>
        <v>IMPERM - PARAGUAS 3 AÑOS</v>
      </c>
      <c r="L176" s="30"/>
      <c r="O176" t="str">
        <f>_xlfn.XLOOKUP(A:A,[4]TD90D!$A:$A,[4]TD90D!$CW:$CW,"",0,1)</f>
        <v/>
      </c>
      <c r="P176" t="str">
        <f>_xlfn.XLOOKUP(A:A,[4]TD90D!$A:$A,[4]TD90D!$CX:$CX,"",0,1)</f>
        <v/>
      </c>
      <c r="Q176" t="str">
        <f>_xlfn.XLOOKUP(A:A,[4]TD90D!$A:$A,[4]TD90D!$DA:$DA,"",0,1)</f>
        <v/>
      </c>
      <c r="R176" s="31" t="e">
        <f t="shared" si="13"/>
        <v>#VALUE!</v>
      </c>
      <c r="S176" t="str">
        <f>_xlfn.XLOOKUP(A:A,'[4]TD90D PZAS'!$A:$A,'[4]TD90D PZAS'!$CW:$CW,"",0,1)</f>
        <v/>
      </c>
      <c r="T176" t="str">
        <f>_xlfn.XLOOKUP(A:A,'[4]TD90D PZAS'!$A:$A,'[4]TD90D PZAS'!$CX:$CX,"",0,1)</f>
        <v/>
      </c>
      <c r="U176" t="str">
        <f>_xlfn.XLOOKUP(A:A,'[4]TD90D PZAS'!$A:$A,'[4]TD90D PZAS'!$DA:$DA,"",0,1)</f>
        <v/>
      </c>
    </row>
    <row r="177" spans="1:21" x14ac:dyDescent="0.35">
      <c r="A177" t="s">
        <v>246</v>
      </c>
      <c r="B177" t="str">
        <f>_xlfn.XLOOKUP(A:A,[1]Hoja1!$C:$C,[1]Hoja1!$D:$D,"",0,1)</f>
        <v>CUNA GRANDE SIN MANGO P/RESANAR</v>
      </c>
      <c r="C177" s="8">
        <v>1</v>
      </c>
      <c r="D177" s="11">
        <f>_xlfn.XLOOKUP(A:A,[2]Hoja1!$C:$C,[2]Hoja1!$H:$H,"",0,1)</f>
        <v>13.79</v>
      </c>
      <c r="E177" s="11">
        <f>_xlfn.XLOOKUP(A:A,[1]Hoja1!$C:$C,[1]Hoja1!$H:$H,"",0,1)</f>
        <v>11.21</v>
      </c>
      <c r="F177" s="14">
        <f>_xlfn.XLOOKUP(A:A,TD!A:A,TD!EC:EC,"",0,1)</f>
        <v>100</v>
      </c>
      <c r="G177" s="15">
        <f t="shared" si="10"/>
        <v>100</v>
      </c>
      <c r="H177" s="16">
        <f t="shared" si="11"/>
        <v>41.37</v>
      </c>
      <c r="I177" s="16">
        <f t="shared" si="12"/>
        <v>33.630000000000003</v>
      </c>
      <c r="J177" s="27">
        <v>9185</v>
      </c>
      <c r="K177" t="str">
        <f>_xlfn.XLOOKUP(J:J,'[3]FILTROS 2'!$A:$A,'[3]FILTROS 2'!$E:$E,"",0,1)</f>
        <v>ACCESORIOS PARA PREPARACION DE</v>
      </c>
      <c r="L177" s="30"/>
      <c r="O177" t="str">
        <f>_xlfn.XLOOKUP(A:A,[4]TD90D!$A:$A,[4]TD90D!$CW:$CW,"",0,1)</f>
        <v/>
      </c>
      <c r="P177" t="str">
        <f>_xlfn.XLOOKUP(A:A,[4]TD90D!$A:$A,[4]TD90D!$CX:$CX,"",0,1)</f>
        <v/>
      </c>
      <c r="Q177" t="str">
        <f>_xlfn.XLOOKUP(A:A,[4]TD90D!$A:$A,[4]TD90D!$DA:$DA,"",0,1)</f>
        <v/>
      </c>
      <c r="R177" s="31" t="e">
        <f t="shared" si="13"/>
        <v>#VALUE!</v>
      </c>
      <c r="S177" t="str">
        <f>_xlfn.XLOOKUP(A:A,'[4]TD90D PZAS'!$A:$A,'[4]TD90D PZAS'!$CW:$CW,"",0,1)</f>
        <v/>
      </c>
      <c r="T177" t="str">
        <f>_xlfn.XLOOKUP(A:A,'[4]TD90D PZAS'!$A:$A,'[4]TD90D PZAS'!$CX:$CX,"",0,1)</f>
        <v/>
      </c>
      <c r="U177" t="str">
        <f>_xlfn.XLOOKUP(A:A,'[4]TD90D PZAS'!$A:$A,'[4]TD90D PZAS'!$DA:$DA,"",0,1)</f>
        <v/>
      </c>
    </row>
    <row r="178" spans="1:21" x14ac:dyDescent="0.35">
      <c r="A178" t="s">
        <v>210</v>
      </c>
      <c r="B178" t="str">
        <f>_xlfn.XLOOKUP(A:A,[1]Hoja1!$C:$C,[1]Hoja1!$D:$D,"",0,1)</f>
        <v>ESM. ACRILICO NEGRO 590</v>
      </c>
      <c r="C178" s="8">
        <v>1</v>
      </c>
      <c r="D178" s="11">
        <f>_xlfn.XLOOKUP(A:A,[2]Hoja1!$C:$C,[2]Hoja1!$H:$H,"",0,1)</f>
        <v>1149.1400000000001</v>
      </c>
      <c r="E178" s="11">
        <f>_xlfn.XLOOKUP(A:A,[1]Hoja1!$C:$C,[1]Hoja1!$H:$H,"",0,1)</f>
        <v>821.55</v>
      </c>
      <c r="F178" s="14">
        <f>_xlfn.XLOOKUP(A:A,TD!A:A,TD!EC:EC,"",0,1)</f>
        <v>1</v>
      </c>
      <c r="G178" s="15">
        <f t="shared" si="10"/>
        <v>1</v>
      </c>
      <c r="H178" s="16">
        <f t="shared" si="11"/>
        <v>3447.42</v>
      </c>
      <c r="I178" s="16">
        <f t="shared" si="12"/>
        <v>2464.6499999999996</v>
      </c>
      <c r="J178" s="27">
        <v>25993</v>
      </c>
      <c r="K178" t="str">
        <f>_xlfn.XLOOKUP(J:J,'[3]FILTROS 2'!$A:$A,'[3]FILTROS 2'!$E:$E,"",0,1)</f>
        <v>ESMALTE ACRILICO</v>
      </c>
      <c r="L178" s="30"/>
      <c r="O178" t="str">
        <f>_xlfn.XLOOKUP(A:A,[4]TD90D!$A:$A,[4]TD90D!$CW:$CW,"",0,1)</f>
        <v/>
      </c>
      <c r="P178" t="str">
        <f>_xlfn.XLOOKUP(A:A,[4]TD90D!$A:$A,[4]TD90D!$CX:$CX,"",0,1)</f>
        <v/>
      </c>
      <c r="Q178" t="str">
        <f>_xlfn.XLOOKUP(A:A,[4]TD90D!$A:$A,[4]TD90D!$DA:$DA,"",0,1)</f>
        <v/>
      </c>
      <c r="R178" s="31" t="e">
        <f t="shared" si="13"/>
        <v>#VALUE!</v>
      </c>
      <c r="S178" t="str">
        <f>_xlfn.XLOOKUP(A:A,'[4]TD90D PZAS'!$A:$A,'[4]TD90D PZAS'!$CW:$CW,"",0,1)</f>
        <v/>
      </c>
      <c r="T178" t="str">
        <f>_xlfn.XLOOKUP(A:A,'[4]TD90D PZAS'!$A:$A,'[4]TD90D PZAS'!$CX:$CX,"",0,1)</f>
        <v/>
      </c>
      <c r="U178" t="str">
        <f>_xlfn.XLOOKUP(A:A,'[4]TD90D PZAS'!$A:$A,'[4]TD90D PZAS'!$DA:$DA,"",0,1)</f>
        <v/>
      </c>
    </row>
    <row r="179" spans="1:21" x14ac:dyDescent="0.35">
      <c r="A179" t="s">
        <v>234</v>
      </c>
      <c r="B179" t="str">
        <f>_xlfn.XLOOKUP(A:A,[1]Hoja1!$C:$C,[1]Hoja1!$D:$D,"",0,1)</f>
        <v/>
      </c>
      <c r="C179" s="8">
        <v>1</v>
      </c>
      <c r="D179" s="11">
        <f>_xlfn.XLOOKUP(A:A,[2]Hoja1!$C:$C,[2]Hoja1!$H:$H,"",0,1)</f>
        <v>671.55</v>
      </c>
      <c r="E179" s="11" t="str">
        <f>_xlfn.XLOOKUP(A:A,[1]Hoja1!$C:$C,[1]Hoja1!$H:$H,"",0,1)</f>
        <v/>
      </c>
      <c r="F179" s="14">
        <f>_xlfn.XLOOKUP(A:A,TD!A:A,TD!EC:EC,"",0,1)</f>
        <v>2</v>
      </c>
      <c r="G179" s="15">
        <f t="shared" si="10"/>
        <v>2</v>
      </c>
      <c r="H179" s="16">
        <f t="shared" si="11"/>
        <v>2014.6499999999999</v>
      </c>
      <c r="I179" s="16" t="e">
        <f t="shared" si="12"/>
        <v>#VALUE!</v>
      </c>
      <c r="J179" s="27">
        <v>22993</v>
      </c>
      <c r="K179" t="str">
        <f>_xlfn.XLOOKUP(J:J,'[3]FILTROS 2'!$A:$A,'[3]FILTROS 2'!$E:$E,"",0,1)</f>
        <v>ESMALTE - KITOX</v>
      </c>
      <c r="L179" s="30"/>
      <c r="O179" t="str">
        <f>_xlfn.XLOOKUP(A:A,[4]TD90D!$A:$A,[4]TD90D!$CW:$CW,"",0,1)</f>
        <v/>
      </c>
      <c r="P179" t="str">
        <f>_xlfn.XLOOKUP(A:A,[4]TD90D!$A:$A,[4]TD90D!$CX:$CX,"",0,1)</f>
        <v/>
      </c>
      <c r="Q179" t="str">
        <f>_xlfn.XLOOKUP(A:A,[4]TD90D!$A:$A,[4]TD90D!$DA:$DA,"",0,1)</f>
        <v/>
      </c>
      <c r="R179" s="31" t="e">
        <f t="shared" si="13"/>
        <v>#VALUE!</v>
      </c>
      <c r="S179" t="str">
        <f>_xlfn.XLOOKUP(A:A,'[4]TD90D PZAS'!$A:$A,'[4]TD90D PZAS'!$CW:$CW,"",0,1)</f>
        <v/>
      </c>
      <c r="T179" t="str">
        <f>_xlfn.XLOOKUP(A:A,'[4]TD90D PZAS'!$A:$A,'[4]TD90D PZAS'!$CX:$CX,"",0,1)</f>
        <v/>
      </c>
      <c r="U179" t="str">
        <f>_xlfn.XLOOKUP(A:A,'[4]TD90D PZAS'!$A:$A,'[4]TD90D PZAS'!$DA:$DA,"",0,1)</f>
        <v/>
      </c>
    </row>
    <row r="180" spans="1:21" x14ac:dyDescent="0.35">
      <c r="A180" t="s">
        <v>244</v>
      </c>
      <c r="B180" t="str">
        <f>_xlfn.XLOOKUP(A:A,[1]Hoja1!$C:$C,[1]Hoja1!$D:$D,"",0,1)</f>
        <v>ESMALTE GLOSI SR ROJO</v>
      </c>
      <c r="C180" s="8">
        <v>1</v>
      </c>
      <c r="D180" s="11">
        <f>_xlfn.XLOOKUP(A:A,[2]Hoja1!$C:$C,[2]Hoja1!$H:$H,"",0,1)</f>
        <v>730.17</v>
      </c>
      <c r="E180" s="11">
        <f>_xlfn.XLOOKUP(A:A,[1]Hoja1!$C:$C,[1]Hoja1!$H:$H,"",0,1)</f>
        <v>584.48</v>
      </c>
      <c r="F180" s="14">
        <f>_xlfn.XLOOKUP(A:A,TD!A:A,TD!EC:EC,"",0,1)</f>
        <v>16</v>
      </c>
      <c r="G180" s="15">
        <f t="shared" si="10"/>
        <v>16</v>
      </c>
      <c r="H180" s="16">
        <f t="shared" si="11"/>
        <v>2190.5099999999998</v>
      </c>
      <c r="I180" s="16">
        <f t="shared" si="12"/>
        <v>1753.44</v>
      </c>
      <c r="J180" s="27" t="s">
        <v>244</v>
      </c>
      <c r="K180" t="str">
        <f>_xlfn.XLOOKUP(J:J,'[3]FILTROS 2'!$A:$A,'[3]FILTROS 2'!$E:$E,"",0,1)</f>
        <v>ESMALTE - GLOSI SECADO RAPIDO</v>
      </c>
      <c r="L180" s="30"/>
      <c r="O180" t="str">
        <f>_xlfn.XLOOKUP(A:A,[4]TD90D!$A:$A,[4]TD90D!$CW:$CW,"",0,1)</f>
        <v/>
      </c>
      <c r="P180" t="str">
        <f>_xlfn.XLOOKUP(A:A,[4]TD90D!$A:$A,[4]TD90D!$CX:$CX,"",0,1)</f>
        <v/>
      </c>
      <c r="Q180" t="str">
        <f>_xlfn.XLOOKUP(A:A,[4]TD90D!$A:$A,[4]TD90D!$DA:$DA,"",0,1)</f>
        <v/>
      </c>
      <c r="R180" s="31" t="e">
        <f t="shared" si="13"/>
        <v>#VALUE!</v>
      </c>
      <c r="S180" t="str">
        <f>_xlfn.XLOOKUP(A:A,'[4]TD90D PZAS'!$A:$A,'[4]TD90D PZAS'!$CW:$CW,"",0,1)</f>
        <v/>
      </c>
      <c r="T180" t="str">
        <f>_xlfn.XLOOKUP(A:A,'[4]TD90D PZAS'!$A:$A,'[4]TD90D PZAS'!$CX:$CX,"",0,1)</f>
        <v/>
      </c>
      <c r="U180" t="str">
        <f>_xlfn.XLOOKUP(A:A,'[4]TD90D PZAS'!$A:$A,'[4]TD90D PZAS'!$DA:$DA,"",0,1)</f>
        <v/>
      </c>
    </row>
    <row r="181" spans="1:21" x14ac:dyDescent="0.35">
      <c r="A181" t="s">
        <v>95</v>
      </c>
      <c r="B181" t="str">
        <f>_xlfn.XLOOKUP(A:A,[1]Hoja1!$C:$C,[1]Hoja1!$D:$D,"",0,1)</f>
        <v>BRILLON CALABAZA</v>
      </c>
      <c r="C181" s="8">
        <v>1</v>
      </c>
      <c r="D181" s="11">
        <f>_xlfn.XLOOKUP(A:A,[2]Hoja1!$C:$C,[2]Hoja1!$H:$H,"",0,1)</f>
        <v>90.52</v>
      </c>
      <c r="E181" s="11">
        <f>_xlfn.XLOOKUP(A:A,[1]Hoja1!$C:$C,[1]Hoja1!$H:$H,"",0,1)</f>
        <v>67.239999999999995</v>
      </c>
      <c r="F181" s="14">
        <f>_xlfn.XLOOKUP(A:A,TD!A:A,TD!EC:EC,"",0,1)</f>
        <v>4</v>
      </c>
      <c r="G181" s="15">
        <f t="shared" si="10"/>
        <v>4</v>
      </c>
      <c r="H181" s="16">
        <f t="shared" si="11"/>
        <v>271.56</v>
      </c>
      <c r="I181" s="16">
        <f t="shared" si="12"/>
        <v>201.71999999999997</v>
      </c>
      <c r="J181" s="27">
        <v>28265</v>
      </c>
      <c r="K181" t="str">
        <f>_xlfn.XLOOKUP(J:J,'[3]FILTROS 2'!$A:$A,'[3]FILTROS 2'!$E:$E,"",0,1)</f>
        <v>ESMALTE - BRILLON</v>
      </c>
      <c r="L181" s="30"/>
      <c r="O181" t="str">
        <f>_xlfn.XLOOKUP(A:A,[4]TD90D!$A:$A,[4]TD90D!$CW:$CW,"",0,1)</f>
        <v/>
      </c>
      <c r="P181" t="str">
        <f>_xlfn.XLOOKUP(A:A,[4]TD90D!$A:$A,[4]TD90D!$CX:$CX,"",0,1)</f>
        <v/>
      </c>
      <c r="Q181" t="str">
        <f>_xlfn.XLOOKUP(A:A,[4]TD90D!$A:$A,[4]TD90D!$DA:$DA,"",0,1)</f>
        <v/>
      </c>
      <c r="R181" s="31" t="e">
        <f t="shared" si="13"/>
        <v>#VALUE!</v>
      </c>
      <c r="S181" t="str">
        <f>_xlfn.XLOOKUP(A:A,'[4]TD90D PZAS'!$A:$A,'[4]TD90D PZAS'!$CW:$CW,"",0,1)</f>
        <v/>
      </c>
      <c r="T181" t="str">
        <f>_xlfn.XLOOKUP(A:A,'[4]TD90D PZAS'!$A:$A,'[4]TD90D PZAS'!$CX:$CX,"",0,1)</f>
        <v/>
      </c>
      <c r="U181" t="str">
        <f>_xlfn.XLOOKUP(A:A,'[4]TD90D PZAS'!$A:$A,'[4]TD90D PZAS'!$DA:$DA,"",0,1)</f>
        <v/>
      </c>
    </row>
    <row r="182" spans="1:21" x14ac:dyDescent="0.35">
      <c r="A182" t="s">
        <v>258</v>
      </c>
      <c r="B182" t="str">
        <f>_xlfn.XLOOKUP(A:A,[1]Hoja1!$C:$C,[1]Hoja1!$D:$D,"",0,1)</f>
        <v>ESMALTE GLOSI SR NEGRO MATE</v>
      </c>
      <c r="C182" s="8">
        <v>1</v>
      </c>
      <c r="D182" s="11">
        <f>_xlfn.XLOOKUP(A:A,[2]Hoja1!$C:$C,[2]Hoja1!$H:$H,"",0,1)</f>
        <v>205.17</v>
      </c>
      <c r="E182" s="11">
        <f>_xlfn.XLOOKUP(A:A,[1]Hoja1!$C:$C,[1]Hoja1!$H:$H,"",0,1)</f>
        <v>161.21</v>
      </c>
      <c r="F182" s="14">
        <f>_xlfn.XLOOKUP(A:A,TD!A:A,TD!EC:EC,"",0,1)</f>
        <v>6</v>
      </c>
      <c r="G182" s="15">
        <f t="shared" si="10"/>
        <v>6</v>
      </c>
      <c r="H182" s="16">
        <f t="shared" si="11"/>
        <v>615.51</v>
      </c>
      <c r="I182" s="16">
        <f t="shared" si="12"/>
        <v>483.63</v>
      </c>
      <c r="J182" s="27" t="s">
        <v>258</v>
      </c>
      <c r="K182" t="str">
        <f>_xlfn.XLOOKUP(J:J,'[3]FILTROS 2'!$A:$A,'[3]FILTROS 2'!$E:$E,"",0,1)</f>
        <v>ESMALTE - GLOSI SECADO RAPIDO</v>
      </c>
      <c r="L182" s="30"/>
      <c r="O182" t="str">
        <f>_xlfn.XLOOKUP(A:A,[4]TD90D!$A:$A,[4]TD90D!$CW:$CW,"",0,1)</f>
        <v/>
      </c>
      <c r="P182" t="str">
        <f>_xlfn.XLOOKUP(A:A,[4]TD90D!$A:$A,[4]TD90D!$CX:$CX,"",0,1)</f>
        <v/>
      </c>
      <c r="Q182" t="str">
        <f>_xlfn.XLOOKUP(A:A,[4]TD90D!$A:$A,[4]TD90D!$DA:$DA,"",0,1)</f>
        <v/>
      </c>
      <c r="R182" s="31" t="e">
        <f t="shared" si="13"/>
        <v>#VALUE!</v>
      </c>
      <c r="S182" t="str">
        <f>_xlfn.XLOOKUP(A:A,'[4]TD90D PZAS'!$A:$A,'[4]TD90D PZAS'!$CW:$CW,"",0,1)</f>
        <v/>
      </c>
      <c r="T182" t="str">
        <f>_xlfn.XLOOKUP(A:A,'[4]TD90D PZAS'!$A:$A,'[4]TD90D PZAS'!$CX:$CX,"",0,1)</f>
        <v/>
      </c>
      <c r="U182" t="str">
        <f>_xlfn.XLOOKUP(A:A,'[4]TD90D PZAS'!$A:$A,'[4]TD90D PZAS'!$DA:$DA,"",0,1)</f>
        <v/>
      </c>
    </row>
    <row r="183" spans="1:21" x14ac:dyDescent="0.35">
      <c r="A183" t="s">
        <v>274</v>
      </c>
      <c r="B183" t="str">
        <f>_xlfn.XLOOKUP(A:A,[1]Hoja1!$C:$C,[1]Hoja1!$D:$D,"",0,1)</f>
        <v>BRILLON MENTA</v>
      </c>
      <c r="C183" s="8">
        <v>1</v>
      </c>
      <c r="D183" s="11">
        <f>_xlfn.XLOOKUP(A:A,[2]Hoja1!$C:$C,[2]Hoja1!$H:$H,"",0,1)</f>
        <v>150.86000000000001</v>
      </c>
      <c r="E183" s="11">
        <f>_xlfn.XLOOKUP(A:A,[1]Hoja1!$C:$C,[1]Hoja1!$H:$H,"",0,1)</f>
        <v>112.93</v>
      </c>
      <c r="F183" s="14">
        <f>_xlfn.XLOOKUP(A:A,TD!A:A,TD!EC:EC,"",0,1)</f>
        <v>3</v>
      </c>
      <c r="G183" s="15">
        <f t="shared" si="10"/>
        <v>3</v>
      </c>
      <c r="H183" s="16">
        <f t="shared" si="11"/>
        <v>452.58000000000004</v>
      </c>
      <c r="I183" s="16">
        <f t="shared" si="12"/>
        <v>338.79</v>
      </c>
      <c r="J183" s="27">
        <v>28634</v>
      </c>
      <c r="K183" t="str">
        <f>_xlfn.XLOOKUP(J:J,'[3]FILTROS 2'!$A:$A,'[3]FILTROS 2'!$E:$E,"",0,1)</f>
        <v>ESMALTE - BRILLON</v>
      </c>
      <c r="L183" s="30"/>
      <c r="O183" t="str">
        <f>_xlfn.XLOOKUP(A:A,[4]TD90D!$A:$A,[4]TD90D!$CW:$CW,"",0,1)</f>
        <v/>
      </c>
      <c r="P183" t="str">
        <f>_xlfn.XLOOKUP(A:A,[4]TD90D!$A:$A,[4]TD90D!$CX:$CX,"",0,1)</f>
        <v/>
      </c>
      <c r="Q183" t="str">
        <f>_xlfn.XLOOKUP(A:A,[4]TD90D!$A:$A,[4]TD90D!$DA:$DA,"",0,1)</f>
        <v/>
      </c>
      <c r="R183" s="31" t="e">
        <f t="shared" si="13"/>
        <v>#VALUE!</v>
      </c>
      <c r="S183" t="str">
        <f>_xlfn.XLOOKUP(A:A,'[4]TD90D PZAS'!$A:$A,'[4]TD90D PZAS'!$CW:$CW,"",0,1)</f>
        <v/>
      </c>
      <c r="T183" t="str">
        <f>_xlfn.XLOOKUP(A:A,'[4]TD90D PZAS'!$A:$A,'[4]TD90D PZAS'!$CX:$CX,"",0,1)</f>
        <v/>
      </c>
      <c r="U183" t="str">
        <f>_xlfn.XLOOKUP(A:A,'[4]TD90D PZAS'!$A:$A,'[4]TD90D PZAS'!$DA:$DA,"",0,1)</f>
        <v/>
      </c>
    </row>
    <row r="184" spans="1:21" x14ac:dyDescent="0.35">
      <c r="A184" t="s">
        <v>344</v>
      </c>
      <c r="B184" t="str">
        <f>_xlfn.XLOOKUP(A:A,[1]Hoja1!$C:$C,[1]Hoja1!$D:$D,"",0,1)</f>
        <v>FONDO MINIO NARANJA 1288</v>
      </c>
      <c r="C184" s="8">
        <v>1</v>
      </c>
      <c r="D184" s="11">
        <f>_xlfn.XLOOKUP(A:A,[2]Hoja1!$C:$C,[2]Hoja1!$H:$H,"",0,1)</f>
        <v>381.03</v>
      </c>
      <c r="E184" s="11">
        <f>_xlfn.XLOOKUP(A:A,[1]Hoja1!$C:$C,[1]Hoja1!$H:$H,"",0,1)</f>
        <v>325.86</v>
      </c>
      <c r="F184" s="14">
        <f>_xlfn.XLOOKUP(A:A,TD!A:A,TD!EC:EC,"",0,1)</f>
        <v>6</v>
      </c>
      <c r="G184" s="15">
        <f t="shared" si="10"/>
        <v>6</v>
      </c>
      <c r="H184" s="16">
        <f t="shared" si="11"/>
        <v>1143.0899999999999</v>
      </c>
      <c r="I184" s="16">
        <f t="shared" si="12"/>
        <v>977.58</v>
      </c>
      <c r="J184" s="27">
        <v>15344</v>
      </c>
      <c r="K184" t="str">
        <f>_xlfn.XLOOKUP(J:J,'[3]FILTROS 2'!$A:$A,'[3]FILTROS 2'!$E:$E,"",0,1)</f>
        <v>PRIMARIOS ESTRUCTURALES ALQUID</v>
      </c>
      <c r="L184" s="30"/>
      <c r="O184" t="str">
        <f>_xlfn.XLOOKUP(A:A,[4]TD90D!$A:$A,[4]TD90D!$CW:$CW,"",0,1)</f>
        <v/>
      </c>
      <c r="P184" t="str">
        <f>_xlfn.XLOOKUP(A:A,[4]TD90D!$A:$A,[4]TD90D!$CX:$CX,"",0,1)</f>
        <v/>
      </c>
      <c r="Q184" t="str">
        <f>_xlfn.XLOOKUP(A:A,[4]TD90D!$A:$A,[4]TD90D!$DA:$DA,"",0,1)</f>
        <v/>
      </c>
      <c r="R184" s="31" t="e">
        <f t="shared" si="13"/>
        <v>#VALUE!</v>
      </c>
      <c r="S184" t="str">
        <f>_xlfn.XLOOKUP(A:A,'[4]TD90D PZAS'!$A:$A,'[4]TD90D PZAS'!$CW:$CW,"",0,1)</f>
        <v/>
      </c>
      <c r="T184" t="str">
        <f>_xlfn.XLOOKUP(A:A,'[4]TD90D PZAS'!$A:$A,'[4]TD90D PZAS'!$CX:$CX,"",0,1)</f>
        <v/>
      </c>
      <c r="U184" t="str">
        <f>_xlfn.XLOOKUP(A:A,'[4]TD90D PZAS'!$A:$A,'[4]TD90D PZAS'!$DA:$DA,"",0,1)</f>
        <v/>
      </c>
    </row>
    <row r="185" spans="1:21" x14ac:dyDescent="0.35">
      <c r="A185" t="s">
        <v>391</v>
      </c>
      <c r="B185" t="str">
        <f>_xlfn.XLOOKUP(A:A,[1]Hoja1!$C:$C,[1]Hoja1!$D:$D,"",0,1)</f>
        <v>AEROSOL AZUL NAVAL</v>
      </c>
      <c r="C185" s="8">
        <v>1</v>
      </c>
      <c r="D185" s="11">
        <f>_xlfn.XLOOKUP(A:A,[2]Hoja1!$C:$C,[2]Hoja1!$H:$H,"",0,1)</f>
        <v>55.17</v>
      </c>
      <c r="E185" s="11">
        <f>_xlfn.XLOOKUP(A:A,[1]Hoja1!$C:$C,[1]Hoja1!$H:$H,"",0,1)</f>
        <v>41.38</v>
      </c>
      <c r="F185" s="14">
        <f>_xlfn.XLOOKUP(A:A,TD!A:A,TD!EC:EC,"",0,1)</f>
        <v>12</v>
      </c>
      <c r="G185" s="15">
        <f t="shared" si="10"/>
        <v>12</v>
      </c>
      <c r="H185" s="16">
        <f t="shared" si="11"/>
        <v>165.51</v>
      </c>
      <c r="I185" s="16">
        <f t="shared" si="12"/>
        <v>124.14000000000001</v>
      </c>
      <c r="J185" s="27">
        <v>2367</v>
      </c>
      <c r="K185" t="str">
        <f>_xlfn.XLOOKUP(J:J,'[3]FILTROS 2'!$A:$A,'[3]FILTROS 2'!$E:$E,"",0,1)</f>
        <v>AEROSOLES PRISA</v>
      </c>
      <c r="L185" s="30"/>
      <c r="O185">
        <f>_xlfn.XLOOKUP(A:A,[4]TD90D!$A:$A,[4]TD90D!$CW:$CW,"",0,1)</f>
        <v>2</v>
      </c>
      <c r="P185">
        <f>_xlfn.XLOOKUP(A:A,[4]TD90D!$A:$A,[4]TD90D!$CX:$CX,"",0,1)</f>
        <v>1</v>
      </c>
      <c r="Q185">
        <f>_xlfn.XLOOKUP(A:A,[4]TD90D!$A:$A,[4]TD90D!$DA:$DA,"",0,1)</f>
        <v>0</v>
      </c>
      <c r="R185" s="31">
        <f t="shared" si="13"/>
        <v>1</v>
      </c>
      <c r="S185">
        <f>_xlfn.XLOOKUP(A:A,'[4]TD90D PZAS'!$A:$A,'[4]TD90D PZAS'!$CW:$CW,"",0,1)</f>
        <v>12</v>
      </c>
      <c r="T185">
        <f>_xlfn.XLOOKUP(A:A,'[4]TD90D PZAS'!$A:$A,'[4]TD90D PZAS'!$CX:$CX,"",0,1)</f>
        <v>1</v>
      </c>
      <c r="U185">
        <f>_xlfn.XLOOKUP(A:A,'[4]TD90D PZAS'!$A:$A,'[4]TD90D PZAS'!$DA:$DA,"",0,1)</f>
        <v>0</v>
      </c>
    </row>
    <row r="186" spans="1:21" x14ac:dyDescent="0.35">
      <c r="A186" t="s">
        <v>386</v>
      </c>
      <c r="B186" t="str">
        <f>_xlfn.XLOOKUP(A:A,[1]Hoja1!$C:$C,[1]Hoja1!$D:$D,"",0,1)</f>
        <v>BRILLON VERDE KIWI</v>
      </c>
      <c r="C186" s="8">
        <v>1</v>
      </c>
      <c r="D186" s="11">
        <f>_xlfn.XLOOKUP(A:A,[2]Hoja1!$C:$C,[2]Hoja1!$H:$H,"",0,1)</f>
        <v>59.48</v>
      </c>
      <c r="E186" s="11">
        <f>_xlfn.XLOOKUP(A:A,[1]Hoja1!$C:$C,[1]Hoja1!$H:$H,"",0,1)</f>
        <v>43.97</v>
      </c>
      <c r="F186" s="14">
        <f>_xlfn.XLOOKUP(A:A,TD!A:A,TD!EC:EC,"",0,1)</f>
        <v>3</v>
      </c>
      <c r="G186" s="15">
        <f t="shared" si="10"/>
        <v>3</v>
      </c>
      <c r="H186" s="16">
        <f t="shared" si="11"/>
        <v>178.44</v>
      </c>
      <c r="I186" s="16">
        <f t="shared" si="12"/>
        <v>131.91</v>
      </c>
      <c r="J186" s="27">
        <v>28755</v>
      </c>
      <c r="K186" t="str">
        <f>_xlfn.XLOOKUP(J:J,'[3]FILTROS 2'!$A:$A,'[3]FILTROS 2'!$E:$E,"",0,1)</f>
        <v>ESMALTE - BRILLON</v>
      </c>
      <c r="L186" s="30"/>
      <c r="O186" t="str">
        <f>_xlfn.XLOOKUP(A:A,[4]TD90D!$A:$A,[4]TD90D!$CW:$CW,"",0,1)</f>
        <v/>
      </c>
      <c r="P186" t="str">
        <f>_xlfn.XLOOKUP(A:A,[4]TD90D!$A:$A,[4]TD90D!$CX:$CX,"",0,1)</f>
        <v/>
      </c>
      <c r="Q186" t="str">
        <f>_xlfn.XLOOKUP(A:A,[4]TD90D!$A:$A,[4]TD90D!$DA:$DA,"",0,1)</f>
        <v/>
      </c>
      <c r="R186" s="31" t="e">
        <f t="shared" si="13"/>
        <v>#VALUE!</v>
      </c>
      <c r="S186" t="str">
        <f>_xlfn.XLOOKUP(A:A,'[4]TD90D PZAS'!$A:$A,'[4]TD90D PZAS'!$CW:$CW,"",0,1)</f>
        <v/>
      </c>
      <c r="T186" t="str">
        <f>_xlfn.XLOOKUP(A:A,'[4]TD90D PZAS'!$A:$A,'[4]TD90D PZAS'!$CX:$CX,"",0,1)</f>
        <v/>
      </c>
      <c r="U186" t="str">
        <f>_xlfn.XLOOKUP(A:A,'[4]TD90D PZAS'!$A:$A,'[4]TD90D PZAS'!$DA:$DA,"",0,1)</f>
        <v/>
      </c>
    </row>
    <row r="187" spans="1:21" x14ac:dyDescent="0.35">
      <c r="A187" t="s">
        <v>349</v>
      </c>
      <c r="B187" t="str">
        <f>_xlfn.XLOOKUP(A:A,[1]Hoja1!$C:$C,[1]Hoja1!$D:$D,"",0,1)</f>
        <v>BARNIZ GLOSI ALQUI CAOBA</v>
      </c>
      <c r="C187" s="8">
        <v>1</v>
      </c>
      <c r="D187" s="11">
        <f>_xlfn.XLOOKUP(A:A,[2]Hoja1!$C:$C,[2]Hoja1!$H:$H,"",0,1)</f>
        <v>181.9</v>
      </c>
      <c r="E187" s="11">
        <f>_xlfn.XLOOKUP(A:A,[1]Hoja1!$C:$C,[1]Hoja1!$H:$H,"",0,1)</f>
        <v>145.69</v>
      </c>
      <c r="F187" s="14">
        <f>_xlfn.XLOOKUP(A:A,TD!A:A,TD!EC:EC,"",0,1)</f>
        <v>3</v>
      </c>
      <c r="G187" s="15">
        <f t="shared" si="10"/>
        <v>3</v>
      </c>
      <c r="H187" s="16">
        <f t="shared" si="11"/>
        <v>545.70000000000005</v>
      </c>
      <c r="I187" s="16">
        <f t="shared" si="12"/>
        <v>437.07</v>
      </c>
      <c r="J187" s="27" t="s">
        <v>349</v>
      </c>
      <c r="K187" t="str">
        <f>_xlfn.XLOOKUP(J:J,'[3]FILTROS 2'!$A:$A,'[3]FILTROS 2'!$E:$E,"",0,1)</f>
        <v>BARNIZ ALQUIDALICO GLOSI 3-1</v>
      </c>
      <c r="L187" s="30"/>
      <c r="O187" t="str">
        <f>_xlfn.XLOOKUP(A:A,[4]TD90D!$A:$A,[4]TD90D!$CW:$CW,"",0,1)</f>
        <v/>
      </c>
      <c r="P187" t="str">
        <f>_xlfn.XLOOKUP(A:A,[4]TD90D!$A:$A,[4]TD90D!$CX:$CX,"",0,1)</f>
        <v/>
      </c>
      <c r="Q187" t="str">
        <f>_xlfn.XLOOKUP(A:A,[4]TD90D!$A:$A,[4]TD90D!$DA:$DA,"",0,1)</f>
        <v/>
      </c>
      <c r="R187" s="31" t="e">
        <f t="shared" si="13"/>
        <v>#VALUE!</v>
      </c>
      <c r="S187" t="str">
        <f>_xlfn.XLOOKUP(A:A,'[4]TD90D PZAS'!$A:$A,'[4]TD90D PZAS'!$CW:$CW,"",0,1)</f>
        <v/>
      </c>
      <c r="T187" t="str">
        <f>_xlfn.XLOOKUP(A:A,'[4]TD90D PZAS'!$A:$A,'[4]TD90D PZAS'!$CX:$CX,"",0,1)</f>
        <v/>
      </c>
      <c r="U187" t="str">
        <f>_xlfn.XLOOKUP(A:A,'[4]TD90D PZAS'!$A:$A,'[4]TD90D PZAS'!$DA:$DA,"",0,1)</f>
        <v/>
      </c>
    </row>
    <row r="188" spans="1:21" x14ac:dyDescent="0.35">
      <c r="A188" t="s">
        <v>301</v>
      </c>
      <c r="B188" t="str">
        <f>_xlfn.XLOOKUP(A:A,[1]Hoja1!$C:$C,[1]Hoja1!$D:$D,"",0,1)</f>
        <v/>
      </c>
      <c r="C188" s="8">
        <v>1</v>
      </c>
      <c r="D188" s="11">
        <f>_xlfn.XLOOKUP(A:A,[2]Hoja1!$C:$C,[2]Hoja1!$H:$H,"",0,1)</f>
        <v>57.76</v>
      </c>
      <c r="E188" s="11" t="str">
        <f>_xlfn.XLOOKUP(A:A,[1]Hoja1!$C:$C,[1]Hoja1!$H:$H,"",0,1)</f>
        <v/>
      </c>
      <c r="F188" s="14">
        <f>_xlfn.XLOOKUP(A:A,TD!A:A,TD!EC:EC,"",0,1)</f>
        <v>12</v>
      </c>
      <c r="G188" s="15">
        <f t="shared" si="10"/>
        <v>12</v>
      </c>
      <c r="H188" s="16">
        <f t="shared" si="11"/>
        <v>173.28</v>
      </c>
      <c r="I188" s="16" t="e">
        <f t="shared" si="12"/>
        <v>#VALUE!</v>
      </c>
      <c r="J188" s="27">
        <v>22006</v>
      </c>
      <c r="K188" t="str">
        <f>_xlfn.XLOOKUP(J:J,'[3]FILTROS 2'!$A:$A,'[3]FILTROS 2'!$E:$E,"",0,1)</f>
        <v>ESMALTE - KITOX</v>
      </c>
      <c r="L188" s="30"/>
      <c r="O188" t="str">
        <f>_xlfn.XLOOKUP(A:A,[4]TD90D!$A:$A,[4]TD90D!$CW:$CW,"",0,1)</f>
        <v/>
      </c>
      <c r="P188" t="str">
        <f>_xlfn.XLOOKUP(A:A,[4]TD90D!$A:$A,[4]TD90D!$CX:$CX,"",0,1)</f>
        <v/>
      </c>
      <c r="Q188" t="str">
        <f>_xlfn.XLOOKUP(A:A,[4]TD90D!$A:$A,[4]TD90D!$DA:$DA,"",0,1)</f>
        <v/>
      </c>
      <c r="R188" s="31" t="e">
        <f t="shared" si="13"/>
        <v>#VALUE!</v>
      </c>
      <c r="S188" t="str">
        <f>_xlfn.XLOOKUP(A:A,'[4]TD90D PZAS'!$A:$A,'[4]TD90D PZAS'!$CW:$CW,"",0,1)</f>
        <v/>
      </c>
      <c r="T188" t="str">
        <f>_xlfn.XLOOKUP(A:A,'[4]TD90D PZAS'!$A:$A,'[4]TD90D PZAS'!$CX:$CX,"",0,1)</f>
        <v/>
      </c>
      <c r="U188" t="str">
        <f>_xlfn.XLOOKUP(A:A,'[4]TD90D PZAS'!$A:$A,'[4]TD90D PZAS'!$DA:$DA,"",0,1)</f>
        <v/>
      </c>
    </row>
    <row r="189" spans="1:21" x14ac:dyDescent="0.35">
      <c r="A189" t="s">
        <v>203</v>
      </c>
      <c r="B189" t="str">
        <f>_xlfn.XLOOKUP(A:A,[1]Hoja1!$C:$C,[1]Hoja1!$D:$D,"",0,1)</f>
        <v>BARNIZ ALQUIDALICO MAPLE</v>
      </c>
      <c r="C189" s="8">
        <v>1</v>
      </c>
      <c r="D189" s="11">
        <f>_xlfn.XLOOKUP(A:A,[2]Hoja1!$C:$C,[2]Hoja1!$H:$H,"",0,1)</f>
        <v>207.76</v>
      </c>
      <c r="E189" s="11">
        <f>_xlfn.XLOOKUP(A:A,[1]Hoja1!$C:$C,[1]Hoja1!$H:$H,"",0,1)</f>
        <v>207.76</v>
      </c>
      <c r="F189" s="14">
        <f>_xlfn.XLOOKUP(A:A,TD!A:A,TD!EC:EC,"",0,1)</f>
        <v>1</v>
      </c>
      <c r="G189" s="15">
        <f t="shared" si="10"/>
        <v>1</v>
      </c>
      <c r="H189" s="16">
        <f t="shared" si="11"/>
        <v>623.28</v>
      </c>
      <c r="I189" s="16">
        <f t="shared" si="12"/>
        <v>623.28</v>
      </c>
      <c r="J189" s="27">
        <v>28944</v>
      </c>
      <c r="K189" t="str">
        <f>_xlfn.XLOOKUP(J:J,'[3]FILTROS 2'!$A:$A,'[3]FILTROS 2'!$E:$E,"",0,1)</f>
        <v>BARNIZ ALQUIDALICO SIGLO</v>
      </c>
      <c r="L189" s="30"/>
      <c r="O189" t="str">
        <f>_xlfn.XLOOKUP(A:A,[4]TD90D!$A:$A,[4]TD90D!$CW:$CW,"",0,1)</f>
        <v/>
      </c>
      <c r="P189" t="str">
        <f>_xlfn.XLOOKUP(A:A,[4]TD90D!$A:$A,[4]TD90D!$CX:$CX,"",0,1)</f>
        <v/>
      </c>
      <c r="Q189" t="str">
        <f>_xlfn.XLOOKUP(A:A,[4]TD90D!$A:$A,[4]TD90D!$DA:$DA,"",0,1)</f>
        <v/>
      </c>
      <c r="R189" s="31" t="e">
        <f t="shared" si="13"/>
        <v>#VALUE!</v>
      </c>
      <c r="S189" t="str">
        <f>_xlfn.XLOOKUP(A:A,'[4]TD90D PZAS'!$A:$A,'[4]TD90D PZAS'!$CW:$CW,"",0,1)</f>
        <v/>
      </c>
      <c r="T189" t="str">
        <f>_xlfn.XLOOKUP(A:A,'[4]TD90D PZAS'!$A:$A,'[4]TD90D PZAS'!$CX:$CX,"",0,1)</f>
        <v/>
      </c>
      <c r="U189" t="str">
        <f>_xlfn.XLOOKUP(A:A,'[4]TD90D PZAS'!$A:$A,'[4]TD90D PZAS'!$DA:$DA,"",0,1)</f>
        <v/>
      </c>
    </row>
    <row r="190" spans="1:21" x14ac:dyDescent="0.35">
      <c r="A190" t="s">
        <v>251</v>
      </c>
      <c r="B190" t="str">
        <f>_xlfn.XLOOKUP(A:A,[1]Hoja1!$C:$C,[1]Hoja1!$D:$D,"",0,1)</f>
        <v>VINILICA GLOSI PAJA 3A</v>
      </c>
      <c r="C190" s="8">
        <v>1</v>
      </c>
      <c r="D190" s="11">
        <f>_xlfn.XLOOKUP(A:A,[2]Hoja1!$C:$C,[2]Hoja1!$H:$H,"",0,1)</f>
        <v>219.83</v>
      </c>
      <c r="E190" s="11">
        <f>_xlfn.XLOOKUP(A:A,[1]Hoja1!$C:$C,[1]Hoja1!$H:$H,"",0,1)</f>
        <v>163.79</v>
      </c>
      <c r="F190" s="14">
        <f>_xlfn.XLOOKUP(A:A,TD!A:A,TD!EC:EC,"",0,1)</f>
        <v>1</v>
      </c>
      <c r="G190" s="15">
        <f t="shared" si="10"/>
        <v>1</v>
      </c>
      <c r="H190" s="16">
        <f t="shared" si="11"/>
        <v>659.49</v>
      </c>
      <c r="I190" s="16">
        <f t="shared" si="12"/>
        <v>491.37</v>
      </c>
      <c r="J190" s="27" t="s">
        <v>251</v>
      </c>
      <c r="K190" t="str">
        <f>_xlfn.XLOOKUP(J:J,'[3]FILTROS 2'!$A:$A,'[3]FILTROS 2'!$E:$E,"",0,1)</f>
        <v>VINILICA - GLOSI 3 AÑOS</v>
      </c>
      <c r="L190" s="30"/>
      <c r="O190" t="str">
        <f>_xlfn.XLOOKUP(A:A,[4]TD90D!$A:$A,[4]TD90D!$CW:$CW,"",0,1)</f>
        <v/>
      </c>
      <c r="P190" t="str">
        <f>_xlfn.XLOOKUP(A:A,[4]TD90D!$A:$A,[4]TD90D!$CX:$CX,"",0,1)</f>
        <v/>
      </c>
      <c r="Q190" t="str">
        <f>_xlfn.XLOOKUP(A:A,[4]TD90D!$A:$A,[4]TD90D!$DA:$DA,"",0,1)</f>
        <v/>
      </c>
      <c r="R190" s="31" t="e">
        <f t="shared" si="13"/>
        <v>#VALUE!</v>
      </c>
      <c r="S190" t="str">
        <f>_xlfn.XLOOKUP(A:A,'[4]TD90D PZAS'!$A:$A,'[4]TD90D PZAS'!$CW:$CW,"",0,1)</f>
        <v/>
      </c>
      <c r="T190" t="str">
        <f>_xlfn.XLOOKUP(A:A,'[4]TD90D PZAS'!$A:$A,'[4]TD90D PZAS'!$CX:$CX,"",0,1)</f>
        <v/>
      </c>
      <c r="U190" t="str">
        <f>_xlfn.XLOOKUP(A:A,'[4]TD90D PZAS'!$A:$A,'[4]TD90D PZAS'!$DA:$DA,"",0,1)</f>
        <v/>
      </c>
    </row>
    <row r="191" spans="1:21" x14ac:dyDescent="0.35">
      <c r="A191" t="s">
        <v>384</v>
      </c>
      <c r="B191" t="str">
        <f>_xlfn.XLOOKUP(A:A,[1]Hoja1!$C:$C,[1]Hoja1!$D:$D,"",0,1)</f>
        <v>BRILLON MENTA</v>
      </c>
      <c r="C191" s="8">
        <v>1</v>
      </c>
      <c r="D191" s="11">
        <f>_xlfn.XLOOKUP(A:A,[2]Hoja1!$C:$C,[2]Hoja1!$H:$H,"",0,1)</f>
        <v>90.52</v>
      </c>
      <c r="E191" s="11">
        <f>_xlfn.XLOOKUP(A:A,[1]Hoja1!$C:$C,[1]Hoja1!$H:$H,"",0,1)</f>
        <v>67.239999999999995</v>
      </c>
      <c r="F191" s="14">
        <f>_xlfn.XLOOKUP(A:A,TD!A:A,TD!EC:EC,"",0,1)</f>
        <v>3</v>
      </c>
      <c r="G191" s="15">
        <f t="shared" si="10"/>
        <v>3</v>
      </c>
      <c r="H191" s="16">
        <f t="shared" si="11"/>
        <v>271.56</v>
      </c>
      <c r="I191" s="16">
        <f t="shared" si="12"/>
        <v>201.71999999999997</v>
      </c>
      <c r="J191" s="27">
        <v>28635</v>
      </c>
      <c r="K191" t="str">
        <f>_xlfn.XLOOKUP(J:J,'[3]FILTROS 2'!$A:$A,'[3]FILTROS 2'!$E:$E,"",0,1)</f>
        <v>ESMALTE - BRILLON</v>
      </c>
      <c r="L191" s="30"/>
      <c r="O191" t="str">
        <f>_xlfn.XLOOKUP(A:A,[4]TD90D!$A:$A,[4]TD90D!$CW:$CW,"",0,1)</f>
        <v/>
      </c>
      <c r="P191" t="str">
        <f>_xlfn.XLOOKUP(A:A,[4]TD90D!$A:$A,[4]TD90D!$CX:$CX,"",0,1)</f>
        <v/>
      </c>
      <c r="Q191" t="str">
        <f>_xlfn.XLOOKUP(A:A,[4]TD90D!$A:$A,[4]TD90D!$DA:$DA,"",0,1)</f>
        <v/>
      </c>
      <c r="R191" s="31" t="e">
        <f t="shared" si="13"/>
        <v>#VALUE!</v>
      </c>
      <c r="S191" t="str">
        <f>_xlfn.XLOOKUP(A:A,'[4]TD90D PZAS'!$A:$A,'[4]TD90D PZAS'!$CW:$CW,"",0,1)</f>
        <v/>
      </c>
      <c r="T191" t="str">
        <f>_xlfn.XLOOKUP(A:A,'[4]TD90D PZAS'!$A:$A,'[4]TD90D PZAS'!$CX:$CX,"",0,1)</f>
        <v/>
      </c>
      <c r="U191" t="str">
        <f>_xlfn.XLOOKUP(A:A,'[4]TD90D PZAS'!$A:$A,'[4]TD90D PZAS'!$DA:$DA,"",0,1)</f>
        <v/>
      </c>
    </row>
    <row r="192" spans="1:21" x14ac:dyDescent="0.35">
      <c r="A192" t="s">
        <v>412</v>
      </c>
      <c r="B192" t="str">
        <f>_xlfn.XLOOKUP(A:A,[1]Hoja1!$C:$C,[1]Hoja1!$D:$D,"",0,1)</f>
        <v/>
      </c>
      <c r="C192" s="8">
        <v>1</v>
      </c>
      <c r="D192" s="11">
        <f>_xlfn.XLOOKUP(A:A,[2]Hoja1!$C:$C,[2]Hoja1!$H:$H,"",0,1)</f>
        <v>326.72000000000003</v>
      </c>
      <c r="E192" s="11" t="str">
        <f>_xlfn.XLOOKUP(A:A,[1]Hoja1!$C:$C,[1]Hoja1!$H:$H,"",0,1)</f>
        <v/>
      </c>
      <c r="F192" s="14">
        <f>_xlfn.XLOOKUP(A:A,TD!A:A,TD!EC:EC,"",0,1)</f>
        <v>2</v>
      </c>
      <c r="G192" s="15">
        <f t="shared" si="10"/>
        <v>2</v>
      </c>
      <c r="H192" s="16">
        <f t="shared" si="11"/>
        <v>980.16000000000008</v>
      </c>
      <c r="I192" s="16" t="e">
        <f t="shared" si="12"/>
        <v>#VALUE!</v>
      </c>
      <c r="J192" s="27">
        <v>33013</v>
      </c>
      <c r="K192" t="str">
        <f>_xlfn.XLOOKUP(J:J,'[3]FILTROS 2'!$A:$A,'[3]FILTROS 2'!$E:$E,"",0,1)</f>
        <v>VINILICA - PINTAVIN</v>
      </c>
      <c r="L192" s="30"/>
      <c r="O192">
        <f>_xlfn.XLOOKUP(A:A,[4]TD90D!$A:$A,[4]TD90D!$CW:$CW,"",0,1)</f>
        <v>2</v>
      </c>
      <c r="P192">
        <f>_xlfn.XLOOKUP(A:A,[4]TD90D!$A:$A,[4]TD90D!$CX:$CX,"",0,1)</f>
        <v>1</v>
      </c>
      <c r="Q192">
        <f>_xlfn.XLOOKUP(A:A,[4]TD90D!$A:$A,[4]TD90D!$DA:$DA,"",0,1)</f>
        <v>0</v>
      </c>
      <c r="R192" s="31">
        <f t="shared" si="13"/>
        <v>1</v>
      </c>
      <c r="S192">
        <f>_xlfn.XLOOKUP(A:A,'[4]TD90D PZAS'!$A:$A,'[4]TD90D PZAS'!$CW:$CW,"",0,1)</f>
        <v>4</v>
      </c>
      <c r="T192">
        <f>_xlfn.XLOOKUP(A:A,'[4]TD90D PZAS'!$A:$A,'[4]TD90D PZAS'!$CX:$CX,"",0,1)</f>
        <v>1</v>
      </c>
      <c r="U192">
        <f>_xlfn.XLOOKUP(A:A,'[4]TD90D PZAS'!$A:$A,'[4]TD90D PZAS'!$DA:$DA,"",0,1)</f>
        <v>0</v>
      </c>
    </row>
    <row r="193" spans="1:21" x14ac:dyDescent="0.35">
      <c r="A193" t="s">
        <v>342</v>
      </c>
      <c r="B193" t="str">
        <f>_xlfn.XLOOKUP(A:A,[1]Hoja1!$C:$C,[1]Hoja1!$D:$D,"",0,1)</f>
        <v>CONSERV. MAD PENTAPRISA "P/POLILLA"</v>
      </c>
      <c r="C193" s="8">
        <v>1</v>
      </c>
      <c r="D193" s="11">
        <f>_xlfn.XLOOKUP(A:A,[2]Hoja1!$C:$C,[2]Hoja1!$H:$H,"",0,1)</f>
        <v>149.13999999999999</v>
      </c>
      <c r="E193" s="11">
        <f>_xlfn.XLOOKUP(A:A,[1]Hoja1!$C:$C,[1]Hoja1!$H:$H,"",0,1)</f>
        <v>149.13999999999999</v>
      </c>
      <c r="F193" s="14">
        <f>_xlfn.XLOOKUP(A:A,TD!A:A,TD!EC:EC,"",0,1)</f>
        <v>3</v>
      </c>
      <c r="G193" s="15">
        <f t="shared" si="10"/>
        <v>3</v>
      </c>
      <c r="H193" s="16">
        <f t="shared" si="11"/>
        <v>447.41999999999996</v>
      </c>
      <c r="I193" s="16">
        <f t="shared" si="12"/>
        <v>447.41999999999996</v>
      </c>
      <c r="J193" s="27">
        <v>13974</v>
      </c>
      <c r="K193" t="str">
        <f>_xlfn.XLOOKUP(J:J,'[3]FILTROS 2'!$A:$A,'[3]FILTROS 2'!$E:$E,"",0,1)</f>
        <v>SELLADORES DE POLIURETANO</v>
      </c>
      <c r="L193" s="30"/>
      <c r="O193" t="str">
        <f>_xlfn.XLOOKUP(A:A,[4]TD90D!$A:$A,[4]TD90D!$CW:$CW,"",0,1)</f>
        <v/>
      </c>
      <c r="P193" t="str">
        <f>_xlfn.XLOOKUP(A:A,[4]TD90D!$A:$A,[4]TD90D!$CX:$CX,"",0,1)</f>
        <v/>
      </c>
      <c r="Q193" t="str">
        <f>_xlfn.XLOOKUP(A:A,[4]TD90D!$A:$A,[4]TD90D!$DA:$DA,"",0,1)</f>
        <v/>
      </c>
      <c r="R193" s="31" t="e">
        <f t="shared" si="13"/>
        <v>#VALUE!</v>
      </c>
      <c r="S193" t="str">
        <f>_xlfn.XLOOKUP(A:A,'[4]TD90D PZAS'!$A:$A,'[4]TD90D PZAS'!$CW:$CW,"",0,1)</f>
        <v/>
      </c>
      <c r="T193" t="str">
        <f>_xlfn.XLOOKUP(A:A,'[4]TD90D PZAS'!$A:$A,'[4]TD90D PZAS'!$CX:$CX,"",0,1)</f>
        <v/>
      </c>
      <c r="U193" t="str">
        <f>_xlfn.XLOOKUP(A:A,'[4]TD90D PZAS'!$A:$A,'[4]TD90D PZAS'!$DA:$DA,"",0,1)</f>
        <v/>
      </c>
    </row>
    <row r="194" spans="1:21" x14ac:dyDescent="0.35">
      <c r="A194" t="s">
        <v>312</v>
      </c>
      <c r="B194" t="str">
        <f>_xlfn.XLOOKUP(A:A,[1]Hoja1!$C:$C,[1]Hoja1!$D:$D,"",0,1)</f>
        <v>BRILLON AMARILLO LIMON</v>
      </c>
      <c r="C194" s="8">
        <v>1</v>
      </c>
      <c r="D194" s="11">
        <f>_xlfn.XLOOKUP(A:A,[2]Hoja1!$C:$C,[2]Hoja1!$H:$H,"",0,1)</f>
        <v>58.62</v>
      </c>
      <c r="E194" s="11">
        <f>_xlfn.XLOOKUP(A:A,[1]Hoja1!$C:$C,[1]Hoja1!$H:$H,"",0,1)</f>
        <v>43.97</v>
      </c>
      <c r="F194" s="14">
        <f>_xlfn.XLOOKUP(A:A,TD!A:A,TD!EC:EC,"",0,1)</f>
        <v>12</v>
      </c>
      <c r="G194" s="15">
        <f t="shared" si="10"/>
        <v>12</v>
      </c>
      <c r="H194" s="16">
        <f t="shared" si="11"/>
        <v>175.85999999999999</v>
      </c>
      <c r="I194" s="16">
        <f t="shared" si="12"/>
        <v>131.91</v>
      </c>
      <c r="J194" s="27">
        <v>28136</v>
      </c>
      <c r="K194" t="str">
        <f>_xlfn.XLOOKUP(J:J,'[3]FILTROS 2'!$A:$A,'[3]FILTROS 2'!$E:$E,"",0,1)</f>
        <v>ESMALTE - BRILLON</v>
      </c>
      <c r="L194" s="30"/>
      <c r="O194" t="str">
        <f>_xlfn.XLOOKUP(A:A,[4]TD90D!$A:$A,[4]TD90D!$CW:$CW,"",0,1)</f>
        <v/>
      </c>
      <c r="P194" t="str">
        <f>_xlfn.XLOOKUP(A:A,[4]TD90D!$A:$A,[4]TD90D!$CX:$CX,"",0,1)</f>
        <v/>
      </c>
      <c r="Q194" t="str">
        <f>_xlfn.XLOOKUP(A:A,[4]TD90D!$A:$A,[4]TD90D!$DA:$DA,"",0,1)</f>
        <v/>
      </c>
      <c r="R194" s="31" t="e">
        <f t="shared" si="13"/>
        <v>#VALUE!</v>
      </c>
      <c r="S194" t="str">
        <f>_xlfn.XLOOKUP(A:A,'[4]TD90D PZAS'!$A:$A,'[4]TD90D PZAS'!$CW:$CW,"",0,1)</f>
        <v/>
      </c>
      <c r="T194" t="str">
        <f>_xlfn.XLOOKUP(A:A,'[4]TD90D PZAS'!$A:$A,'[4]TD90D PZAS'!$CX:$CX,"",0,1)</f>
        <v/>
      </c>
      <c r="U194" t="str">
        <f>_xlfn.XLOOKUP(A:A,'[4]TD90D PZAS'!$A:$A,'[4]TD90D PZAS'!$DA:$DA,"",0,1)</f>
        <v/>
      </c>
    </row>
    <row r="195" spans="1:21" x14ac:dyDescent="0.35">
      <c r="A195" t="s">
        <v>385</v>
      </c>
      <c r="B195" t="str">
        <f>_xlfn.XLOOKUP(A:A,[1]Hoja1!$C:$C,[1]Hoja1!$D:$D,"",0,1)</f>
        <v>BRILLON MENTA</v>
      </c>
      <c r="C195" s="8">
        <v>1</v>
      </c>
      <c r="D195" s="11">
        <f>_xlfn.XLOOKUP(A:A,[2]Hoja1!$C:$C,[2]Hoja1!$H:$H,"",0,1)</f>
        <v>58.62</v>
      </c>
      <c r="E195" s="11">
        <f>_xlfn.XLOOKUP(A:A,[1]Hoja1!$C:$C,[1]Hoja1!$H:$H,"",0,1)</f>
        <v>43.97</v>
      </c>
      <c r="F195" s="14">
        <f>_xlfn.XLOOKUP(A:A,TD!A:A,TD!EC:EC,"",0,1)</f>
        <v>6</v>
      </c>
      <c r="G195" s="15">
        <f t="shared" si="10"/>
        <v>6</v>
      </c>
      <c r="H195" s="16">
        <f t="shared" si="11"/>
        <v>175.85999999999999</v>
      </c>
      <c r="I195" s="16">
        <f t="shared" si="12"/>
        <v>131.91</v>
      </c>
      <c r="J195" s="27">
        <v>28636</v>
      </c>
      <c r="K195" t="str">
        <f>_xlfn.XLOOKUP(J:J,'[3]FILTROS 2'!$A:$A,'[3]FILTROS 2'!$E:$E,"",0,1)</f>
        <v>ESMALTE - BRILLON</v>
      </c>
      <c r="L195" s="30"/>
      <c r="O195" t="str">
        <f>_xlfn.XLOOKUP(A:A,[4]TD90D!$A:$A,[4]TD90D!$CW:$CW,"",0,1)</f>
        <v/>
      </c>
      <c r="P195" t="str">
        <f>_xlfn.XLOOKUP(A:A,[4]TD90D!$A:$A,[4]TD90D!$CX:$CX,"",0,1)</f>
        <v/>
      </c>
      <c r="Q195" t="str">
        <f>_xlfn.XLOOKUP(A:A,[4]TD90D!$A:$A,[4]TD90D!$DA:$DA,"",0,1)</f>
        <v/>
      </c>
      <c r="R195" s="31" t="e">
        <f t="shared" si="13"/>
        <v>#VALUE!</v>
      </c>
      <c r="S195" t="str">
        <f>_xlfn.XLOOKUP(A:A,'[4]TD90D PZAS'!$A:$A,'[4]TD90D PZAS'!$CW:$CW,"",0,1)</f>
        <v/>
      </c>
      <c r="T195" t="str">
        <f>_xlfn.XLOOKUP(A:A,'[4]TD90D PZAS'!$A:$A,'[4]TD90D PZAS'!$CX:$CX,"",0,1)</f>
        <v/>
      </c>
      <c r="U195" t="str">
        <f>_xlfn.XLOOKUP(A:A,'[4]TD90D PZAS'!$A:$A,'[4]TD90D PZAS'!$DA:$DA,"",0,1)</f>
        <v/>
      </c>
    </row>
    <row r="196" spans="1:21" x14ac:dyDescent="0.35">
      <c r="A196" t="s">
        <v>319</v>
      </c>
      <c r="B196" t="str">
        <f>_xlfn.XLOOKUP(A:A,[1]Hoja1!$C:$C,[1]Hoja1!$D:$D,"",0,1)</f>
        <v>VINILICA GLOSI AMARILLO 5A</v>
      </c>
      <c r="C196" s="8">
        <v>1</v>
      </c>
      <c r="D196" s="11">
        <f>_xlfn.XLOOKUP(A:A,[2]Hoja1!$C:$C,[2]Hoja1!$H:$H,"",0,1)</f>
        <v>107.76</v>
      </c>
      <c r="E196" s="11">
        <f>_xlfn.XLOOKUP(A:A,[1]Hoja1!$C:$C,[1]Hoja1!$H:$H,"",0,1)</f>
        <v>78.45</v>
      </c>
      <c r="F196" s="14">
        <f>_xlfn.XLOOKUP(A:A,TD!A:A,TD!EC:EC,"",0,1)</f>
        <v>3</v>
      </c>
      <c r="G196" s="15">
        <f t="shared" si="10"/>
        <v>3</v>
      </c>
      <c r="H196" s="16">
        <f t="shared" si="11"/>
        <v>323.28000000000003</v>
      </c>
      <c r="I196" s="16">
        <f t="shared" si="12"/>
        <v>235.35000000000002</v>
      </c>
      <c r="J196" s="27" t="s">
        <v>319</v>
      </c>
      <c r="K196" t="str">
        <f>_xlfn.XLOOKUP(J:J,'[3]FILTROS 2'!$A:$A,'[3]FILTROS 2'!$E:$E,"",0,1)</f>
        <v>VINILICA - GLOSI 5 AÑOS</v>
      </c>
      <c r="L196" s="30"/>
      <c r="O196" t="str">
        <f>_xlfn.XLOOKUP(A:A,[4]TD90D!$A:$A,[4]TD90D!$CW:$CW,"",0,1)</f>
        <v/>
      </c>
      <c r="P196" t="str">
        <f>_xlfn.XLOOKUP(A:A,[4]TD90D!$A:$A,[4]TD90D!$CX:$CX,"",0,1)</f>
        <v/>
      </c>
      <c r="Q196" t="str">
        <f>_xlfn.XLOOKUP(A:A,[4]TD90D!$A:$A,[4]TD90D!$DA:$DA,"",0,1)</f>
        <v/>
      </c>
      <c r="R196" s="31" t="e">
        <f t="shared" si="13"/>
        <v>#VALUE!</v>
      </c>
      <c r="S196" t="str">
        <f>_xlfn.XLOOKUP(A:A,'[4]TD90D PZAS'!$A:$A,'[4]TD90D PZAS'!$CW:$CW,"",0,1)</f>
        <v/>
      </c>
      <c r="T196" t="str">
        <f>_xlfn.XLOOKUP(A:A,'[4]TD90D PZAS'!$A:$A,'[4]TD90D PZAS'!$CX:$CX,"",0,1)</f>
        <v/>
      </c>
      <c r="U196" t="str">
        <f>_xlfn.XLOOKUP(A:A,'[4]TD90D PZAS'!$A:$A,'[4]TD90D PZAS'!$DA:$DA,"",0,1)</f>
        <v/>
      </c>
    </row>
    <row r="197" spans="1:21" x14ac:dyDescent="0.35">
      <c r="A197" t="s">
        <v>290</v>
      </c>
      <c r="B197" t="str">
        <f>_xlfn.XLOOKUP(A:A,[1]Hoja1!$C:$C,[1]Hoja1!$D:$D,"",0,1)</f>
        <v>AEROSOL VERDE FLORESTA</v>
      </c>
      <c r="C197" s="8">
        <v>1</v>
      </c>
      <c r="D197" s="11">
        <f>_xlfn.XLOOKUP(A:A,[2]Hoja1!$C:$C,[2]Hoja1!$H:$H,"",0,1)</f>
        <v>55.17</v>
      </c>
      <c r="E197" s="11">
        <f>_xlfn.XLOOKUP(A:A,[1]Hoja1!$C:$C,[1]Hoja1!$H:$H,"",0,1)</f>
        <v>41.38</v>
      </c>
      <c r="F197" s="14">
        <f>_xlfn.XLOOKUP(A:A,TD!A:A,TD!EC:EC,"",0,1)</f>
        <v>6</v>
      </c>
      <c r="G197" s="15">
        <f t="shared" si="10"/>
        <v>6</v>
      </c>
      <c r="H197" s="16">
        <f t="shared" si="11"/>
        <v>165.51</v>
      </c>
      <c r="I197" s="16">
        <f t="shared" si="12"/>
        <v>124.14000000000001</v>
      </c>
      <c r="J197" s="27">
        <v>2375</v>
      </c>
      <c r="K197" t="str">
        <f>_xlfn.XLOOKUP(J:J,'[3]FILTROS 2'!$A:$A,'[3]FILTROS 2'!$E:$E,"",0,1)</f>
        <v>AEROSOLES PRISA</v>
      </c>
      <c r="L197" s="30"/>
      <c r="O197" t="str">
        <f>_xlfn.XLOOKUP(A:A,[4]TD90D!$A:$A,[4]TD90D!$CW:$CW,"",0,1)</f>
        <v/>
      </c>
      <c r="P197" t="str">
        <f>_xlfn.XLOOKUP(A:A,[4]TD90D!$A:$A,[4]TD90D!$CX:$CX,"",0,1)</f>
        <v/>
      </c>
      <c r="Q197" t="str">
        <f>_xlfn.XLOOKUP(A:A,[4]TD90D!$A:$A,[4]TD90D!$DA:$DA,"",0,1)</f>
        <v/>
      </c>
      <c r="R197" s="31" t="e">
        <f t="shared" si="13"/>
        <v>#VALUE!</v>
      </c>
      <c r="S197" t="str">
        <f>_xlfn.XLOOKUP(A:A,'[4]TD90D PZAS'!$A:$A,'[4]TD90D PZAS'!$CW:$CW,"",0,1)</f>
        <v/>
      </c>
      <c r="T197" t="str">
        <f>_xlfn.XLOOKUP(A:A,'[4]TD90D PZAS'!$A:$A,'[4]TD90D PZAS'!$CX:$CX,"",0,1)</f>
        <v/>
      </c>
      <c r="U197" t="str">
        <f>_xlfn.XLOOKUP(A:A,'[4]TD90D PZAS'!$A:$A,'[4]TD90D PZAS'!$DA:$DA,"",0,1)</f>
        <v/>
      </c>
    </row>
    <row r="198" spans="1:21" x14ac:dyDescent="0.35">
      <c r="A198" t="s">
        <v>380</v>
      </c>
      <c r="B198" t="str">
        <f>_xlfn.XLOOKUP(A:A,[1]Hoja1!$C:$C,[1]Hoja1!$D:$D,"",0,1)</f>
        <v>BRILLON PITAYA</v>
      </c>
      <c r="C198" s="8">
        <v>1</v>
      </c>
      <c r="D198" s="11">
        <f>_xlfn.XLOOKUP(A:A,[2]Hoja1!$C:$C,[2]Hoja1!$H:$H,"",0,1)</f>
        <v>58.62</v>
      </c>
      <c r="E198" s="11">
        <f>_xlfn.XLOOKUP(A:A,[1]Hoja1!$C:$C,[1]Hoja1!$H:$H,"",0,1)</f>
        <v>43.97</v>
      </c>
      <c r="F198" s="14">
        <f>_xlfn.XLOOKUP(A:A,TD!A:A,TD!EC:EC,"",0,1)</f>
        <v>6</v>
      </c>
      <c r="G198" s="15">
        <f t="shared" ref="G198:G260" si="14">INT(F198)</f>
        <v>6</v>
      </c>
      <c r="H198" s="16">
        <f t="shared" ref="H198:H260" si="15">D198*$G$5</f>
        <v>175.85999999999999</v>
      </c>
      <c r="I198" s="16">
        <f t="shared" ref="I198:I260" si="16">E198*$G$5</f>
        <v>131.91</v>
      </c>
      <c r="J198" s="27">
        <v>28446</v>
      </c>
      <c r="K198" t="str">
        <f>_xlfn.XLOOKUP(J:J,'[3]FILTROS 2'!$A:$A,'[3]FILTROS 2'!$E:$E,"",0,1)</f>
        <v>ESMALTE - BRILLON</v>
      </c>
      <c r="L198" s="30"/>
      <c r="O198">
        <f>_xlfn.XLOOKUP(A:A,[4]TD90D!$A:$A,[4]TD90D!$CW:$CW,"",0,1)</f>
        <v>3</v>
      </c>
      <c r="P198">
        <f>_xlfn.XLOOKUP(A:A,[4]TD90D!$A:$A,[4]TD90D!$CX:$CX,"",0,1)</f>
        <v>1</v>
      </c>
      <c r="Q198">
        <f>_xlfn.XLOOKUP(A:A,[4]TD90D!$A:$A,[4]TD90D!$DA:$DA,"",0,1)</f>
        <v>0</v>
      </c>
      <c r="R198" s="31">
        <f t="shared" ref="R198:R260" si="17">P198/C198</f>
        <v>1</v>
      </c>
      <c r="S198">
        <f>_xlfn.XLOOKUP(A:A,'[4]TD90D PZAS'!$A:$A,'[4]TD90D PZAS'!$CW:$CW,"",0,1)</f>
        <v>6</v>
      </c>
      <c r="T198">
        <f>_xlfn.XLOOKUP(A:A,'[4]TD90D PZAS'!$A:$A,'[4]TD90D PZAS'!$CX:$CX,"",0,1)</f>
        <v>1</v>
      </c>
      <c r="U198">
        <f>_xlfn.XLOOKUP(A:A,'[4]TD90D PZAS'!$A:$A,'[4]TD90D PZAS'!$DA:$DA,"",0,1)</f>
        <v>0</v>
      </c>
    </row>
    <row r="199" spans="1:21" x14ac:dyDescent="0.35">
      <c r="A199" t="s">
        <v>406</v>
      </c>
      <c r="B199" t="str">
        <f>_xlfn.XLOOKUP(A:A,[1]Hoja1!$C:$C,[1]Hoja1!$D:$D,"",0,1)</f>
        <v/>
      </c>
      <c r="C199" s="8">
        <v>1</v>
      </c>
      <c r="D199" s="11">
        <f>_xlfn.XLOOKUP(A:A,[2]Hoja1!$C:$C,[2]Hoja1!$H:$H,"",0,1)</f>
        <v>671.55</v>
      </c>
      <c r="E199" s="11" t="str">
        <f>_xlfn.XLOOKUP(A:A,[1]Hoja1!$C:$C,[1]Hoja1!$H:$H,"",0,1)</f>
        <v/>
      </c>
      <c r="F199" s="14">
        <f>_xlfn.XLOOKUP(A:A,TD!A:A,TD!EC:EC,"",0,1)</f>
        <v>2</v>
      </c>
      <c r="G199" s="15">
        <f t="shared" si="14"/>
        <v>2</v>
      </c>
      <c r="H199" s="16">
        <f t="shared" si="15"/>
        <v>2014.6499999999999</v>
      </c>
      <c r="I199" s="16" t="e">
        <f t="shared" si="16"/>
        <v>#VALUE!</v>
      </c>
      <c r="J199" s="27">
        <v>22643</v>
      </c>
      <c r="K199" t="str">
        <f>_xlfn.XLOOKUP(J:J,'[3]FILTROS 2'!$A:$A,'[3]FILTROS 2'!$E:$E,"",0,1)</f>
        <v>ESMALTE - KITOX</v>
      </c>
      <c r="L199" s="30"/>
      <c r="O199" t="str">
        <f>_xlfn.XLOOKUP(A:A,[4]TD90D!$A:$A,[4]TD90D!$CW:$CW,"",0,1)</f>
        <v/>
      </c>
      <c r="P199" t="str">
        <f>_xlfn.XLOOKUP(A:A,[4]TD90D!$A:$A,[4]TD90D!$CX:$CX,"",0,1)</f>
        <v/>
      </c>
      <c r="Q199" t="str">
        <f>_xlfn.XLOOKUP(A:A,[4]TD90D!$A:$A,[4]TD90D!$DA:$DA,"",0,1)</f>
        <v/>
      </c>
      <c r="R199" s="31" t="e">
        <f t="shared" si="17"/>
        <v>#VALUE!</v>
      </c>
      <c r="S199" t="str">
        <f>_xlfn.XLOOKUP(A:A,'[4]TD90D PZAS'!$A:$A,'[4]TD90D PZAS'!$CW:$CW,"",0,1)</f>
        <v/>
      </c>
      <c r="T199" t="str">
        <f>_xlfn.XLOOKUP(A:A,'[4]TD90D PZAS'!$A:$A,'[4]TD90D PZAS'!$CX:$CX,"",0,1)</f>
        <v/>
      </c>
      <c r="U199" t="str">
        <f>_xlfn.XLOOKUP(A:A,'[4]TD90D PZAS'!$A:$A,'[4]TD90D PZAS'!$DA:$DA,"",0,1)</f>
        <v/>
      </c>
    </row>
    <row r="200" spans="1:21" x14ac:dyDescent="0.35">
      <c r="A200" t="s">
        <v>121</v>
      </c>
      <c r="B200" t="str">
        <f>_xlfn.XLOOKUP(A:A,[1]Hoja1!$C:$C,[1]Hoja1!$D:$D,"",0,1)</f>
        <v>COLADOR DE PAPEL -SIGLO-</v>
      </c>
      <c r="C200" s="8">
        <v>1</v>
      </c>
      <c r="D200" s="11">
        <f>_xlfn.XLOOKUP(A:A,[2]Hoja1!$C:$C,[2]Hoja1!$H:$H,"",0,1)</f>
        <v>1.72</v>
      </c>
      <c r="E200" s="11">
        <f>_xlfn.XLOOKUP(A:A,[1]Hoja1!$C:$C,[1]Hoja1!$H:$H,"",0,1)</f>
        <v>1.72</v>
      </c>
      <c r="F200" s="14">
        <f>_xlfn.XLOOKUP(A:A,TD!A:A,TD!EC:EC,"",0,1)</f>
        <v>100</v>
      </c>
      <c r="G200" s="15">
        <f t="shared" si="14"/>
        <v>100</v>
      </c>
      <c r="H200" s="16">
        <f t="shared" si="15"/>
        <v>5.16</v>
      </c>
      <c r="I200" s="16">
        <f t="shared" si="16"/>
        <v>5.16</v>
      </c>
      <c r="J200" s="27" t="s">
        <v>121</v>
      </c>
      <c r="K200" t="str">
        <f>_xlfn.XLOOKUP(J:J,'[3]FILTROS 2'!$A:$A,'[3]FILTROS 2'!$E:$E,"",0,1)</f>
        <v>PROMOCIONALES</v>
      </c>
      <c r="L200" s="30"/>
      <c r="O200" t="str">
        <f>_xlfn.XLOOKUP(A:A,[4]TD90D!$A:$A,[4]TD90D!$CW:$CW,"",0,1)</f>
        <v/>
      </c>
      <c r="P200" t="str">
        <f>_xlfn.XLOOKUP(A:A,[4]TD90D!$A:$A,[4]TD90D!$CX:$CX,"",0,1)</f>
        <v/>
      </c>
      <c r="Q200" t="str">
        <f>_xlfn.XLOOKUP(A:A,[4]TD90D!$A:$A,[4]TD90D!$DA:$DA,"",0,1)</f>
        <v/>
      </c>
      <c r="R200" s="31" t="e">
        <f t="shared" si="17"/>
        <v>#VALUE!</v>
      </c>
      <c r="S200" t="str">
        <f>_xlfn.XLOOKUP(A:A,'[4]TD90D PZAS'!$A:$A,'[4]TD90D PZAS'!$CW:$CW,"",0,1)</f>
        <v/>
      </c>
      <c r="T200" t="str">
        <f>_xlfn.XLOOKUP(A:A,'[4]TD90D PZAS'!$A:$A,'[4]TD90D PZAS'!$CX:$CX,"",0,1)</f>
        <v/>
      </c>
      <c r="U200" t="str">
        <f>_xlfn.XLOOKUP(A:A,'[4]TD90D PZAS'!$A:$A,'[4]TD90D PZAS'!$DA:$DA,"",0,1)</f>
        <v/>
      </c>
    </row>
    <row r="201" spans="1:21" x14ac:dyDescent="0.35">
      <c r="A201" t="s">
        <v>372</v>
      </c>
      <c r="B201" t="str">
        <f>_xlfn.XLOOKUP(A:A,[1]Hoja1!$C:$C,[1]Hoja1!$D:$D,"",0,1)</f>
        <v/>
      </c>
      <c r="C201" s="8">
        <v>1</v>
      </c>
      <c r="D201" s="11">
        <f>_xlfn.XLOOKUP(A:A,[2]Hoja1!$C:$C,[2]Hoja1!$H:$H,"",0,1)</f>
        <v>1042.24</v>
      </c>
      <c r="E201" s="11" t="str">
        <f>_xlfn.XLOOKUP(A:A,[1]Hoja1!$C:$C,[1]Hoja1!$H:$H,"",0,1)</f>
        <v/>
      </c>
      <c r="F201" s="14">
        <f>_xlfn.XLOOKUP(A:A,TD!A:A,TD!EC:EC,"",0,1)</f>
        <v>2</v>
      </c>
      <c r="G201" s="15">
        <f t="shared" si="14"/>
        <v>2</v>
      </c>
      <c r="H201" s="16">
        <f t="shared" si="15"/>
        <v>3126.7200000000003</v>
      </c>
      <c r="I201" s="16" t="e">
        <f t="shared" si="16"/>
        <v>#VALUE!</v>
      </c>
      <c r="J201" s="27" t="s">
        <v>372</v>
      </c>
      <c r="K201" t="str">
        <f>_xlfn.XLOOKUP(J:J,'[3]FILTROS 2'!$A:$A,'[3]FILTROS 2'!$E:$E,"",0,1)</f>
        <v>FONDOS ARQUITECTONICOS</v>
      </c>
      <c r="L201" s="30"/>
      <c r="O201">
        <f>_xlfn.XLOOKUP(A:A,[4]TD90D!$A:$A,[4]TD90D!$CW:$CW,"",0,1)</f>
        <v>2</v>
      </c>
      <c r="P201">
        <f>_xlfn.XLOOKUP(A:A,[4]TD90D!$A:$A,[4]TD90D!$CX:$CX,"",0,1)</f>
        <v>1</v>
      </c>
      <c r="Q201">
        <f>_xlfn.XLOOKUP(A:A,[4]TD90D!$A:$A,[4]TD90D!$DA:$DA,"",0,1)</f>
        <v>0</v>
      </c>
      <c r="R201" s="31">
        <f t="shared" si="17"/>
        <v>1</v>
      </c>
      <c r="S201">
        <f>_xlfn.XLOOKUP(A:A,'[4]TD90D PZAS'!$A:$A,'[4]TD90D PZAS'!$CW:$CW,"",0,1)</f>
        <v>5</v>
      </c>
      <c r="T201">
        <f>_xlfn.XLOOKUP(A:A,'[4]TD90D PZAS'!$A:$A,'[4]TD90D PZAS'!$CX:$CX,"",0,1)</f>
        <v>1</v>
      </c>
      <c r="U201">
        <f>_xlfn.XLOOKUP(A:A,'[4]TD90D PZAS'!$A:$A,'[4]TD90D PZAS'!$DA:$DA,"",0,1)</f>
        <v>0</v>
      </c>
    </row>
    <row r="202" spans="1:21" x14ac:dyDescent="0.35">
      <c r="A202" t="s">
        <v>402</v>
      </c>
      <c r="B202" t="str">
        <f>_xlfn.XLOOKUP(A:A,[1]Hoja1!$C:$C,[1]Hoja1!$D:$D,"",0,1)</f>
        <v>VINILICA VERDE CLARO 5A</v>
      </c>
      <c r="C202" s="8">
        <v>1</v>
      </c>
      <c r="D202" s="11">
        <f>_xlfn.XLOOKUP(A:A,[2]Hoja1!$C:$C,[2]Hoja1!$H:$H,"",0,1)</f>
        <v>107.76</v>
      </c>
      <c r="E202" s="11">
        <f>_xlfn.XLOOKUP(A:A,[1]Hoja1!$C:$C,[1]Hoja1!$H:$H,"",0,1)</f>
        <v>85.34</v>
      </c>
      <c r="F202" s="14">
        <f>_xlfn.XLOOKUP(A:A,TD!A:A,TD!EC:EC,"",0,1)</f>
        <v>2</v>
      </c>
      <c r="G202" s="15">
        <f t="shared" si="14"/>
        <v>2</v>
      </c>
      <c r="H202" s="16">
        <f t="shared" si="15"/>
        <v>323.28000000000003</v>
      </c>
      <c r="I202" s="16">
        <f t="shared" si="16"/>
        <v>256.02</v>
      </c>
      <c r="J202" s="27" t="s">
        <v>402</v>
      </c>
      <c r="K202" t="str">
        <f>_xlfn.XLOOKUP(J:J,'[3]FILTROS 2'!$A:$A,'[3]FILTROS 2'!$E:$E,"",0,1)</f>
        <v>VINILICA - GLOSI 5 AÑOS</v>
      </c>
      <c r="L202" s="30"/>
      <c r="O202" t="str">
        <f>_xlfn.XLOOKUP(A:A,[4]TD90D!$A:$A,[4]TD90D!$CW:$CW,"",0,1)</f>
        <v/>
      </c>
      <c r="P202" t="str">
        <f>_xlfn.XLOOKUP(A:A,[4]TD90D!$A:$A,[4]TD90D!$CX:$CX,"",0,1)</f>
        <v/>
      </c>
      <c r="Q202" t="str">
        <f>_xlfn.XLOOKUP(A:A,[4]TD90D!$A:$A,[4]TD90D!$DA:$DA,"",0,1)</f>
        <v/>
      </c>
      <c r="R202" s="31" t="e">
        <f t="shared" si="17"/>
        <v>#VALUE!</v>
      </c>
      <c r="S202" t="str">
        <f>_xlfn.XLOOKUP(A:A,'[4]TD90D PZAS'!$A:$A,'[4]TD90D PZAS'!$CW:$CW,"",0,1)</f>
        <v/>
      </c>
      <c r="T202" t="str">
        <f>_xlfn.XLOOKUP(A:A,'[4]TD90D PZAS'!$A:$A,'[4]TD90D PZAS'!$CX:$CX,"",0,1)</f>
        <v/>
      </c>
      <c r="U202" t="str">
        <f>_xlfn.XLOOKUP(A:A,'[4]TD90D PZAS'!$A:$A,'[4]TD90D PZAS'!$DA:$DA,"",0,1)</f>
        <v/>
      </c>
    </row>
    <row r="203" spans="1:21" x14ac:dyDescent="0.35">
      <c r="A203" t="s">
        <v>370</v>
      </c>
      <c r="B203" t="str">
        <f>_xlfn.XLOOKUP(A:A,[1]Hoja1!$C:$C,[1]Hoja1!$D:$D,"",0,1)</f>
        <v/>
      </c>
      <c r="C203" s="8">
        <v>1</v>
      </c>
      <c r="D203" s="11">
        <f>_xlfn.XLOOKUP(A:A,[2]Hoja1!$C:$C,[2]Hoja1!$H:$H,"",0,1)</f>
        <v>1042.24</v>
      </c>
      <c r="E203" s="11" t="str">
        <f>_xlfn.XLOOKUP(A:A,[1]Hoja1!$C:$C,[1]Hoja1!$H:$H,"",0,1)</f>
        <v/>
      </c>
      <c r="F203" s="14">
        <f>_xlfn.XLOOKUP(A:A,TD!A:A,TD!EC:EC,"",0,1)</f>
        <v>1</v>
      </c>
      <c r="G203" s="15">
        <f t="shared" si="14"/>
        <v>1</v>
      </c>
      <c r="H203" s="16">
        <f t="shared" si="15"/>
        <v>3126.7200000000003</v>
      </c>
      <c r="I203" s="16" t="e">
        <f t="shared" si="16"/>
        <v>#VALUE!</v>
      </c>
      <c r="J203" s="27" t="s">
        <v>370</v>
      </c>
      <c r="K203" t="str">
        <f>_xlfn.XLOOKUP(J:J,'[3]FILTROS 2'!$A:$A,'[3]FILTROS 2'!$E:$E,"",0,1)</f>
        <v>FONDOS ARQUITECTONICOS</v>
      </c>
      <c r="L203" s="30"/>
      <c r="O203" t="str">
        <f>_xlfn.XLOOKUP(A:A,[4]TD90D!$A:$A,[4]TD90D!$CW:$CW,"",0,1)</f>
        <v/>
      </c>
      <c r="P203" t="str">
        <f>_xlfn.XLOOKUP(A:A,[4]TD90D!$A:$A,[4]TD90D!$CX:$CX,"",0,1)</f>
        <v/>
      </c>
      <c r="Q203" t="str">
        <f>_xlfn.XLOOKUP(A:A,[4]TD90D!$A:$A,[4]TD90D!$DA:$DA,"",0,1)</f>
        <v/>
      </c>
      <c r="R203" s="31" t="e">
        <f t="shared" si="17"/>
        <v>#VALUE!</v>
      </c>
      <c r="S203" t="str">
        <f>_xlfn.XLOOKUP(A:A,'[4]TD90D PZAS'!$A:$A,'[4]TD90D PZAS'!$CW:$CW,"",0,1)</f>
        <v/>
      </c>
      <c r="T203" t="str">
        <f>_xlfn.XLOOKUP(A:A,'[4]TD90D PZAS'!$A:$A,'[4]TD90D PZAS'!$CX:$CX,"",0,1)</f>
        <v/>
      </c>
      <c r="U203" t="str">
        <f>_xlfn.XLOOKUP(A:A,'[4]TD90D PZAS'!$A:$A,'[4]TD90D PZAS'!$DA:$DA,"",0,1)</f>
        <v/>
      </c>
    </row>
    <row r="204" spans="1:21" x14ac:dyDescent="0.35">
      <c r="A204" t="s">
        <v>410</v>
      </c>
      <c r="B204" t="str">
        <f>_xlfn.XLOOKUP(A:A,[1]Hoja1!$C:$C,[1]Hoja1!$D:$D,"",0,1)</f>
        <v>BARNIZ ALQUIDALICO CAOBA</v>
      </c>
      <c r="C204" s="8">
        <v>1</v>
      </c>
      <c r="D204" s="11">
        <f>_xlfn.XLOOKUP(A:A,[2]Hoja1!$C:$C,[2]Hoja1!$H:$H,"",0,1)</f>
        <v>207.76</v>
      </c>
      <c r="E204" s="11">
        <f>_xlfn.XLOOKUP(A:A,[1]Hoja1!$C:$C,[1]Hoja1!$H:$H,"",0,1)</f>
        <v>207.76</v>
      </c>
      <c r="F204" s="14">
        <f>_xlfn.XLOOKUP(A:A,TD!A:A,TD!EC:EC,"",0,1)</f>
        <v>6</v>
      </c>
      <c r="G204" s="15">
        <f t="shared" si="14"/>
        <v>6</v>
      </c>
      <c r="H204" s="16">
        <f t="shared" si="15"/>
        <v>623.28</v>
      </c>
      <c r="I204" s="16">
        <f t="shared" si="16"/>
        <v>623.28</v>
      </c>
      <c r="J204" s="27">
        <v>28884</v>
      </c>
      <c r="K204" t="str">
        <f>_xlfn.XLOOKUP(J:J,'[3]FILTROS 2'!$A:$A,'[3]FILTROS 2'!$E:$E,"",0,1)</f>
        <v>BARNIZ ALQUIDALICO SIGLO</v>
      </c>
      <c r="L204" s="30"/>
      <c r="O204" t="str">
        <f>_xlfn.XLOOKUP(A:A,[4]TD90D!$A:$A,[4]TD90D!$CW:$CW,"",0,1)</f>
        <v/>
      </c>
      <c r="P204" t="str">
        <f>_xlfn.XLOOKUP(A:A,[4]TD90D!$A:$A,[4]TD90D!$CX:$CX,"",0,1)</f>
        <v/>
      </c>
      <c r="Q204" t="str">
        <f>_xlfn.XLOOKUP(A:A,[4]TD90D!$A:$A,[4]TD90D!$DA:$DA,"",0,1)</f>
        <v/>
      </c>
      <c r="R204" s="31" t="e">
        <f t="shared" si="17"/>
        <v>#VALUE!</v>
      </c>
      <c r="S204" t="str">
        <f>_xlfn.XLOOKUP(A:A,'[4]TD90D PZAS'!$A:$A,'[4]TD90D PZAS'!$CW:$CW,"",0,1)</f>
        <v/>
      </c>
      <c r="T204" t="str">
        <f>_xlfn.XLOOKUP(A:A,'[4]TD90D PZAS'!$A:$A,'[4]TD90D PZAS'!$CX:$CX,"",0,1)</f>
        <v/>
      </c>
      <c r="U204" t="str">
        <f>_xlfn.XLOOKUP(A:A,'[4]TD90D PZAS'!$A:$A,'[4]TD90D PZAS'!$DA:$DA,"",0,1)</f>
        <v/>
      </c>
    </row>
    <row r="205" spans="1:21" x14ac:dyDescent="0.35">
      <c r="A205" t="s">
        <v>314</v>
      </c>
      <c r="B205" t="str">
        <f>_xlfn.XLOOKUP(A:A,[1]Hoja1!$C:$C,[1]Hoja1!$D:$D,"",0,1)</f>
        <v>BRILLON CALABAZA</v>
      </c>
      <c r="C205" s="8">
        <v>1</v>
      </c>
      <c r="D205" s="11">
        <f>_xlfn.XLOOKUP(A:A,[2]Hoja1!$C:$C,[2]Hoja1!$H:$H,"",0,1)</f>
        <v>58.62</v>
      </c>
      <c r="E205" s="11">
        <f>_xlfn.XLOOKUP(A:A,[1]Hoja1!$C:$C,[1]Hoja1!$H:$H,"",0,1)</f>
        <v>43.97</v>
      </c>
      <c r="F205" s="14">
        <f>_xlfn.XLOOKUP(A:A,TD!A:A,TD!EC:EC,"",0,1)</f>
        <v>12</v>
      </c>
      <c r="G205" s="15">
        <f t="shared" si="14"/>
        <v>12</v>
      </c>
      <c r="H205" s="16">
        <f t="shared" si="15"/>
        <v>175.85999999999999</v>
      </c>
      <c r="I205" s="16">
        <f t="shared" si="16"/>
        <v>131.91</v>
      </c>
      <c r="J205" s="27">
        <v>28266</v>
      </c>
      <c r="K205" t="str">
        <f>_xlfn.XLOOKUP(J:J,'[3]FILTROS 2'!$A:$A,'[3]FILTROS 2'!$E:$E,"",0,1)</f>
        <v>ESMALTE - BRILLON</v>
      </c>
      <c r="L205" s="30"/>
      <c r="O205" t="str">
        <f>_xlfn.XLOOKUP(A:A,[4]TD90D!$A:$A,[4]TD90D!$CW:$CW,"",0,1)</f>
        <v/>
      </c>
      <c r="P205" t="str">
        <f>_xlfn.XLOOKUP(A:A,[4]TD90D!$A:$A,[4]TD90D!$CX:$CX,"",0,1)</f>
        <v/>
      </c>
      <c r="Q205" t="str">
        <f>_xlfn.XLOOKUP(A:A,[4]TD90D!$A:$A,[4]TD90D!$DA:$DA,"",0,1)</f>
        <v/>
      </c>
      <c r="R205" s="31" t="e">
        <f t="shared" si="17"/>
        <v>#VALUE!</v>
      </c>
      <c r="S205" t="str">
        <f>_xlfn.XLOOKUP(A:A,'[4]TD90D PZAS'!$A:$A,'[4]TD90D PZAS'!$CW:$CW,"",0,1)</f>
        <v/>
      </c>
      <c r="T205" t="str">
        <f>_xlfn.XLOOKUP(A:A,'[4]TD90D PZAS'!$A:$A,'[4]TD90D PZAS'!$CX:$CX,"",0,1)</f>
        <v/>
      </c>
      <c r="U205" t="str">
        <f>_xlfn.XLOOKUP(A:A,'[4]TD90D PZAS'!$A:$A,'[4]TD90D PZAS'!$DA:$DA,"",0,1)</f>
        <v/>
      </c>
    </row>
    <row r="206" spans="1:21" x14ac:dyDescent="0.35">
      <c r="A206" t="s">
        <v>84</v>
      </c>
      <c r="B206" t="str">
        <f>_xlfn.XLOOKUP(A:A,[1]Hoja1!$C:$C,[1]Hoja1!$D:$D,"",0,1)</f>
        <v>ESMALTE BRILLON BLANCO.</v>
      </c>
      <c r="C206" s="8">
        <v>1</v>
      </c>
      <c r="D206" s="11">
        <f>_xlfn.XLOOKUP(A:A,[2]Hoja1!$C:$C,[2]Hoja1!$H:$H,"",0,1)</f>
        <v>2311.21</v>
      </c>
      <c r="E206" s="11">
        <f>_xlfn.XLOOKUP(A:A,[1]Hoja1!$C:$C,[1]Hoja1!$H:$H,"",0,1)</f>
        <v>1733.62</v>
      </c>
      <c r="F206" s="14">
        <f>_xlfn.XLOOKUP(A:A,TD!A:A,TD!EC:EC,"",0,1)</f>
        <v>1</v>
      </c>
      <c r="G206" s="15">
        <f t="shared" si="14"/>
        <v>1</v>
      </c>
      <c r="H206" s="16">
        <f t="shared" si="15"/>
        <v>6933.63</v>
      </c>
      <c r="I206" s="16">
        <f t="shared" si="16"/>
        <v>5200.8599999999997</v>
      </c>
      <c r="J206" s="27">
        <v>28001</v>
      </c>
      <c r="K206" t="str">
        <f>_xlfn.XLOOKUP(J:J,'[3]FILTROS 2'!$A:$A,'[3]FILTROS 2'!$E:$E,"",0,1)</f>
        <v>ESMALTE - BRILLON</v>
      </c>
      <c r="L206" s="30"/>
      <c r="O206">
        <f>_xlfn.XLOOKUP(A:A,[4]TD90D!$A:$A,[4]TD90D!$CW:$CW,"",0,1)</f>
        <v>2</v>
      </c>
      <c r="P206">
        <f>_xlfn.XLOOKUP(A:A,[4]TD90D!$A:$A,[4]TD90D!$CX:$CX,"",0,1)</f>
        <v>1</v>
      </c>
      <c r="Q206">
        <f>_xlfn.XLOOKUP(A:A,[4]TD90D!$A:$A,[4]TD90D!$DA:$DA,"",0,1)</f>
        <v>0</v>
      </c>
      <c r="R206" s="31">
        <f t="shared" si="17"/>
        <v>1</v>
      </c>
      <c r="S206">
        <f>_xlfn.XLOOKUP(A:A,'[4]TD90D PZAS'!$A:$A,'[4]TD90D PZAS'!$CW:$CW,"",0,1)</f>
        <v>3</v>
      </c>
      <c r="T206">
        <f>_xlfn.XLOOKUP(A:A,'[4]TD90D PZAS'!$A:$A,'[4]TD90D PZAS'!$CX:$CX,"",0,1)</f>
        <v>1</v>
      </c>
      <c r="U206">
        <f>_xlfn.XLOOKUP(A:A,'[4]TD90D PZAS'!$A:$A,'[4]TD90D PZAS'!$DA:$DA,"",0,1)</f>
        <v>0</v>
      </c>
    </row>
    <row r="207" spans="1:21" x14ac:dyDescent="0.35">
      <c r="A207" t="s">
        <v>288</v>
      </c>
      <c r="B207" t="str">
        <f>_xlfn.XLOOKUP(A:A,[1]Hoja1!$C:$C,[1]Hoja1!$D:$D,"",0,1)</f>
        <v>AEROSOL ALMENDRA</v>
      </c>
      <c r="C207" s="8">
        <v>1</v>
      </c>
      <c r="D207" s="11">
        <f>_xlfn.XLOOKUP(A:A,[2]Hoja1!$C:$C,[2]Hoja1!$H:$H,"",0,1)</f>
        <v>55.17</v>
      </c>
      <c r="E207" s="11">
        <f>_xlfn.XLOOKUP(A:A,[1]Hoja1!$C:$C,[1]Hoja1!$H:$H,"",0,1)</f>
        <v>41.38</v>
      </c>
      <c r="F207" s="14">
        <f>_xlfn.XLOOKUP(A:A,TD!A:A,TD!EC:EC,"",0,1)</f>
        <v>6</v>
      </c>
      <c r="G207" s="15">
        <f t="shared" si="14"/>
        <v>6</v>
      </c>
      <c r="H207" s="16">
        <f t="shared" si="15"/>
        <v>165.51</v>
      </c>
      <c r="I207" s="16">
        <f t="shared" si="16"/>
        <v>124.14000000000001</v>
      </c>
      <c r="J207" s="27">
        <v>2322</v>
      </c>
      <c r="K207" t="str">
        <f>_xlfn.XLOOKUP(J:J,'[3]FILTROS 2'!$A:$A,'[3]FILTROS 2'!$E:$E,"",0,1)</f>
        <v>AEROSOLES PRISA</v>
      </c>
      <c r="L207" s="30"/>
      <c r="O207">
        <f>_xlfn.XLOOKUP(A:A,[4]TD90D!$A:$A,[4]TD90D!$CW:$CW,"",0,1)</f>
        <v>2</v>
      </c>
      <c r="P207">
        <f>_xlfn.XLOOKUP(A:A,[4]TD90D!$A:$A,[4]TD90D!$CX:$CX,"",0,1)</f>
        <v>1</v>
      </c>
      <c r="Q207">
        <f>_xlfn.XLOOKUP(A:A,[4]TD90D!$A:$A,[4]TD90D!$DA:$DA,"",0,1)</f>
        <v>0</v>
      </c>
      <c r="R207" s="31">
        <f t="shared" si="17"/>
        <v>1</v>
      </c>
      <c r="S207">
        <f>_xlfn.XLOOKUP(A:A,'[4]TD90D PZAS'!$A:$A,'[4]TD90D PZAS'!$CW:$CW,"",0,1)</f>
        <v>12</v>
      </c>
      <c r="T207">
        <f>_xlfn.XLOOKUP(A:A,'[4]TD90D PZAS'!$A:$A,'[4]TD90D PZAS'!$CX:$CX,"",0,1)</f>
        <v>1</v>
      </c>
      <c r="U207">
        <f>_xlfn.XLOOKUP(A:A,'[4]TD90D PZAS'!$A:$A,'[4]TD90D PZAS'!$DA:$DA,"",0,1)</f>
        <v>0</v>
      </c>
    </row>
    <row r="208" spans="1:21" x14ac:dyDescent="0.35">
      <c r="A208" t="s">
        <v>331</v>
      </c>
      <c r="B208" t="str">
        <f>_xlfn.XLOOKUP(A:A,[1]Hoja1!$C:$C,[1]Hoja1!$D:$D,"",0,1)</f>
        <v>ESMALTE GLOSI SR CANARIO</v>
      </c>
      <c r="C208" s="8">
        <v>1</v>
      </c>
      <c r="D208" s="11">
        <f>_xlfn.XLOOKUP(A:A,[2]Hoja1!$C:$C,[2]Hoja1!$H:$H,"",0,1)</f>
        <v>205.17</v>
      </c>
      <c r="E208" s="11">
        <f>_xlfn.XLOOKUP(A:A,[1]Hoja1!$C:$C,[1]Hoja1!$H:$H,"",0,1)</f>
        <v>161.21</v>
      </c>
      <c r="F208" s="14">
        <f>_xlfn.XLOOKUP(A:A,TD!A:A,TD!EC:EC,"",0,1)</f>
        <v>6</v>
      </c>
      <c r="G208" s="15">
        <f t="shared" si="14"/>
        <v>6</v>
      </c>
      <c r="H208" s="16">
        <f t="shared" si="15"/>
        <v>615.51</v>
      </c>
      <c r="I208" s="16">
        <f t="shared" si="16"/>
        <v>483.63</v>
      </c>
      <c r="J208" s="27" t="s">
        <v>331</v>
      </c>
      <c r="K208" t="str">
        <f>_xlfn.XLOOKUP(J:J,'[3]FILTROS 2'!$A:$A,'[3]FILTROS 2'!$E:$E,"",0,1)</f>
        <v>ESMALTE - GLOSI SECADO RAPIDO</v>
      </c>
      <c r="L208" s="30"/>
      <c r="O208" t="str">
        <f>_xlfn.XLOOKUP(A:A,[4]TD90D!$A:$A,[4]TD90D!$CW:$CW,"",0,1)</f>
        <v/>
      </c>
      <c r="P208" t="str">
        <f>_xlfn.XLOOKUP(A:A,[4]TD90D!$A:$A,[4]TD90D!$CX:$CX,"",0,1)</f>
        <v/>
      </c>
      <c r="Q208" t="str">
        <f>_xlfn.XLOOKUP(A:A,[4]TD90D!$A:$A,[4]TD90D!$DA:$DA,"",0,1)</f>
        <v/>
      </c>
      <c r="R208" s="31" t="e">
        <f t="shared" si="17"/>
        <v>#VALUE!</v>
      </c>
      <c r="S208" t="str">
        <f>_xlfn.XLOOKUP(A:A,'[4]TD90D PZAS'!$A:$A,'[4]TD90D PZAS'!$CW:$CW,"",0,1)</f>
        <v/>
      </c>
      <c r="T208" t="str">
        <f>_xlfn.XLOOKUP(A:A,'[4]TD90D PZAS'!$A:$A,'[4]TD90D PZAS'!$CX:$CX,"",0,1)</f>
        <v/>
      </c>
      <c r="U208" t="str">
        <f>_xlfn.XLOOKUP(A:A,'[4]TD90D PZAS'!$A:$A,'[4]TD90D PZAS'!$DA:$DA,"",0,1)</f>
        <v/>
      </c>
    </row>
    <row r="209" spans="1:21" x14ac:dyDescent="0.35">
      <c r="A209" t="s">
        <v>253</v>
      </c>
      <c r="B209" t="str">
        <f>_xlfn.XLOOKUP(A:A,[1]Hoja1!$C:$C,[1]Hoja1!$D:$D,"",0,1)</f>
        <v>VINILICA GLOSI BLANCO PRO</v>
      </c>
      <c r="C209" s="8">
        <v>1</v>
      </c>
      <c r="D209" s="11">
        <f>_xlfn.XLOOKUP(A:A,[2]Hoja1!$C:$C,[2]Hoja1!$H:$H,"",0,1)</f>
        <v>454.31</v>
      </c>
      <c r="E209" s="11">
        <f>_xlfn.XLOOKUP(A:A,[1]Hoja1!$C:$C,[1]Hoja1!$H:$H,"",0,1)</f>
        <v>339.66</v>
      </c>
      <c r="F209" s="14">
        <f>_xlfn.XLOOKUP(A:A,TD!A:A,TD!EC:EC,"",0,1)</f>
        <v>1</v>
      </c>
      <c r="G209" s="15">
        <f t="shared" si="14"/>
        <v>1</v>
      </c>
      <c r="H209" s="16">
        <f t="shared" si="15"/>
        <v>1362.93</v>
      </c>
      <c r="I209" s="16">
        <f t="shared" si="16"/>
        <v>1018.98</v>
      </c>
      <c r="J209" s="27" t="s">
        <v>253</v>
      </c>
      <c r="K209" t="str">
        <f>_xlfn.XLOOKUP(J:J,'[3]FILTROS 2'!$A:$A,'[3]FILTROS 2'!$E:$E,"",0,1)</f>
        <v>VINILICA - GLOSI PROFESIONAL</v>
      </c>
      <c r="L209" s="30"/>
      <c r="O209" t="str">
        <f>_xlfn.XLOOKUP(A:A,[4]TD90D!$A:$A,[4]TD90D!$CW:$CW,"",0,1)</f>
        <v/>
      </c>
      <c r="P209" t="str">
        <f>_xlfn.XLOOKUP(A:A,[4]TD90D!$A:$A,[4]TD90D!$CX:$CX,"",0,1)</f>
        <v/>
      </c>
      <c r="Q209" t="str">
        <f>_xlfn.XLOOKUP(A:A,[4]TD90D!$A:$A,[4]TD90D!$DA:$DA,"",0,1)</f>
        <v/>
      </c>
      <c r="R209" s="31" t="e">
        <f t="shared" si="17"/>
        <v>#VALUE!</v>
      </c>
      <c r="S209" t="str">
        <f>_xlfn.XLOOKUP(A:A,'[4]TD90D PZAS'!$A:$A,'[4]TD90D PZAS'!$CW:$CW,"",0,1)</f>
        <v/>
      </c>
      <c r="T209" t="str">
        <f>_xlfn.XLOOKUP(A:A,'[4]TD90D PZAS'!$A:$A,'[4]TD90D PZAS'!$CX:$CX,"",0,1)</f>
        <v/>
      </c>
      <c r="U209" t="str">
        <f>_xlfn.XLOOKUP(A:A,'[4]TD90D PZAS'!$A:$A,'[4]TD90D PZAS'!$DA:$DA,"",0,1)</f>
        <v/>
      </c>
    </row>
    <row r="210" spans="1:21" x14ac:dyDescent="0.35">
      <c r="A210" t="s">
        <v>304</v>
      </c>
      <c r="B210" t="str">
        <f>_xlfn.XLOOKUP(A:A,[1]Hoja1!$C:$C,[1]Hoja1!$D:$D,"",0,1)</f>
        <v>CATALIZADOR P/RELL ROJO "25GRS"</v>
      </c>
      <c r="C210" s="8">
        <v>1</v>
      </c>
      <c r="D210" s="11">
        <f>_xlfn.XLOOKUP(A:A,[2]Hoja1!$C:$C,[2]Hoja1!$H:$H,"",0,1)</f>
        <v>39.659999999999997</v>
      </c>
      <c r="E210" s="11">
        <f>_xlfn.XLOOKUP(A:A,[1]Hoja1!$C:$C,[1]Hoja1!$H:$H,"",0,1)</f>
        <v>29.31</v>
      </c>
      <c r="F210" s="14">
        <f>_xlfn.XLOOKUP(A:A,TD!A:A,TD!EC:EC,"",0,1)</f>
        <v>6</v>
      </c>
      <c r="G210" s="15">
        <f t="shared" si="14"/>
        <v>6</v>
      </c>
      <c r="H210" s="16">
        <f t="shared" si="15"/>
        <v>118.97999999999999</v>
      </c>
      <c r="I210" s="16">
        <f t="shared" si="16"/>
        <v>87.929999999999993</v>
      </c>
      <c r="J210" s="27">
        <v>29284</v>
      </c>
      <c r="K210" t="str">
        <f>_xlfn.XLOOKUP(J:J,'[3]FILTROS 2'!$A:$A,'[3]FILTROS 2'!$E:$E,"",0,1)</f>
        <v>RELLENADOR</v>
      </c>
      <c r="L210" s="30"/>
      <c r="O210" t="str">
        <f>_xlfn.XLOOKUP(A:A,[4]TD90D!$A:$A,[4]TD90D!$CW:$CW,"",0,1)</f>
        <v/>
      </c>
      <c r="P210" t="str">
        <f>_xlfn.XLOOKUP(A:A,[4]TD90D!$A:$A,[4]TD90D!$CX:$CX,"",0,1)</f>
        <v/>
      </c>
      <c r="Q210" t="str">
        <f>_xlfn.XLOOKUP(A:A,[4]TD90D!$A:$A,[4]TD90D!$DA:$DA,"",0,1)</f>
        <v/>
      </c>
      <c r="R210" s="31" t="e">
        <f t="shared" si="17"/>
        <v>#VALUE!</v>
      </c>
      <c r="S210" t="str">
        <f>_xlfn.XLOOKUP(A:A,'[4]TD90D PZAS'!$A:$A,'[4]TD90D PZAS'!$CW:$CW,"",0,1)</f>
        <v/>
      </c>
      <c r="T210" t="str">
        <f>_xlfn.XLOOKUP(A:A,'[4]TD90D PZAS'!$A:$A,'[4]TD90D PZAS'!$CX:$CX,"",0,1)</f>
        <v/>
      </c>
      <c r="U210" t="str">
        <f>_xlfn.XLOOKUP(A:A,'[4]TD90D PZAS'!$A:$A,'[4]TD90D PZAS'!$DA:$DA,"",0,1)</f>
        <v/>
      </c>
    </row>
    <row r="211" spans="1:21" x14ac:dyDescent="0.35">
      <c r="A211" t="s">
        <v>195</v>
      </c>
      <c r="B211" t="str">
        <f>_xlfn.XLOOKUP(A:A,[1]Hoja1!$C:$C,[1]Hoja1!$D:$D,"",0,1)</f>
        <v>VINILICA GLOSI BLANCO PRO</v>
      </c>
      <c r="C211" s="8">
        <v>1</v>
      </c>
      <c r="D211" s="11">
        <f>_xlfn.XLOOKUP(A:A,[2]Hoja1!$C:$C,[2]Hoja1!$H:$H,"",0,1)</f>
        <v>1806.9</v>
      </c>
      <c r="E211" s="11">
        <f>_xlfn.XLOOKUP(A:A,[1]Hoja1!$C:$C,[1]Hoja1!$H:$H,"",0,1)</f>
        <v>1355.17</v>
      </c>
      <c r="F211" s="14">
        <f>_xlfn.XLOOKUP(A:A,TD!A:A,TD!EC:EC,"",0,1)</f>
        <v>1</v>
      </c>
      <c r="G211" s="15">
        <f t="shared" si="14"/>
        <v>1</v>
      </c>
      <c r="H211" s="16">
        <f t="shared" si="15"/>
        <v>5420.7000000000007</v>
      </c>
      <c r="I211" s="16">
        <f t="shared" si="16"/>
        <v>4065.51</v>
      </c>
      <c r="J211" s="27" t="s">
        <v>195</v>
      </c>
      <c r="K211" t="str">
        <f>_xlfn.XLOOKUP(J:J,'[3]FILTROS 2'!$A:$A,'[3]FILTROS 2'!$E:$E,"",0,1)</f>
        <v>VINILICA - GLOSI PROFESIONAL</v>
      </c>
      <c r="L211" s="30"/>
      <c r="O211">
        <f>_xlfn.XLOOKUP(A:A,[4]TD90D!$A:$A,[4]TD90D!$CW:$CW,"",0,1)</f>
        <v>2</v>
      </c>
      <c r="P211">
        <f>_xlfn.XLOOKUP(A:A,[4]TD90D!$A:$A,[4]TD90D!$CX:$CX,"",0,1)</f>
        <v>1</v>
      </c>
      <c r="Q211">
        <f>_xlfn.XLOOKUP(A:A,[4]TD90D!$A:$A,[4]TD90D!$DA:$DA,"",0,1)</f>
        <v>0</v>
      </c>
      <c r="R211" s="31">
        <f t="shared" si="17"/>
        <v>1</v>
      </c>
      <c r="S211">
        <f>_xlfn.XLOOKUP(A:A,'[4]TD90D PZAS'!$A:$A,'[4]TD90D PZAS'!$CW:$CW,"",0,1)</f>
        <v>3</v>
      </c>
      <c r="T211">
        <f>_xlfn.XLOOKUP(A:A,'[4]TD90D PZAS'!$A:$A,'[4]TD90D PZAS'!$CX:$CX,"",0,1)</f>
        <v>1</v>
      </c>
      <c r="U211">
        <f>_xlfn.XLOOKUP(A:A,'[4]TD90D PZAS'!$A:$A,'[4]TD90D PZAS'!$DA:$DA,"",0,1)</f>
        <v>0</v>
      </c>
    </row>
    <row r="212" spans="1:21" x14ac:dyDescent="0.35">
      <c r="A212" t="s">
        <v>415</v>
      </c>
      <c r="B212" t="str">
        <f>_xlfn.XLOOKUP(A:A,[1]Hoja1!$C:$C,[1]Hoja1!$D:$D,"",0,1)</f>
        <v/>
      </c>
      <c r="C212" s="8">
        <v>1</v>
      </c>
      <c r="D212" s="11">
        <f>_xlfn.XLOOKUP(A:A,[2]Hoja1!$C:$C,[2]Hoja1!$H:$H,"",0,1)</f>
        <v>80.17</v>
      </c>
      <c r="E212" s="11" t="str">
        <f>_xlfn.XLOOKUP(A:A,[1]Hoja1!$C:$C,[1]Hoja1!$H:$H,"",0,1)</f>
        <v/>
      </c>
      <c r="F212" s="14">
        <f>_xlfn.XLOOKUP(A:A,TD!A:A,TD!EC:EC,"",0,1)</f>
        <v>12</v>
      </c>
      <c r="G212" s="15">
        <f t="shared" si="14"/>
        <v>12</v>
      </c>
      <c r="H212" s="16">
        <f t="shared" si="15"/>
        <v>240.51</v>
      </c>
      <c r="I212" s="16" t="e">
        <f t="shared" si="16"/>
        <v>#VALUE!</v>
      </c>
      <c r="J212" s="27">
        <v>21986</v>
      </c>
      <c r="K212" t="str">
        <f>_xlfn.XLOOKUP(J:J,'[3]FILTROS 2'!$A:$A,'[3]FILTROS 2'!$E:$E,"",0,1)</f>
        <v>ESMALTE - MILCO</v>
      </c>
      <c r="L212" s="30"/>
      <c r="O212" t="str">
        <f>_xlfn.XLOOKUP(A:A,[4]TD90D!$A:$A,[4]TD90D!$CW:$CW,"",0,1)</f>
        <v/>
      </c>
      <c r="P212" t="str">
        <f>_xlfn.XLOOKUP(A:A,[4]TD90D!$A:$A,[4]TD90D!$CX:$CX,"",0,1)</f>
        <v/>
      </c>
      <c r="Q212" t="str">
        <f>_xlfn.XLOOKUP(A:A,[4]TD90D!$A:$A,[4]TD90D!$DA:$DA,"",0,1)</f>
        <v/>
      </c>
      <c r="R212" s="31" t="e">
        <f t="shared" si="17"/>
        <v>#VALUE!</v>
      </c>
      <c r="S212" t="str">
        <f>_xlfn.XLOOKUP(A:A,'[4]TD90D PZAS'!$A:$A,'[4]TD90D PZAS'!$CW:$CW,"",0,1)</f>
        <v/>
      </c>
      <c r="T212" t="str">
        <f>_xlfn.XLOOKUP(A:A,'[4]TD90D PZAS'!$A:$A,'[4]TD90D PZAS'!$CX:$CX,"",0,1)</f>
        <v/>
      </c>
      <c r="U212" t="str">
        <f>_xlfn.XLOOKUP(A:A,'[4]TD90D PZAS'!$A:$A,'[4]TD90D PZAS'!$DA:$DA,"",0,1)</f>
        <v/>
      </c>
    </row>
    <row r="213" spans="1:21" x14ac:dyDescent="0.35">
      <c r="A213" t="s">
        <v>359</v>
      </c>
      <c r="B213" t="str">
        <f>_xlfn.XLOOKUP(A:A,[1]Hoja1!$C:$C,[1]Hoja1!$D:$D,"",0,1)</f>
        <v>VINILICA GLOSI AMARILLO PRO</v>
      </c>
      <c r="C213" s="8">
        <v>1</v>
      </c>
      <c r="D213" s="11">
        <f>_xlfn.XLOOKUP(A:A,[2]Hoja1!$C:$C,[2]Hoja1!$H:$H,"",0,1)</f>
        <v>454.31</v>
      </c>
      <c r="E213" s="11">
        <f>_xlfn.XLOOKUP(A:A,[1]Hoja1!$C:$C,[1]Hoja1!$H:$H,"",0,1)</f>
        <v>339.66</v>
      </c>
      <c r="F213" s="14">
        <f>_xlfn.XLOOKUP(A:A,TD!A:A,TD!EC:EC,"",0,1)</f>
        <v>1</v>
      </c>
      <c r="G213" s="15">
        <f t="shared" si="14"/>
        <v>1</v>
      </c>
      <c r="H213" s="16">
        <f t="shared" si="15"/>
        <v>1362.93</v>
      </c>
      <c r="I213" s="16">
        <f t="shared" si="16"/>
        <v>1018.98</v>
      </c>
      <c r="J213" s="27" t="s">
        <v>359</v>
      </c>
      <c r="K213" t="str">
        <f>_xlfn.XLOOKUP(J:J,'[3]FILTROS 2'!$A:$A,'[3]FILTROS 2'!$E:$E,"",0,1)</f>
        <v>VINILICA - GLOSI PROFESIONAL</v>
      </c>
      <c r="L213" s="30"/>
      <c r="O213" t="str">
        <f>_xlfn.XLOOKUP(A:A,[4]TD90D!$A:$A,[4]TD90D!$CW:$CW,"",0,1)</f>
        <v/>
      </c>
      <c r="P213" t="str">
        <f>_xlfn.XLOOKUP(A:A,[4]TD90D!$A:$A,[4]TD90D!$CX:$CX,"",0,1)</f>
        <v/>
      </c>
      <c r="Q213" t="str">
        <f>_xlfn.XLOOKUP(A:A,[4]TD90D!$A:$A,[4]TD90D!$DA:$DA,"",0,1)</f>
        <v/>
      </c>
      <c r="R213" s="31" t="e">
        <f t="shared" si="17"/>
        <v>#VALUE!</v>
      </c>
      <c r="S213" t="str">
        <f>_xlfn.XLOOKUP(A:A,'[4]TD90D PZAS'!$A:$A,'[4]TD90D PZAS'!$CW:$CW,"",0,1)</f>
        <v/>
      </c>
      <c r="T213" t="str">
        <f>_xlfn.XLOOKUP(A:A,'[4]TD90D PZAS'!$A:$A,'[4]TD90D PZAS'!$CX:$CX,"",0,1)</f>
        <v/>
      </c>
      <c r="U213" t="str">
        <f>_xlfn.XLOOKUP(A:A,'[4]TD90D PZAS'!$A:$A,'[4]TD90D PZAS'!$DA:$DA,"",0,1)</f>
        <v/>
      </c>
    </row>
    <row r="214" spans="1:21" x14ac:dyDescent="0.35">
      <c r="A214" t="s">
        <v>81</v>
      </c>
      <c r="B214" t="str">
        <f>_xlfn.XLOOKUP(A:A,[1]Hoja1!$C:$C,[1]Hoja1!$D:$D,"",0,1)</f>
        <v>ESMALTE GLOSI SR NEGRO BRILLANTE</v>
      </c>
      <c r="C214" s="8">
        <v>1</v>
      </c>
      <c r="D214" s="11">
        <f>_xlfn.XLOOKUP(A:A,[2]Hoja1!$C:$C,[2]Hoja1!$H:$H,"",0,1)</f>
        <v>3192.24</v>
      </c>
      <c r="E214" s="11">
        <f>_xlfn.XLOOKUP(A:A,[1]Hoja1!$C:$C,[1]Hoja1!$H:$H,"",0,1)</f>
        <v>2462.9299999999998</v>
      </c>
      <c r="F214" s="14">
        <f>_xlfn.XLOOKUP(A:A,TD!A:A,TD!EC:EC,"",0,1)</f>
        <v>1</v>
      </c>
      <c r="G214" s="15">
        <f t="shared" si="14"/>
        <v>1</v>
      </c>
      <c r="H214" s="16">
        <f t="shared" si="15"/>
        <v>9576.7199999999993</v>
      </c>
      <c r="I214" s="16">
        <f t="shared" si="16"/>
        <v>7388.7899999999991</v>
      </c>
      <c r="J214" s="27" t="s">
        <v>81</v>
      </c>
      <c r="K214" t="str">
        <f>_xlfn.XLOOKUP(J:J,'[3]FILTROS 2'!$A:$A,'[3]FILTROS 2'!$E:$E,"",0,1)</f>
        <v>ESMALTE - GLOSI SECADO RAPIDO</v>
      </c>
      <c r="L214" s="30"/>
      <c r="O214" t="str">
        <f>_xlfn.XLOOKUP(A:A,[4]TD90D!$A:$A,[4]TD90D!$CW:$CW,"",0,1)</f>
        <v/>
      </c>
      <c r="P214" t="str">
        <f>_xlfn.XLOOKUP(A:A,[4]TD90D!$A:$A,[4]TD90D!$CX:$CX,"",0,1)</f>
        <v/>
      </c>
      <c r="Q214" t="str">
        <f>_xlfn.XLOOKUP(A:A,[4]TD90D!$A:$A,[4]TD90D!$DA:$DA,"",0,1)</f>
        <v/>
      </c>
      <c r="R214" s="31" t="e">
        <f t="shared" si="17"/>
        <v>#VALUE!</v>
      </c>
      <c r="S214" t="str">
        <f>_xlfn.XLOOKUP(A:A,'[4]TD90D PZAS'!$A:$A,'[4]TD90D PZAS'!$CW:$CW,"",0,1)</f>
        <v/>
      </c>
      <c r="T214" t="str">
        <f>_xlfn.XLOOKUP(A:A,'[4]TD90D PZAS'!$A:$A,'[4]TD90D PZAS'!$CX:$CX,"",0,1)</f>
        <v/>
      </c>
      <c r="U214" t="str">
        <f>_xlfn.XLOOKUP(A:A,'[4]TD90D PZAS'!$A:$A,'[4]TD90D PZAS'!$DA:$DA,"",0,1)</f>
        <v/>
      </c>
    </row>
    <row r="215" spans="1:21" x14ac:dyDescent="0.35">
      <c r="A215" t="s">
        <v>254</v>
      </c>
      <c r="B215" t="str">
        <f>_xlfn.XLOOKUP(A:A,[1]Hoja1!$C:$C,[1]Hoja1!$D:$D,"",0,1)</f>
        <v>VINILICA GLOSI OCRE PRO</v>
      </c>
      <c r="C215" s="8">
        <v>1</v>
      </c>
      <c r="D215" s="11">
        <f>_xlfn.XLOOKUP(A:A,[2]Hoja1!$C:$C,[2]Hoja1!$H:$H,"",0,1)</f>
        <v>1806.9</v>
      </c>
      <c r="E215" s="11">
        <f>_xlfn.XLOOKUP(A:A,[1]Hoja1!$C:$C,[1]Hoja1!$H:$H,"",0,1)</f>
        <v>1355.17</v>
      </c>
      <c r="F215" s="14">
        <f>_xlfn.XLOOKUP(A:A,TD!A:A,TD!EC:EC,"",0,1)</f>
        <v>1</v>
      </c>
      <c r="G215" s="15">
        <f t="shared" si="14"/>
        <v>1</v>
      </c>
      <c r="H215" s="16">
        <f t="shared" si="15"/>
        <v>5420.7000000000007</v>
      </c>
      <c r="I215" s="16">
        <f t="shared" si="16"/>
        <v>4065.51</v>
      </c>
      <c r="J215" s="27" t="s">
        <v>254</v>
      </c>
      <c r="K215" t="str">
        <f>_xlfn.XLOOKUP(J:J,'[3]FILTROS 2'!$A:$A,'[3]FILTROS 2'!$E:$E,"",0,1)</f>
        <v>VINILICA - GLOSI PROFESIONAL</v>
      </c>
      <c r="L215" s="30"/>
      <c r="O215" t="str">
        <f>_xlfn.XLOOKUP(A:A,[4]TD90D!$A:$A,[4]TD90D!$CW:$CW,"",0,1)</f>
        <v/>
      </c>
      <c r="P215" t="str">
        <f>_xlfn.XLOOKUP(A:A,[4]TD90D!$A:$A,[4]TD90D!$CX:$CX,"",0,1)</f>
        <v/>
      </c>
      <c r="Q215" t="str">
        <f>_xlfn.XLOOKUP(A:A,[4]TD90D!$A:$A,[4]TD90D!$DA:$DA,"",0,1)</f>
        <v/>
      </c>
      <c r="R215" s="31" t="e">
        <f t="shared" si="17"/>
        <v>#VALUE!</v>
      </c>
      <c r="S215" t="str">
        <f>_xlfn.XLOOKUP(A:A,'[4]TD90D PZAS'!$A:$A,'[4]TD90D PZAS'!$CW:$CW,"",0,1)</f>
        <v/>
      </c>
      <c r="T215" t="str">
        <f>_xlfn.XLOOKUP(A:A,'[4]TD90D PZAS'!$A:$A,'[4]TD90D PZAS'!$CX:$CX,"",0,1)</f>
        <v/>
      </c>
      <c r="U215" t="str">
        <f>_xlfn.XLOOKUP(A:A,'[4]TD90D PZAS'!$A:$A,'[4]TD90D PZAS'!$DA:$DA,"",0,1)</f>
        <v/>
      </c>
    </row>
    <row r="216" spans="1:21" x14ac:dyDescent="0.35">
      <c r="A216" t="s">
        <v>218</v>
      </c>
      <c r="B216" t="str">
        <f>_xlfn.XLOOKUP(A:A,[1]Hoja1!$C:$C,[1]Hoja1!$D:$D,"",0,1)</f>
        <v/>
      </c>
      <c r="C216" s="8">
        <v>1</v>
      </c>
      <c r="D216" s="11">
        <f>_xlfn.XLOOKUP(A:A,[2]Hoja1!$C:$C,[2]Hoja1!$H:$H,"",0,1)</f>
        <v>2845.69</v>
      </c>
      <c r="E216" s="11" t="str">
        <f>_xlfn.XLOOKUP(A:A,[1]Hoja1!$C:$C,[1]Hoja1!$H:$H,"",0,1)</f>
        <v/>
      </c>
      <c r="F216" s="14">
        <f>_xlfn.XLOOKUP(A:A,TD!A:A,TD!EC:EC,"",0,1)</f>
        <v>1</v>
      </c>
      <c r="G216" s="15">
        <f t="shared" si="14"/>
        <v>1</v>
      </c>
      <c r="H216" s="16">
        <f t="shared" si="15"/>
        <v>8537.07</v>
      </c>
      <c r="I216" s="16" t="e">
        <f t="shared" si="16"/>
        <v>#VALUE!</v>
      </c>
      <c r="J216" s="27">
        <v>22001</v>
      </c>
      <c r="K216" t="str">
        <f>_xlfn.XLOOKUP(J:J,'[3]FILTROS 2'!$A:$A,'[3]FILTROS 2'!$E:$E,"",0,1)</f>
        <v>ESMALTE - KITOX</v>
      </c>
      <c r="L216" s="30"/>
      <c r="O216">
        <f>_xlfn.XLOOKUP(A:A,[4]TD90D!$A:$A,[4]TD90D!$CW:$CW,"",0,1)</f>
        <v>2</v>
      </c>
      <c r="P216">
        <f>_xlfn.XLOOKUP(A:A,[4]TD90D!$A:$A,[4]TD90D!$CX:$CX,"",0,1)</f>
        <v>1</v>
      </c>
      <c r="Q216">
        <f>_xlfn.XLOOKUP(A:A,[4]TD90D!$A:$A,[4]TD90D!$DA:$DA,"",0,1)</f>
        <v>0</v>
      </c>
      <c r="R216" s="31">
        <f t="shared" si="17"/>
        <v>1</v>
      </c>
      <c r="S216">
        <f>_xlfn.XLOOKUP(A:A,'[4]TD90D PZAS'!$A:$A,'[4]TD90D PZAS'!$CW:$CW,"",0,1)</f>
        <v>3</v>
      </c>
      <c r="T216">
        <f>_xlfn.XLOOKUP(A:A,'[4]TD90D PZAS'!$A:$A,'[4]TD90D PZAS'!$CX:$CX,"",0,1)</f>
        <v>1</v>
      </c>
      <c r="U216">
        <f>_xlfn.XLOOKUP(A:A,'[4]TD90D PZAS'!$A:$A,'[4]TD90D PZAS'!$DA:$DA,"",0,1)</f>
        <v>0</v>
      </c>
    </row>
    <row r="217" spans="1:21" x14ac:dyDescent="0.35">
      <c r="A217" t="s">
        <v>394</v>
      </c>
      <c r="B217" t="str">
        <f>_xlfn.XLOOKUP(A:A,[1]Hoja1!$C:$C,[1]Hoja1!$D:$D,"",0,1)</f>
        <v>AEROSOL BEIGE</v>
      </c>
      <c r="C217" s="8">
        <v>1</v>
      </c>
      <c r="D217" s="11">
        <f>_xlfn.XLOOKUP(A:A,[2]Hoja1!$C:$C,[2]Hoja1!$H:$H,"",0,1)</f>
        <v>55.17</v>
      </c>
      <c r="E217" s="11">
        <f>_xlfn.XLOOKUP(A:A,[1]Hoja1!$C:$C,[1]Hoja1!$H:$H,"",0,1)</f>
        <v>41.38</v>
      </c>
      <c r="F217" s="14">
        <f>_xlfn.XLOOKUP(A:A,TD!A:A,TD!EC:EC,"",0,1)</f>
        <v>6</v>
      </c>
      <c r="G217" s="15">
        <f t="shared" si="14"/>
        <v>6</v>
      </c>
      <c r="H217" s="16">
        <f t="shared" si="15"/>
        <v>165.51</v>
      </c>
      <c r="I217" s="16">
        <f t="shared" si="16"/>
        <v>124.14000000000001</v>
      </c>
      <c r="J217" s="27">
        <v>2324</v>
      </c>
      <c r="K217" t="str">
        <f>_xlfn.XLOOKUP(J:J,'[3]FILTROS 2'!$A:$A,'[3]FILTROS 2'!$E:$E,"",0,1)</f>
        <v>AEROSOLES PRISA</v>
      </c>
      <c r="L217" s="30"/>
      <c r="O217">
        <f>_xlfn.XLOOKUP(A:A,[4]TD90D!$A:$A,[4]TD90D!$CW:$CW,"",0,1)</f>
        <v>2</v>
      </c>
      <c r="P217">
        <f>_xlfn.XLOOKUP(A:A,[4]TD90D!$A:$A,[4]TD90D!$CX:$CX,"",0,1)</f>
        <v>1</v>
      </c>
      <c r="Q217">
        <f>_xlfn.XLOOKUP(A:A,[4]TD90D!$A:$A,[4]TD90D!$DA:$DA,"",0,1)</f>
        <v>0</v>
      </c>
      <c r="R217" s="31">
        <f t="shared" si="17"/>
        <v>1</v>
      </c>
      <c r="S217">
        <f>_xlfn.XLOOKUP(A:A,'[4]TD90D PZAS'!$A:$A,'[4]TD90D PZAS'!$CW:$CW,"",0,1)</f>
        <v>12</v>
      </c>
      <c r="T217">
        <f>_xlfn.XLOOKUP(A:A,'[4]TD90D PZAS'!$A:$A,'[4]TD90D PZAS'!$CX:$CX,"",0,1)</f>
        <v>1</v>
      </c>
      <c r="U217">
        <f>_xlfn.XLOOKUP(A:A,'[4]TD90D PZAS'!$A:$A,'[4]TD90D PZAS'!$DA:$DA,"",0,1)</f>
        <v>0</v>
      </c>
    </row>
    <row r="218" spans="1:21" x14ac:dyDescent="0.35">
      <c r="A218" t="s">
        <v>383</v>
      </c>
      <c r="B218" t="str">
        <f>_xlfn.XLOOKUP(A:A,[1]Hoja1!$C:$C,[1]Hoja1!$D:$D,"",0,1)</f>
        <v>BRILLON TAMARINDO</v>
      </c>
      <c r="C218" s="8">
        <v>1</v>
      </c>
      <c r="D218" s="11">
        <f>_xlfn.XLOOKUP(A:A,[2]Hoja1!$C:$C,[2]Hoja1!$H:$H,"",0,1)</f>
        <v>58.62</v>
      </c>
      <c r="E218" s="11">
        <f>_xlfn.XLOOKUP(A:A,[1]Hoja1!$C:$C,[1]Hoja1!$H:$H,"",0,1)</f>
        <v>43.97</v>
      </c>
      <c r="F218" s="14">
        <f>_xlfn.XLOOKUP(A:A,TD!A:A,TD!EC:EC,"",0,1)</f>
        <v>6</v>
      </c>
      <c r="G218" s="15">
        <f t="shared" si="14"/>
        <v>6</v>
      </c>
      <c r="H218" s="16">
        <f t="shared" si="15"/>
        <v>175.85999999999999</v>
      </c>
      <c r="I218" s="16">
        <f t="shared" si="16"/>
        <v>131.91</v>
      </c>
      <c r="J218" s="27">
        <v>28566</v>
      </c>
      <c r="K218" t="str">
        <f>_xlfn.XLOOKUP(J:J,'[3]FILTROS 2'!$A:$A,'[3]FILTROS 2'!$E:$E,"",0,1)</f>
        <v>ESMALTE - BRILLON</v>
      </c>
      <c r="L218" s="30"/>
      <c r="O218">
        <f>_xlfn.XLOOKUP(A:A,[4]TD90D!$A:$A,[4]TD90D!$CW:$CW,"",0,1)</f>
        <v>3</v>
      </c>
      <c r="P218">
        <f>_xlfn.XLOOKUP(A:A,[4]TD90D!$A:$A,[4]TD90D!$CX:$CX,"",0,1)</f>
        <v>1</v>
      </c>
      <c r="Q218">
        <f>_xlfn.XLOOKUP(A:A,[4]TD90D!$A:$A,[4]TD90D!$DA:$DA,"",0,1)</f>
        <v>0</v>
      </c>
      <c r="R218" s="31">
        <f t="shared" si="17"/>
        <v>1</v>
      </c>
      <c r="S218">
        <f>_xlfn.XLOOKUP(A:A,'[4]TD90D PZAS'!$A:$A,'[4]TD90D PZAS'!$CW:$CW,"",0,1)</f>
        <v>6</v>
      </c>
      <c r="T218">
        <f>_xlfn.XLOOKUP(A:A,'[4]TD90D PZAS'!$A:$A,'[4]TD90D PZAS'!$CX:$CX,"",0,1)</f>
        <v>1</v>
      </c>
      <c r="U218">
        <f>_xlfn.XLOOKUP(A:A,'[4]TD90D PZAS'!$A:$A,'[4]TD90D PZAS'!$DA:$DA,"",0,1)</f>
        <v>0</v>
      </c>
    </row>
    <row r="219" spans="1:21" x14ac:dyDescent="0.35">
      <c r="A219" t="s">
        <v>362</v>
      </c>
      <c r="B219" t="str">
        <f>_xlfn.XLOOKUP(A:A,[1]Hoja1!$C:$C,[1]Hoja1!$D:$D,"",0,1)</f>
        <v>VINILICA GLOSI VERDE PRO</v>
      </c>
      <c r="C219" s="8">
        <v>1</v>
      </c>
      <c r="D219" s="11">
        <f>_xlfn.XLOOKUP(A:A,[2]Hoja1!$C:$C,[2]Hoja1!$H:$H,"",0,1)</f>
        <v>454.31</v>
      </c>
      <c r="E219" s="11">
        <f>_xlfn.XLOOKUP(A:A,[1]Hoja1!$C:$C,[1]Hoja1!$H:$H,"",0,1)</f>
        <v>339.66</v>
      </c>
      <c r="F219" s="14">
        <f>_xlfn.XLOOKUP(A:A,TD!A:A,TD!EC:EC,"",0,1)</f>
        <v>1</v>
      </c>
      <c r="G219" s="15">
        <f t="shared" si="14"/>
        <v>1</v>
      </c>
      <c r="H219" s="16">
        <f t="shared" si="15"/>
        <v>1362.93</v>
      </c>
      <c r="I219" s="16">
        <f t="shared" si="16"/>
        <v>1018.98</v>
      </c>
      <c r="J219" s="27" t="s">
        <v>362</v>
      </c>
      <c r="K219" t="str">
        <f>_xlfn.XLOOKUP(J:J,'[3]FILTROS 2'!$A:$A,'[3]FILTROS 2'!$E:$E,"",0,1)</f>
        <v>VINILICA - GLOSI PROFESIONAL</v>
      </c>
      <c r="L219" s="30"/>
      <c r="O219" t="str">
        <f>_xlfn.XLOOKUP(A:A,[4]TD90D!$A:$A,[4]TD90D!$CW:$CW,"",0,1)</f>
        <v/>
      </c>
      <c r="P219" t="str">
        <f>_xlfn.XLOOKUP(A:A,[4]TD90D!$A:$A,[4]TD90D!$CX:$CX,"",0,1)</f>
        <v/>
      </c>
      <c r="Q219" t="str">
        <f>_xlfn.XLOOKUP(A:A,[4]TD90D!$A:$A,[4]TD90D!$DA:$DA,"",0,1)</f>
        <v/>
      </c>
      <c r="R219" s="31" t="e">
        <f t="shared" si="17"/>
        <v>#VALUE!</v>
      </c>
      <c r="S219" t="str">
        <f>_xlfn.XLOOKUP(A:A,'[4]TD90D PZAS'!$A:$A,'[4]TD90D PZAS'!$CW:$CW,"",0,1)</f>
        <v/>
      </c>
      <c r="T219" t="str">
        <f>_xlfn.XLOOKUP(A:A,'[4]TD90D PZAS'!$A:$A,'[4]TD90D PZAS'!$CX:$CX,"",0,1)</f>
        <v/>
      </c>
      <c r="U219" t="str">
        <f>_xlfn.XLOOKUP(A:A,'[4]TD90D PZAS'!$A:$A,'[4]TD90D PZAS'!$DA:$DA,"",0,1)</f>
        <v/>
      </c>
    </row>
    <row r="220" spans="1:21" x14ac:dyDescent="0.35">
      <c r="A220" t="s">
        <v>417</v>
      </c>
      <c r="B220" t="str">
        <f>_xlfn.XLOOKUP(A:A,[1]Hoja1!$C:$C,[1]Hoja1!$D:$D,"",0,1)</f>
        <v/>
      </c>
      <c r="C220" s="8">
        <v>1</v>
      </c>
      <c r="D220" s="11">
        <f>_xlfn.XLOOKUP(A:A,[2]Hoja1!$C:$C,[2]Hoja1!$H:$H,"",0,1)</f>
        <v>187.93</v>
      </c>
      <c r="E220" s="11" t="str">
        <f>_xlfn.XLOOKUP(A:A,[1]Hoja1!$C:$C,[1]Hoja1!$H:$H,"",0,1)</f>
        <v/>
      </c>
      <c r="F220" s="14">
        <f>_xlfn.XLOOKUP(A:A,TD!A:A,TD!EC:EC,"",0,1)</f>
        <v>6</v>
      </c>
      <c r="G220" s="15">
        <f t="shared" si="14"/>
        <v>6</v>
      </c>
      <c r="H220" s="16">
        <f t="shared" si="15"/>
        <v>563.79</v>
      </c>
      <c r="I220" s="16" t="e">
        <f t="shared" si="16"/>
        <v>#VALUE!</v>
      </c>
      <c r="J220" s="27">
        <v>22004</v>
      </c>
      <c r="K220" t="str">
        <f>_xlfn.XLOOKUP(J:J,'[3]FILTROS 2'!$A:$A,'[3]FILTROS 2'!$E:$E,"",0,1)</f>
        <v>ESMALTE - KITOX</v>
      </c>
      <c r="L220" s="30"/>
      <c r="O220" t="str">
        <f>_xlfn.XLOOKUP(A:A,[4]TD90D!$A:$A,[4]TD90D!$CW:$CW,"",0,1)</f>
        <v/>
      </c>
      <c r="P220" t="str">
        <f>_xlfn.XLOOKUP(A:A,[4]TD90D!$A:$A,[4]TD90D!$CX:$CX,"",0,1)</f>
        <v/>
      </c>
      <c r="Q220" t="str">
        <f>_xlfn.XLOOKUP(A:A,[4]TD90D!$A:$A,[4]TD90D!$DA:$DA,"",0,1)</f>
        <v/>
      </c>
      <c r="R220" s="31" t="e">
        <f t="shared" si="17"/>
        <v>#VALUE!</v>
      </c>
      <c r="S220" t="str">
        <f>_xlfn.XLOOKUP(A:A,'[4]TD90D PZAS'!$A:$A,'[4]TD90D PZAS'!$CW:$CW,"",0,1)</f>
        <v/>
      </c>
      <c r="T220" t="str">
        <f>_xlfn.XLOOKUP(A:A,'[4]TD90D PZAS'!$A:$A,'[4]TD90D PZAS'!$CX:$CX,"",0,1)</f>
        <v/>
      </c>
      <c r="U220" t="str">
        <f>_xlfn.XLOOKUP(A:A,'[4]TD90D PZAS'!$A:$A,'[4]TD90D PZAS'!$DA:$DA,"",0,1)</f>
        <v/>
      </c>
    </row>
    <row r="221" spans="1:21" x14ac:dyDescent="0.35">
      <c r="A221" t="s">
        <v>306</v>
      </c>
      <c r="B221" t="str">
        <f>_xlfn.XLOOKUP(A:A,[1]Hoja1!$C:$C,[1]Hoja1!$D:$D,"",0,1)</f>
        <v>AEROSOL NARANJA</v>
      </c>
      <c r="C221" s="8">
        <v>1</v>
      </c>
      <c r="D221" s="11">
        <f>_xlfn.XLOOKUP(A:A,[2]Hoja1!$C:$C,[2]Hoja1!$H:$H,"",0,1)</f>
        <v>55.17</v>
      </c>
      <c r="E221" s="11">
        <f>_xlfn.XLOOKUP(A:A,[1]Hoja1!$C:$C,[1]Hoja1!$H:$H,"",0,1)</f>
        <v>41.38</v>
      </c>
      <c r="F221" s="14">
        <f>_xlfn.XLOOKUP(A:A,TD!A:A,TD!EC:EC,"",0,1)</f>
        <v>6</v>
      </c>
      <c r="G221" s="15">
        <f t="shared" si="14"/>
        <v>6</v>
      </c>
      <c r="H221" s="16">
        <f t="shared" si="15"/>
        <v>165.51</v>
      </c>
      <c r="I221" s="16">
        <f t="shared" si="16"/>
        <v>124.14000000000001</v>
      </c>
      <c r="J221" s="27">
        <v>2335</v>
      </c>
      <c r="K221" t="str">
        <f>_xlfn.XLOOKUP(J:J,'[3]FILTROS 2'!$A:$A,'[3]FILTROS 2'!$E:$E,"",0,1)</f>
        <v>AEROSOLES PRISA</v>
      </c>
      <c r="L221" s="30"/>
      <c r="O221">
        <f>_xlfn.XLOOKUP(A:A,[4]TD90D!$A:$A,[4]TD90D!$CW:$CW,"",0,1)</f>
        <v>6</v>
      </c>
      <c r="P221">
        <f>_xlfn.XLOOKUP(A:A,[4]TD90D!$A:$A,[4]TD90D!$CX:$CX,"",0,1)</f>
        <v>3</v>
      </c>
      <c r="Q221">
        <f>_xlfn.XLOOKUP(A:A,[4]TD90D!$A:$A,[4]TD90D!$DA:$DA,"",0,1)</f>
        <v>0</v>
      </c>
      <c r="R221" s="31">
        <f t="shared" si="17"/>
        <v>3</v>
      </c>
      <c r="S221">
        <f>_xlfn.XLOOKUP(A:A,'[4]TD90D PZAS'!$A:$A,'[4]TD90D PZAS'!$CW:$CW,"",0,1)</f>
        <v>24</v>
      </c>
      <c r="T221">
        <f>_xlfn.XLOOKUP(A:A,'[4]TD90D PZAS'!$A:$A,'[4]TD90D PZAS'!$CX:$CX,"",0,1)</f>
        <v>2</v>
      </c>
      <c r="U221">
        <f>_xlfn.XLOOKUP(A:A,'[4]TD90D PZAS'!$A:$A,'[4]TD90D PZAS'!$DA:$DA,"",0,1)</f>
        <v>0</v>
      </c>
    </row>
    <row r="222" spans="1:21" x14ac:dyDescent="0.35">
      <c r="A222" t="s">
        <v>132</v>
      </c>
      <c r="B222" t="str">
        <f>_xlfn.XLOOKUP(A:A,[1]Hoja1!$C:$C,[1]Hoja1!$D:$D,"",0,1)</f>
        <v>PULIMENTO BLANCO 1968</v>
      </c>
      <c r="C222" s="8">
        <v>1</v>
      </c>
      <c r="D222" s="11">
        <f>_xlfn.XLOOKUP(A:A,[2]Hoja1!$C:$C,[2]Hoja1!$H:$H,"",0,1)</f>
        <v>191.38</v>
      </c>
      <c r="E222" s="11">
        <f>_xlfn.XLOOKUP(A:A,[1]Hoja1!$C:$C,[1]Hoja1!$H:$H,"",0,1)</f>
        <v>150</v>
      </c>
      <c r="F222" s="14">
        <f>_xlfn.XLOOKUP(A:A,TD!A:A,TD!EC:EC,"",0,1)</f>
        <v>2</v>
      </c>
      <c r="G222" s="15">
        <f t="shared" si="14"/>
        <v>2</v>
      </c>
      <c r="H222" s="16">
        <f t="shared" si="15"/>
        <v>574.14</v>
      </c>
      <c r="I222" s="16">
        <f t="shared" si="16"/>
        <v>450</v>
      </c>
      <c r="J222" s="27">
        <v>29504</v>
      </c>
      <c r="K222" t="str">
        <f>_xlfn.XLOOKUP(J:J,'[3]FILTROS 2'!$A:$A,'[3]FILTROS 2'!$E:$E,"",0,1)</f>
        <v>PULIMENTO</v>
      </c>
      <c r="L222" s="30"/>
      <c r="O222">
        <f>_xlfn.XLOOKUP(A:A,[4]TD90D!$A:$A,[4]TD90D!$CW:$CW,"",0,1)</f>
        <v>4</v>
      </c>
      <c r="P222">
        <f>_xlfn.XLOOKUP(A:A,[4]TD90D!$A:$A,[4]TD90D!$CX:$CX,"",0,1)</f>
        <v>1</v>
      </c>
      <c r="Q222">
        <f>_xlfn.XLOOKUP(A:A,[4]TD90D!$A:$A,[4]TD90D!$DA:$DA,"",0,1)</f>
        <v>0</v>
      </c>
      <c r="R222" s="31">
        <f t="shared" si="17"/>
        <v>1</v>
      </c>
      <c r="S222">
        <f>_xlfn.XLOOKUP(A:A,'[4]TD90D PZAS'!$A:$A,'[4]TD90D PZAS'!$CW:$CW,"",0,1)</f>
        <v>11</v>
      </c>
      <c r="T222">
        <f>_xlfn.XLOOKUP(A:A,'[4]TD90D PZAS'!$A:$A,'[4]TD90D PZAS'!$CX:$CX,"",0,1)</f>
        <v>1</v>
      </c>
      <c r="U222">
        <f>_xlfn.XLOOKUP(A:A,'[4]TD90D PZAS'!$A:$A,'[4]TD90D PZAS'!$DA:$DA,"",0,1)</f>
        <v>0</v>
      </c>
    </row>
    <row r="223" spans="1:21" x14ac:dyDescent="0.35">
      <c r="A223" t="s">
        <v>366</v>
      </c>
      <c r="B223" t="str">
        <f>_xlfn.XLOOKUP(A:A,[1]Hoja1!$C:$C,[1]Hoja1!$D:$D,"",0,1)</f>
        <v>VINILICA GLOSI ROSA MEX PRO</v>
      </c>
      <c r="C223" s="8">
        <v>1</v>
      </c>
      <c r="D223" s="11">
        <f>_xlfn.XLOOKUP(A:A,[2]Hoja1!$C:$C,[2]Hoja1!$H:$H,"",0,1)</f>
        <v>454.31</v>
      </c>
      <c r="E223" s="11">
        <f>_xlfn.XLOOKUP(A:A,[1]Hoja1!$C:$C,[1]Hoja1!$H:$H,"",0,1)</f>
        <v>339.66</v>
      </c>
      <c r="F223" s="14">
        <f>_xlfn.XLOOKUP(A:A,TD!A:A,TD!EC:EC,"",0,1)</f>
        <v>1</v>
      </c>
      <c r="G223" s="15">
        <f t="shared" si="14"/>
        <v>1</v>
      </c>
      <c r="H223" s="16">
        <f t="shared" si="15"/>
        <v>1362.93</v>
      </c>
      <c r="I223" s="16">
        <f t="shared" si="16"/>
        <v>1018.98</v>
      </c>
      <c r="J223" s="27" t="s">
        <v>366</v>
      </c>
      <c r="K223" t="str">
        <f>_xlfn.XLOOKUP(J:J,'[3]FILTROS 2'!$A:$A,'[3]FILTROS 2'!$E:$E,"",0,1)</f>
        <v>VINILICA - GLOSI PROFESIONAL</v>
      </c>
      <c r="L223" s="30"/>
      <c r="O223" t="str">
        <f>_xlfn.XLOOKUP(A:A,[4]TD90D!$A:$A,[4]TD90D!$CW:$CW,"",0,1)</f>
        <v/>
      </c>
      <c r="P223" t="str">
        <f>_xlfn.XLOOKUP(A:A,[4]TD90D!$A:$A,[4]TD90D!$CX:$CX,"",0,1)</f>
        <v/>
      </c>
      <c r="Q223" t="str">
        <f>_xlfn.XLOOKUP(A:A,[4]TD90D!$A:$A,[4]TD90D!$DA:$DA,"",0,1)</f>
        <v/>
      </c>
      <c r="R223" s="31" t="e">
        <f t="shared" si="17"/>
        <v>#VALUE!</v>
      </c>
      <c r="S223" t="str">
        <f>_xlfn.XLOOKUP(A:A,'[4]TD90D PZAS'!$A:$A,'[4]TD90D PZAS'!$CW:$CW,"",0,1)</f>
        <v/>
      </c>
      <c r="T223" t="str">
        <f>_xlfn.XLOOKUP(A:A,'[4]TD90D PZAS'!$A:$A,'[4]TD90D PZAS'!$CX:$CX,"",0,1)</f>
        <v/>
      </c>
      <c r="U223" t="str">
        <f>_xlfn.XLOOKUP(A:A,'[4]TD90D PZAS'!$A:$A,'[4]TD90D PZAS'!$DA:$DA,"",0,1)</f>
        <v/>
      </c>
    </row>
    <row r="224" spans="1:21" x14ac:dyDescent="0.35">
      <c r="A224" t="s">
        <v>129</v>
      </c>
      <c r="B224" t="str">
        <f>_xlfn.XLOOKUP(A:A,[1]Hoja1!$C:$C,[1]Hoja1!$D:$D,"",0,1)</f>
        <v>PULIMENTO BLANCO 1968</v>
      </c>
      <c r="C224" s="8">
        <v>1</v>
      </c>
      <c r="D224" s="11">
        <f>_xlfn.XLOOKUP(A:A,[2]Hoja1!$C:$C,[2]Hoja1!$H:$H,"",0,1)</f>
        <v>102.59</v>
      </c>
      <c r="E224" s="11">
        <f>_xlfn.XLOOKUP(A:A,[1]Hoja1!$C:$C,[1]Hoja1!$H:$H,"",0,1)</f>
        <v>79.31</v>
      </c>
      <c r="F224" s="14">
        <f>_xlfn.XLOOKUP(A:A,TD!A:A,TD!EC:EC,"",0,1)</f>
        <v>4</v>
      </c>
      <c r="G224" s="15">
        <f t="shared" si="14"/>
        <v>4</v>
      </c>
      <c r="H224" s="16">
        <f t="shared" si="15"/>
        <v>307.77</v>
      </c>
      <c r="I224" s="16">
        <f t="shared" si="16"/>
        <v>237.93</v>
      </c>
      <c r="J224" s="27">
        <v>29505</v>
      </c>
      <c r="K224" t="str">
        <f>_xlfn.XLOOKUP(J:J,'[3]FILTROS 2'!$A:$A,'[3]FILTROS 2'!$E:$E,"",0,1)</f>
        <v>PULIMENTO</v>
      </c>
      <c r="L224" s="30"/>
      <c r="O224">
        <f>_xlfn.XLOOKUP(A:A,[4]TD90D!$A:$A,[4]TD90D!$CW:$CW,"",0,1)</f>
        <v>7</v>
      </c>
      <c r="P224">
        <f>_xlfn.XLOOKUP(A:A,[4]TD90D!$A:$A,[4]TD90D!$CX:$CX,"",0,1)</f>
        <v>1</v>
      </c>
      <c r="Q224">
        <f>_xlfn.XLOOKUP(A:A,[4]TD90D!$A:$A,[4]TD90D!$DA:$DA,"",0,1)</f>
        <v>0</v>
      </c>
      <c r="R224" s="31">
        <f t="shared" si="17"/>
        <v>1</v>
      </c>
      <c r="S224">
        <f>_xlfn.XLOOKUP(A:A,'[4]TD90D PZAS'!$A:$A,'[4]TD90D PZAS'!$CW:$CW,"",0,1)</f>
        <v>23</v>
      </c>
      <c r="T224">
        <f>_xlfn.XLOOKUP(A:A,'[4]TD90D PZAS'!$A:$A,'[4]TD90D PZAS'!$CX:$CX,"",0,1)</f>
        <v>1</v>
      </c>
      <c r="U224">
        <f>_xlfn.XLOOKUP(A:A,'[4]TD90D PZAS'!$A:$A,'[4]TD90D PZAS'!$DA:$DA,"",0,1)</f>
        <v>0</v>
      </c>
    </row>
    <row r="225" spans="1:21" x14ac:dyDescent="0.35">
      <c r="A225" t="s">
        <v>368</v>
      </c>
      <c r="B225" t="str">
        <f>_xlfn.XLOOKUP(A:A,[1]Hoja1!$C:$C,[1]Hoja1!$D:$D,"",0,1)</f>
        <v>VINILICA GLOSI VERDE BOSQUE PRO</v>
      </c>
      <c r="C225" s="8">
        <v>1</v>
      </c>
      <c r="D225" s="11">
        <f>_xlfn.XLOOKUP(A:A,[2]Hoja1!$C:$C,[2]Hoja1!$H:$H,"",0,1)</f>
        <v>454.31</v>
      </c>
      <c r="E225" s="11">
        <f>_xlfn.XLOOKUP(A:A,[1]Hoja1!$C:$C,[1]Hoja1!$H:$H,"",0,1)</f>
        <v>339.66</v>
      </c>
      <c r="F225" s="14">
        <f>_xlfn.XLOOKUP(A:A,TD!A:A,TD!EC:EC,"",0,1)</f>
        <v>1</v>
      </c>
      <c r="G225" s="15">
        <f t="shared" si="14"/>
        <v>1</v>
      </c>
      <c r="H225" s="16">
        <f t="shared" si="15"/>
        <v>1362.93</v>
      </c>
      <c r="I225" s="16">
        <f t="shared" si="16"/>
        <v>1018.98</v>
      </c>
      <c r="J225" s="27" t="s">
        <v>368</v>
      </c>
      <c r="K225" t="str">
        <f>_xlfn.XLOOKUP(J:J,'[3]FILTROS 2'!$A:$A,'[3]FILTROS 2'!$E:$E,"",0,1)</f>
        <v>VINILICA - GLOSI PROFESIONAL</v>
      </c>
      <c r="L225" s="30"/>
      <c r="O225" t="str">
        <f>_xlfn.XLOOKUP(A:A,[4]TD90D!$A:$A,[4]TD90D!$CW:$CW,"",0,1)</f>
        <v/>
      </c>
      <c r="P225" t="str">
        <f>_xlfn.XLOOKUP(A:A,[4]TD90D!$A:$A,[4]TD90D!$CX:$CX,"",0,1)</f>
        <v/>
      </c>
      <c r="Q225" t="str">
        <f>_xlfn.XLOOKUP(A:A,[4]TD90D!$A:$A,[4]TD90D!$DA:$DA,"",0,1)</f>
        <v/>
      </c>
      <c r="R225" s="31" t="e">
        <f t="shared" si="17"/>
        <v>#VALUE!</v>
      </c>
      <c r="S225" t="str">
        <f>_xlfn.XLOOKUP(A:A,'[4]TD90D PZAS'!$A:$A,'[4]TD90D PZAS'!$CW:$CW,"",0,1)</f>
        <v/>
      </c>
      <c r="T225" t="str">
        <f>_xlfn.XLOOKUP(A:A,'[4]TD90D PZAS'!$A:$A,'[4]TD90D PZAS'!$CX:$CX,"",0,1)</f>
        <v/>
      </c>
      <c r="U225" t="str">
        <f>_xlfn.XLOOKUP(A:A,'[4]TD90D PZAS'!$A:$A,'[4]TD90D PZAS'!$DA:$DA,"",0,1)</f>
        <v/>
      </c>
    </row>
    <row r="226" spans="1:21" x14ac:dyDescent="0.35">
      <c r="A226" t="s">
        <v>130</v>
      </c>
      <c r="B226" t="str">
        <f>_xlfn.XLOOKUP(A:A,[1]Hoja1!$C:$C,[1]Hoja1!$D:$D,"",0,1)</f>
        <v>PULIMENTO BLANCO 1968</v>
      </c>
      <c r="C226" s="8">
        <v>1</v>
      </c>
      <c r="D226" s="11">
        <f>_xlfn.XLOOKUP(A:A,[2]Hoja1!$C:$C,[2]Hoja1!$H:$H,"",0,1)</f>
        <v>58.62</v>
      </c>
      <c r="E226" s="11">
        <f>_xlfn.XLOOKUP(A:A,[1]Hoja1!$C:$C,[1]Hoja1!$H:$H,"",0,1)</f>
        <v>43.97</v>
      </c>
      <c r="F226" s="14">
        <f>_xlfn.XLOOKUP(A:A,TD!A:A,TD!EC:EC,"",0,1)</f>
        <v>3</v>
      </c>
      <c r="G226" s="15">
        <f t="shared" si="14"/>
        <v>3</v>
      </c>
      <c r="H226" s="16">
        <f t="shared" si="15"/>
        <v>175.85999999999999</v>
      </c>
      <c r="I226" s="16">
        <f t="shared" si="16"/>
        <v>131.91</v>
      </c>
      <c r="J226" s="27">
        <v>29506</v>
      </c>
      <c r="K226" t="str">
        <f>_xlfn.XLOOKUP(J:J,'[3]FILTROS 2'!$A:$A,'[3]FILTROS 2'!$E:$E,"",0,1)</f>
        <v>PULIMENTO</v>
      </c>
      <c r="L226" s="30"/>
      <c r="O226">
        <f>_xlfn.XLOOKUP(A:A,[4]TD90D!$A:$A,[4]TD90D!$CW:$CW,"",0,1)</f>
        <v>4</v>
      </c>
      <c r="P226">
        <f>_xlfn.XLOOKUP(A:A,[4]TD90D!$A:$A,[4]TD90D!$CX:$CX,"",0,1)</f>
        <v>1</v>
      </c>
      <c r="Q226">
        <f>_xlfn.XLOOKUP(A:A,[4]TD90D!$A:$A,[4]TD90D!$DA:$DA,"",0,1)</f>
        <v>0</v>
      </c>
      <c r="R226" s="31">
        <f t="shared" si="17"/>
        <v>1</v>
      </c>
      <c r="S226">
        <f>_xlfn.XLOOKUP(A:A,'[4]TD90D PZAS'!$A:$A,'[4]TD90D PZAS'!$CW:$CW,"",0,1)</f>
        <v>17</v>
      </c>
      <c r="T226">
        <f>_xlfn.XLOOKUP(A:A,'[4]TD90D PZAS'!$A:$A,'[4]TD90D PZAS'!$CX:$CX,"",0,1)</f>
        <v>1</v>
      </c>
      <c r="U226">
        <f>_xlfn.XLOOKUP(A:A,'[4]TD90D PZAS'!$A:$A,'[4]TD90D PZAS'!$DA:$DA,"",0,1)</f>
        <v>0</v>
      </c>
    </row>
    <row r="227" spans="1:21" x14ac:dyDescent="0.35">
      <c r="A227" t="s">
        <v>231</v>
      </c>
      <c r="B227" t="str">
        <f>_xlfn.XLOOKUP(A:A,[1]Hoja1!$C:$C,[1]Hoja1!$D:$D,"",0,1)</f>
        <v>PRIMARIO ESTRUCTURAS GRIS</v>
      </c>
      <c r="C227" s="8">
        <v>1</v>
      </c>
      <c r="D227" s="11">
        <f>_xlfn.XLOOKUP(A:A,[2]Hoja1!$C:$C,[2]Hoja1!$H:$H,"",0,1)</f>
        <v>194.83</v>
      </c>
      <c r="E227" s="11">
        <f>_xlfn.XLOOKUP(A:A,[1]Hoja1!$C:$C,[1]Hoja1!$H:$H,"",0,1)</f>
        <v>166.38</v>
      </c>
      <c r="F227" s="14">
        <f>_xlfn.XLOOKUP(A:A,TD!A:A,TD!EC:EC,"",0,1)</f>
        <v>6</v>
      </c>
      <c r="G227" s="15">
        <f t="shared" si="14"/>
        <v>6</v>
      </c>
      <c r="H227" s="16">
        <f t="shared" si="15"/>
        <v>584.49</v>
      </c>
      <c r="I227" s="16">
        <f t="shared" si="16"/>
        <v>499.14</v>
      </c>
      <c r="J227" s="27">
        <v>15934</v>
      </c>
      <c r="K227" t="str">
        <f>_xlfn.XLOOKUP(J:J,'[3]FILTROS 2'!$A:$A,'[3]FILTROS 2'!$E:$E,"",0,1)</f>
        <v>PRIMARIOS ESTRUCTURALES ALQUID</v>
      </c>
      <c r="L227" s="30"/>
      <c r="O227" t="str">
        <f>_xlfn.XLOOKUP(A:A,[4]TD90D!$A:$A,[4]TD90D!$CW:$CW,"",0,1)</f>
        <v/>
      </c>
      <c r="P227" t="str">
        <f>_xlfn.XLOOKUP(A:A,[4]TD90D!$A:$A,[4]TD90D!$CX:$CX,"",0,1)</f>
        <v/>
      </c>
      <c r="Q227" t="str">
        <f>_xlfn.XLOOKUP(A:A,[4]TD90D!$A:$A,[4]TD90D!$DA:$DA,"",0,1)</f>
        <v/>
      </c>
      <c r="R227" s="31" t="e">
        <f t="shared" si="17"/>
        <v>#VALUE!</v>
      </c>
      <c r="S227" t="str">
        <f>_xlfn.XLOOKUP(A:A,'[4]TD90D PZAS'!$A:$A,'[4]TD90D PZAS'!$CW:$CW,"",0,1)</f>
        <v/>
      </c>
      <c r="T227" t="str">
        <f>_xlfn.XLOOKUP(A:A,'[4]TD90D PZAS'!$A:$A,'[4]TD90D PZAS'!$CX:$CX,"",0,1)</f>
        <v/>
      </c>
      <c r="U227" t="str">
        <f>_xlfn.XLOOKUP(A:A,'[4]TD90D PZAS'!$A:$A,'[4]TD90D PZAS'!$DA:$DA,"",0,1)</f>
        <v/>
      </c>
    </row>
    <row r="228" spans="1:21" x14ac:dyDescent="0.35">
      <c r="A228" t="s">
        <v>388</v>
      </c>
      <c r="B228" t="str">
        <f>_xlfn.XLOOKUP(A:A,[1]Hoja1!$C:$C,[1]Hoja1!$D:$D,"",0,1)</f>
        <v>BRILLON VERDE KIWI</v>
      </c>
      <c r="C228" s="8">
        <v>1</v>
      </c>
      <c r="D228" s="11">
        <f>_xlfn.XLOOKUP(A:A,[2]Hoja1!$C:$C,[2]Hoja1!$H:$H,"",0,1)</f>
        <v>58.62</v>
      </c>
      <c r="E228" s="11">
        <f>_xlfn.XLOOKUP(A:A,[1]Hoja1!$C:$C,[1]Hoja1!$H:$H,"",0,1)</f>
        <v>43.97</v>
      </c>
      <c r="F228" s="14">
        <f>_xlfn.XLOOKUP(A:A,TD!A:A,TD!EC:EC,"",0,1)</f>
        <v>6</v>
      </c>
      <c r="G228" s="15">
        <f t="shared" si="14"/>
        <v>6</v>
      </c>
      <c r="H228" s="16">
        <f t="shared" si="15"/>
        <v>175.85999999999999</v>
      </c>
      <c r="I228" s="16">
        <f t="shared" si="16"/>
        <v>131.91</v>
      </c>
      <c r="J228" s="27">
        <v>28756</v>
      </c>
      <c r="K228" t="str">
        <f>_xlfn.XLOOKUP(J:J,'[3]FILTROS 2'!$A:$A,'[3]FILTROS 2'!$E:$E,"",0,1)</f>
        <v>ESMALTE - BRILLON</v>
      </c>
      <c r="L228" s="30"/>
      <c r="O228" t="str">
        <f>_xlfn.XLOOKUP(A:A,[4]TD90D!$A:$A,[4]TD90D!$CW:$CW,"",0,1)</f>
        <v/>
      </c>
      <c r="P228" t="str">
        <f>_xlfn.XLOOKUP(A:A,[4]TD90D!$A:$A,[4]TD90D!$CX:$CX,"",0,1)</f>
        <v/>
      </c>
      <c r="Q228" t="str">
        <f>_xlfn.XLOOKUP(A:A,[4]TD90D!$A:$A,[4]TD90D!$DA:$DA,"",0,1)</f>
        <v/>
      </c>
      <c r="R228" s="31" t="e">
        <f t="shared" si="17"/>
        <v>#VALUE!</v>
      </c>
      <c r="S228" t="str">
        <f>_xlfn.XLOOKUP(A:A,'[4]TD90D PZAS'!$A:$A,'[4]TD90D PZAS'!$CW:$CW,"",0,1)</f>
        <v/>
      </c>
      <c r="T228" t="str">
        <f>_xlfn.XLOOKUP(A:A,'[4]TD90D PZAS'!$A:$A,'[4]TD90D PZAS'!$CX:$CX,"",0,1)</f>
        <v/>
      </c>
      <c r="U228" t="str">
        <f>_xlfn.XLOOKUP(A:A,'[4]TD90D PZAS'!$A:$A,'[4]TD90D PZAS'!$DA:$DA,"",0,1)</f>
        <v/>
      </c>
    </row>
    <row r="229" spans="1:21" x14ac:dyDescent="0.35">
      <c r="A229" t="s">
        <v>418</v>
      </c>
      <c r="B229" t="str">
        <f>_xlfn.XLOOKUP(A:A,[1]Hoja1!$C:$C,[1]Hoja1!$D:$D,"",0,1)</f>
        <v>PRIMARIO ESTRUCTURAS NEGRO</v>
      </c>
      <c r="C229" s="8">
        <v>1</v>
      </c>
      <c r="D229" s="11">
        <f>_xlfn.XLOOKUP(A:A,[2]Hoja1!$C:$C,[2]Hoja1!$H:$H,"",0,1)</f>
        <v>185.34</v>
      </c>
      <c r="E229" s="11">
        <f>_xlfn.XLOOKUP(A:A,[1]Hoja1!$C:$C,[1]Hoja1!$H:$H,"",0,1)</f>
        <v>160.34</v>
      </c>
      <c r="F229" s="14">
        <f>_xlfn.XLOOKUP(A:A,TD!A:A,TD!EC:EC,"",0,1)</f>
        <v>6</v>
      </c>
      <c r="G229" s="15">
        <f t="shared" si="14"/>
        <v>6</v>
      </c>
      <c r="H229" s="16">
        <f t="shared" si="15"/>
        <v>556.02</v>
      </c>
      <c r="I229" s="16">
        <f t="shared" si="16"/>
        <v>481.02</v>
      </c>
      <c r="J229" s="27">
        <v>15994</v>
      </c>
      <c r="K229" t="str">
        <f>_xlfn.XLOOKUP(J:J,'[3]FILTROS 2'!$A:$A,'[3]FILTROS 2'!$E:$E,"",0,1)</f>
        <v>PRIMARIOS ESTRUCTURALES ALQUID</v>
      </c>
      <c r="L229" s="30"/>
      <c r="O229" t="str">
        <f>_xlfn.XLOOKUP(A:A,[4]TD90D!$A:$A,[4]TD90D!$CW:$CW,"",0,1)</f>
        <v/>
      </c>
      <c r="P229" t="str">
        <f>_xlfn.XLOOKUP(A:A,[4]TD90D!$A:$A,[4]TD90D!$CX:$CX,"",0,1)</f>
        <v/>
      </c>
      <c r="Q229" t="str">
        <f>_xlfn.XLOOKUP(A:A,[4]TD90D!$A:$A,[4]TD90D!$DA:$DA,"",0,1)</f>
        <v/>
      </c>
      <c r="R229" s="31" t="e">
        <f t="shared" si="17"/>
        <v>#VALUE!</v>
      </c>
      <c r="S229" t="str">
        <f>_xlfn.XLOOKUP(A:A,'[4]TD90D PZAS'!$A:$A,'[4]TD90D PZAS'!$CW:$CW,"",0,1)</f>
        <v/>
      </c>
      <c r="T229" t="str">
        <f>_xlfn.XLOOKUP(A:A,'[4]TD90D PZAS'!$A:$A,'[4]TD90D PZAS'!$CX:$CX,"",0,1)</f>
        <v/>
      </c>
      <c r="U229" t="str">
        <f>_xlfn.XLOOKUP(A:A,'[4]TD90D PZAS'!$A:$A,'[4]TD90D PZAS'!$DA:$DA,"",0,1)</f>
        <v/>
      </c>
    </row>
    <row r="230" spans="1:21" x14ac:dyDescent="0.35">
      <c r="A230" t="s">
        <v>131</v>
      </c>
      <c r="B230" t="str">
        <f>_xlfn.XLOOKUP(A:A,[1]Hoja1!$C:$C,[1]Hoja1!$D:$D,"",0,1)</f>
        <v>PULIMENTO ROJO MEDIANO TRIPOLI</v>
      </c>
      <c r="C230" s="8">
        <v>1</v>
      </c>
      <c r="D230" s="11">
        <f>_xlfn.XLOOKUP(A:A,[2]Hoja1!$C:$C,[2]Hoja1!$H:$H,"",0,1)</f>
        <v>191.38</v>
      </c>
      <c r="E230" s="11">
        <f>_xlfn.XLOOKUP(A:A,[1]Hoja1!$C:$C,[1]Hoja1!$H:$H,"",0,1)</f>
        <v>150</v>
      </c>
      <c r="F230" s="14">
        <f>_xlfn.XLOOKUP(A:A,TD!A:A,TD!EC:EC,"",0,1)</f>
        <v>2</v>
      </c>
      <c r="G230" s="15">
        <f t="shared" si="14"/>
        <v>2</v>
      </c>
      <c r="H230" s="16">
        <f t="shared" si="15"/>
        <v>574.14</v>
      </c>
      <c r="I230" s="16">
        <f t="shared" si="16"/>
        <v>450</v>
      </c>
      <c r="J230" s="27">
        <v>29594</v>
      </c>
      <c r="K230" t="str">
        <f>_xlfn.XLOOKUP(J:J,'[3]FILTROS 2'!$A:$A,'[3]FILTROS 2'!$E:$E,"",0,1)</f>
        <v>PULIMENTO</v>
      </c>
      <c r="L230" s="30"/>
      <c r="O230" t="str">
        <f>_xlfn.XLOOKUP(A:A,[4]TD90D!$A:$A,[4]TD90D!$CW:$CW,"",0,1)</f>
        <v/>
      </c>
      <c r="P230" t="str">
        <f>_xlfn.XLOOKUP(A:A,[4]TD90D!$A:$A,[4]TD90D!$CX:$CX,"",0,1)</f>
        <v/>
      </c>
      <c r="Q230" t="str">
        <f>_xlfn.XLOOKUP(A:A,[4]TD90D!$A:$A,[4]TD90D!$DA:$DA,"",0,1)</f>
        <v/>
      </c>
      <c r="R230" s="31" t="e">
        <f t="shared" si="17"/>
        <v>#VALUE!</v>
      </c>
      <c r="S230" t="str">
        <f>_xlfn.XLOOKUP(A:A,'[4]TD90D PZAS'!$A:$A,'[4]TD90D PZAS'!$CW:$CW,"",0,1)</f>
        <v/>
      </c>
      <c r="T230" t="str">
        <f>_xlfn.XLOOKUP(A:A,'[4]TD90D PZAS'!$A:$A,'[4]TD90D PZAS'!$CX:$CX,"",0,1)</f>
        <v/>
      </c>
      <c r="U230" t="str">
        <f>_xlfn.XLOOKUP(A:A,'[4]TD90D PZAS'!$A:$A,'[4]TD90D PZAS'!$DA:$DA,"",0,1)</f>
        <v/>
      </c>
    </row>
    <row r="231" spans="1:21" x14ac:dyDescent="0.35">
      <c r="A231" t="s">
        <v>393</v>
      </c>
      <c r="B231" t="str">
        <f>_xlfn.XLOOKUP(A:A,[1]Hoja1!$C:$C,[1]Hoja1!$D:$D,"",0,1)</f>
        <v>RELLENADOR AUTOMOTRIZ</v>
      </c>
      <c r="C231" s="8">
        <v>1</v>
      </c>
      <c r="D231" s="11">
        <f>_xlfn.XLOOKUP(A:A,[2]Hoja1!$C:$C,[2]Hoja1!$H:$H,"",0,1)</f>
        <v>408.62</v>
      </c>
      <c r="E231" s="11">
        <f>_xlfn.XLOOKUP(A:A,[1]Hoja1!$C:$C,[1]Hoja1!$H:$H,"",0,1)</f>
        <v>305.17</v>
      </c>
      <c r="F231" s="14">
        <f>_xlfn.XLOOKUP(A:A,TD!A:A,TD!EC:EC,"",0,1)</f>
        <v>2</v>
      </c>
      <c r="G231" s="15">
        <f t="shared" si="14"/>
        <v>2</v>
      </c>
      <c r="H231" s="16">
        <f t="shared" si="15"/>
        <v>1225.8600000000001</v>
      </c>
      <c r="I231" s="16">
        <f t="shared" si="16"/>
        <v>915.51</v>
      </c>
      <c r="J231" s="27">
        <v>29002</v>
      </c>
      <c r="K231" t="str">
        <f>_xlfn.XLOOKUP(J:J,'[3]FILTROS 2'!$A:$A,'[3]FILTROS 2'!$E:$E,"",0,1)</f>
        <v>PASTA RELLENADORA</v>
      </c>
      <c r="L231" s="30"/>
      <c r="O231" t="str">
        <f>_xlfn.XLOOKUP(A:A,[4]TD90D!$A:$A,[4]TD90D!$CW:$CW,"",0,1)</f>
        <v/>
      </c>
      <c r="P231" t="str">
        <f>_xlfn.XLOOKUP(A:A,[4]TD90D!$A:$A,[4]TD90D!$CX:$CX,"",0,1)</f>
        <v/>
      </c>
      <c r="Q231" t="str">
        <f>_xlfn.XLOOKUP(A:A,[4]TD90D!$A:$A,[4]TD90D!$DA:$DA,"",0,1)</f>
        <v/>
      </c>
      <c r="R231" s="31" t="e">
        <f t="shared" si="17"/>
        <v>#VALUE!</v>
      </c>
      <c r="S231" t="str">
        <f>_xlfn.XLOOKUP(A:A,'[4]TD90D PZAS'!$A:$A,'[4]TD90D PZAS'!$CW:$CW,"",0,1)</f>
        <v/>
      </c>
      <c r="T231" t="str">
        <f>_xlfn.XLOOKUP(A:A,'[4]TD90D PZAS'!$A:$A,'[4]TD90D PZAS'!$CX:$CX,"",0,1)</f>
        <v/>
      </c>
      <c r="U231" t="str">
        <f>_xlfn.XLOOKUP(A:A,'[4]TD90D PZAS'!$A:$A,'[4]TD90D PZAS'!$DA:$DA,"",0,1)</f>
        <v/>
      </c>
    </row>
    <row r="232" spans="1:21" x14ac:dyDescent="0.35">
      <c r="A232" t="s">
        <v>309</v>
      </c>
      <c r="B232" t="str">
        <f>_xlfn.XLOOKUP(A:A,[1]Hoja1!$C:$C,[1]Hoja1!$D:$D,"",0,1)</f>
        <v>BRILLON VERDE SELVA</v>
      </c>
      <c r="C232" s="8">
        <v>1</v>
      </c>
      <c r="D232" s="11">
        <f>_xlfn.XLOOKUP(A:A,[2]Hoja1!$C:$C,[2]Hoja1!$H:$H,"",0,1)</f>
        <v>90.52</v>
      </c>
      <c r="E232" s="11">
        <f>_xlfn.XLOOKUP(A:A,[1]Hoja1!$C:$C,[1]Hoja1!$H:$H,"",0,1)</f>
        <v>67.239999999999995</v>
      </c>
      <c r="F232" s="14">
        <f>_xlfn.XLOOKUP(A:A,TD!A:A,TD!EC:EC,"",0,1)</f>
        <v>6</v>
      </c>
      <c r="G232" s="15">
        <f t="shared" si="14"/>
        <v>6</v>
      </c>
      <c r="H232" s="16">
        <f t="shared" si="15"/>
        <v>271.56</v>
      </c>
      <c r="I232" s="16">
        <f t="shared" si="16"/>
        <v>201.71999999999997</v>
      </c>
      <c r="J232" s="27">
        <v>28775</v>
      </c>
      <c r="K232" t="str">
        <f>_xlfn.XLOOKUP(J:J,'[3]FILTROS 2'!$A:$A,'[3]FILTROS 2'!$E:$E,"",0,1)</f>
        <v>ESMALTE - BRILLON</v>
      </c>
      <c r="L232" s="30"/>
      <c r="O232" t="str">
        <f>_xlfn.XLOOKUP(A:A,[4]TD90D!$A:$A,[4]TD90D!$CW:$CW,"",0,1)</f>
        <v/>
      </c>
      <c r="P232" t="str">
        <f>_xlfn.XLOOKUP(A:A,[4]TD90D!$A:$A,[4]TD90D!$CX:$CX,"",0,1)</f>
        <v/>
      </c>
      <c r="Q232" t="str">
        <f>_xlfn.XLOOKUP(A:A,[4]TD90D!$A:$A,[4]TD90D!$DA:$DA,"",0,1)</f>
        <v/>
      </c>
      <c r="R232" s="31" t="e">
        <f t="shared" si="17"/>
        <v>#VALUE!</v>
      </c>
      <c r="S232" t="str">
        <f>_xlfn.XLOOKUP(A:A,'[4]TD90D PZAS'!$A:$A,'[4]TD90D PZAS'!$CW:$CW,"",0,1)</f>
        <v/>
      </c>
      <c r="T232" t="str">
        <f>_xlfn.XLOOKUP(A:A,'[4]TD90D PZAS'!$A:$A,'[4]TD90D PZAS'!$CX:$CX,"",0,1)</f>
        <v/>
      </c>
      <c r="U232" t="str">
        <f>_xlfn.XLOOKUP(A:A,'[4]TD90D PZAS'!$A:$A,'[4]TD90D PZAS'!$DA:$DA,"",0,1)</f>
        <v/>
      </c>
    </row>
    <row r="233" spans="1:21" x14ac:dyDescent="0.35">
      <c r="A233" t="s">
        <v>315</v>
      </c>
      <c r="B233" t="str">
        <f>_xlfn.XLOOKUP(A:A,[1]Hoja1!$C:$C,[1]Hoja1!$D:$D,"",0,1)</f>
        <v>BRILLON MANDARINA</v>
      </c>
      <c r="C233" s="8">
        <v>1</v>
      </c>
      <c r="D233" s="11">
        <f>_xlfn.XLOOKUP(A:A,[2]Hoja1!$C:$C,[2]Hoja1!$H:$H,"",0,1)</f>
        <v>58.62</v>
      </c>
      <c r="E233" s="11">
        <f>_xlfn.XLOOKUP(A:A,[1]Hoja1!$C:$C,[1]Hoja1!$H:$H,"",0,1)</f>
        <v>43.97</v>
      </c>
      <c r="F233" s="14">
        <f>_xlfn.XLOOKUP(A:A,TD!A:A,TD!EC:EC,"",0,1)</f>
        <v>12</v>
      </c>
      <c r="G233" s="15">
        <f t="shared" si="14"/>
        <v>12</v>
      </c>
      <c r="H233" s="16">
        <f t="shared" si="15"/>
        <v>175.85999999999999</v>
      </c>
      <c r="I233" s="16">
        <f t="shared" si="16"/>
        <v>131.91</v>
      </c>
      <c r="J233" s="27">
        <v>28356</v>
      </c>
      <c r="K233" t="str">
        <f>_xlfn.XLOOKUP(J:J,'[3]FILTROS 2'!$A:$A,'[3]FILTROS 2'!$E:$E,"",0,1)</f>
        <v>ESMALTE - BRILLON</v>
      </c>
      <c r="L233" s="30"/>
      <c r="O233" t="str">
        <f>_xlfn.XLOOKUP(A:A,[4]TD90D!$A:$A,[4]TD90D!$CW:$CW,"",0,1)</f>
        <v/>
      </c>
      <c r="P233" t="str">
        <f>_xlfn.XLOOKUP(A:A,[4]TD90D!$A:$A,[4]TD90D!$CX:$CX,"",0,1)</f>
        <v/>
      </c>
      <c r="Q233" t="str">
        <f>_xlfn.XLOOKUP(A:A,[4]TD90D!$A:$A,[4]TD90D!$DA:$DA,"",0,1)</f>
        <v/>
      </c>
      <c r="R233" s="31" t="e">
        <f t="shared" si="17"/>
        <v>#VALUE!</v>
      </c>
      <c r="S233" t="str">
        <f>_xlfn.XLOOKUP(A:A,'[4]TD90D PZAS'!$A:$A,'[4]TD90D PZAS'!$CW:$CW,"",0,1)</f>
        <v/>
      </c>
      <c r="T233" t="str">
        <f>_xlfn.XLOOKUP(A:A,'[4]TD90D PZAS'!$A:$A,'[4]TD90D PZAS'!$CX:$CX,"",0,1)</f>
        <v/>
      </c>
      <c r="U233" t="str">
        <f>_xlfn.XLOOKUP(A:A,'[4]TD90D PZAS'!$A:$A,'[4]TD90D PZAS'!$DA:$DA,"",0,1)</f>
        <v/>
      </c>
    </row>
    <row r="234" spans="1:21" x14ac:dyDescent="0.35">
      <c r="A234" t="s">
        <v>191</v>
      </c>
      <c r="B234" t="str">
        <f>_xlfn.XLOOKUP(A:A,[1]Hoja1!$C:$C,[1]Hoja1!$D:$D,"",0,1)</f>
        <v>VINILICA GLOSI VERDE 3A</v>
      </c>
      <c r="C234" s="8">
        <v>1</v>
      </c>
      <c r="D234" s="11">
        <f>_xlfn.XLOOKUP(A:A,[2]Hoja1!$C:$C,[2]Hoja1!$H:$H,"",0,1)</f>
        <v>874.14</v>
      </c>
      <c r="E234" s="11">
        <f>_xlfn.XLOOKUP(A:A,[1]Hoja1!$C:$C,[1]Hoja1!$H:$H,"",0,1)</f>
        <v>656.9</v>
      </c>
      <c r="F234" s="14">
        <f>_xlfn.XLOOKUP(A:A,TD!A:A,TD!EC:EC,"",0,1)</f>
        <v>1</v>
      </c>
      <c r="G234" s="15">
        <f t="shared" si="14"/>
        <v>1</v>
      </c>
      <c r="H234" s="16">
        <f t="shared" si="15"/>
        <v>2622.42</v>
      </c>
      <c r="I234" s="16">
        <f t="shared" si="16"/>
        <v>1970.6999999999998</v>
      </c>
      <c r="J234" s="27" t="s">
        <v>191</v>
      </c>
      <c r="K234" t="str">
        <f>_xlfn.XLOOKUP(J:J,'[3]FILTROS 2'!$A:$A,'[3]FILTROS 2'!$E:$E,"",0,1)</f>
        <v>VINILICA - GLOSI 3 AÑOS</v>
      </c>
      <c r="L234" s="30"/>
      <c r="O234" t="str">
        <f>_xlfn.XLOOKUP(A:A,[4]TD90D!$A:$A,[4]TD90D!$CW:$CW,"",0,1)</f>
        <v/>
      </c>
      <c r="P234" t="str">
        <f>_xlfn.XLOOKUP(A:A,[4]TD90D!$A:$A,[4]TD90D!$CX:$CX,"",0,1)</f>
        <v/>
      </c>
      <c r="Q234" t="str">
        <f>_xlfn.XLOOKUP(A:A,[4]TD90D!$A:$A,[4]TD90D!$DA:$DA,"",0,1)</f>
        <v/>
      </c>
      <c r="R234" s="31" t="e">
        <f t="shared" si="17"/>
        <v>#VALUE!</v>
      </c>
      <c r="S234" t="str">
        <f>_xlfn.XLOOKUP(A:A,'[4]TD90D PZAS'!$A:$A,'[4]TD90D PZAS'!$CW:$CW,"",0,1)</f>
        <v/>
      </c>
      <c r="T234" t="str">
        <f>_xlfn.XLOOKUP(A:A,'[4]TD90D PZAS'!$A:$A,'[4]TD90D PZAS'!$CX:$CX,"",0,1)</f>
        <v/>
      </c>
      <c r="U234" t="str">
        <f>_xlfn.XLOOKUP(A:A,'[4]TD90D PZAS'!$A:$A,'[4]TD90D PZAS'!$DA:$DA,"",0,1)</f>
        <v/>
      </c>
    </row>
    <row r="235" spans="1:21" x14ac:dyDescent="0.35">
      <c r="A235" t="s">
        <v>381</v>
      </c>
      <c r="B235" t="str">
        <f>_xlfn.XLOOKUP(A:A,[1]Hoja1!$C:$C,[1]Hoja1!$D:$D,"",0,1)</f>
        <v>BRILLON TAMARINDO</v>
      </c>
      <c r="C235" s="8">
        <v>1</v>
      </c>
      <c r="D235" s="11">
        <f>_xlfn.XLOOKUP(A:A,[2]Hoja1!$C:$C,[2]Hoja1!$H:$H,"",0,1)</f>
        <v>90.52</v>
      </c>
      <c r="E235" s="11">
        <f>_xlfn.XLOOKUP(A:A,[1]Hoja1!$C:$C,[1]Hoja1!$H:$H,"",0,1)</f>
        <v>67.239999999999995</v>
      </c>
      <c r="F235" s="14">
        <f>_xlfn.XLOOKUP(A:A,TD!A:A,TD!EC:EC,"",0,1)</f>
        <v>3</v>
      </c>
      <c r="G235" s="15">
        <f t="shared" si="14"/>
        <v>3</v>
      </c>
      <c r="H235" s="16">
        <f t="shared" si="15"/>
        <v>271.56</v>
      </c>
      <c r="I235" s="16">
        <f t="shared" si="16"/>
        <v>201.71999999999997</v>
      </c>
      <c r="J235" s="27">
        <v>28565</v>
      </c>
      <c r="K235" t="str">
        <f>_xlfn.XLOOKUP(J:J,'[3]FILTROS 2'!$A:$A,'[3]FILTROS 2'!$E:$E,"",0,1)</f>
        <v>ESMALTE - BRILLON</v>
      </c>
      <c r="L235" s="30"/>
      <c r="O235" t="str">
        <f>_xlfn.XLOOKUP(A:A,[4]TD90D!$A:$A,[4]TD90D!$CW:$CW,"",0,1)</f>
        <v/>
      </c>
      <c r="P235" t="str">
        <f>_xlfn.XLOOKUP(A:A,[4]TD90D!$A:$A,[4]TD90D!$CX:$CX,"",0,1)</f>
        <v/>
      </c>
      <c r="Q235" t="str">
        <f>_xlfn.XLOOKUP(A:A,[4]TD90D!$A:$A,[4]TD90D!$DA:$DA,"",0,1)</f>
        <v/>
      </c>
      <c r="R235" s="31" t="e">
        <f t="shared" si="17"/>
        <v>#VALUE!</v>
      </c>
      <c r="S235" t="str">
        <f>_xlfn.XLOOKUP(A:A,'[4]TD90D PZAS'!$A:$A,'[4]TD90D PZAS'!$CW:$CW,"",0,1)</f>
        <v/>
      </c>
      <c r="T235" t="str">
        <f>_xlfn.XLOOKUP(A:A,'[4]TD90D PZAS'!$A:$A,'[4]TD90D PZAS'!$CX:$CX,"",0,1)</f>
        <v/>
      </c>
      <c r="U235" t="str">
        <f>_xlfn.XLOOKUP(A:A,'[4]TD90D PZAS'!$A:$A,'[4]TD90D PZAS'!$DA:$DA,"",0,1)</f>
        <v/>
      </c>
    </row>
    <row r="236" spans="1:21" x14ac:dyDescent="0.35">
      <c r="A236" t="s">
        <v>224</v>
      </c>
      <c r="B236" t="str">
        <f>_xlfn.XLOOKUP(A:A,[1]Hoja1!$C:$C,[1]Hoja1!$D:$D,"",0,1)</f>
        <v/>
      </c>
      <c r="C236" s="8">
        <v>1</v>
      </c>
      <c r="D236" s="11">
        <f>_xlfn.XLOOKUP(A:A,[2]Hoja1!$C:$C,[2]Hoja1!$H:$H,"",0,1)</f>
        <v>979.31</v>
      </c>
      <c r="E236" s="11" t="str">
        <f>_xlfn.XLOOKUP(A:A,[1]Hoja1!$C:$C,[1]Hoja1!$H:$H,"",0,1)</f>
        <v/>
      </c>
      <c r="F236" s="14">
        <f>_xlfn.XLOOKUP(A:A,TD!A:A,TD!EC:EC,"",0,1)</f>
        <v>3</v>
      </c>
      <c r="G236" s="15">
        <f t="shared" si="14"/>
        <v>3</v>
      </c>
      <c r="H236" s="16">
        <f t="shared" si="15"/>
        <v>2937.93</v>
      </c>
      <c r="I236" s="16" t="e">
        <f t="shared" si="16"/>
        <v>#VALUE!</v>
      </c>
      <c r="J236" s="27">
        <v>34001</v>
      </c>
      <c r="K236" t="str">
        <f>_xlfn.XLOOKUP(J:J,'[3]FILTROS 2'!$A:$A,'[3]FILTROS 2'!$E:$E,"",0,1)</f>
        <v>VINILICA - VINIBAR</v>
      </c>
      <c r="L236" s="30"/>
      <c r="O236">
        <f>_xlfn.XLOOKUP(A:A,[4]TD90D!$A:$A,[4]TD90D!$CW:$CW,"",0,1)</f>
        <v>2</v>
      </c>
      <c r="P236">
        <f>_xlfn.XLOOKUP(A:A,[4]TD90D!$A:$A,[4]TD90D!$CX:$CX,"",0,1)</f>
        <v>1</v>
      </c>
      <c r="Q236">
        <f>_xlfn.XLOOKUP(A:A,[4]TD90D!$A:$A,[4]TD90D!$DA:$DA,"",0,1)</f>
        <v>0</v>
      </c>
      <c r="R236" s="31">
        <f t="shared" si="17"/>
        <v>1</v>
      </c>
      <c r="S236">
        <f>_xlfn.XLOOKUP(A:A,'[4]TD90D PZAS'!$A:$A,'[4]TD90D PZAS'!$CW:$CW,"",0,1)</f>
        <v>6</v>
      </c>
      <c r="T236">
        <f>_xlfn.XLOOKUP(A:A,'[4]TD90D PZAS'!$A:$A,'[4]TD90D PZAS'!$CX:$CX,"",0,1)</f>
        <v>1</v>
      </c>
      <c r="U236">
        <f>_xlfn.XLOOKUP(A:A,'[4]TD90D PZAS'!$A:$A,'[4]TD90D PZAS'!$DA:$DA,"",0,1)</f>
        <v>0</v>
      </c>
    </row>
    <row r="237" spans="1:21" x14ac:dyDescent="0.35">
      <c r="A237" t="s">
        <v>292</v>
      </c>
      <c r="B237" t="str">
        <f>_xlfn.XLOOKUP(A:A,[1]Hoja1!$C:$C,[1]Hoja1!$D:$D,"",0,1)</f>
        <v/>
      </c>
      <c r="C237" s="8">
        <v>1</v>
      </c>
      <c r="D237" s="11">
        <f>_xlfn.XLOOKUP(A:A,[2]Hoja1!$C:$C,[2]Hoja1!$H:$H,"",0,1)</f>
        <v>917.24</v>
      </c>
      <c r="E237" s="11" t="str">
        <f>_xlfn.XLOOKUP(A:A,[1]Hoja1!$C:$C,[1]Hoja1!$H:$H,"",0,1)</f>
        <v/>
      </c>
      <c r="F237" s="14">
        <f>_xlfn.XLOOKUP(A:A,TD!A:A,TD!EC:EC,"",0,1)</f>
        <v>2</v>
      </c>
      <c r="G237" s="15">
        <f t="shared" si="14"/>
        <v>2</v>
      </c>
      <c r="H237" s="16">
        <f t="shared" si="15"/>
        <v>2751.7200000000003</v>
      </c>
      <c r="I237" s="16" t="e">
        <f t="shared" si="16"/>
        <v>#VALUE!</v>
      </c>
      <c r="J237" s="27">
        <v>21003</v>
      </c>
      <c r="K237" t="str">
        <f>_xlfn.XLOOKUP(J:J,'[3]FILTROS 2'!$A:$A,'[3]FILTROS 2'!$E:$E,"",0,1)</f>
        <v>ESMALTE - MILCO</v>
      </c>
      <c r="L237" s="30"/>
      <c r="O237" t="str">
        <f>_xlfn.XLOOKUP(A:A,[4]TD90D!$A:$A,[4]TD90D!$CW:$CW,"",0,1)</f>
        <v/>
      </c>
      <c r="P237" t="str">
        <f>_xlfn.XLOOKUP(A:A,[4]TD90D!$A:$A,[4]TD90D!$CX:$CX,"",0,1)</f>
        <v/>
      </c>
      <c r="Q237" t="str">
        <f>_xlfn.XLOOKUP(A:A,[4]TD90D!$A:$A,[4]TD90D!$DA:$DA,"",0,1)</f>
        <v/>
      </c>
      <c r="R237" s="31" t="e">
        <f t="shared" si="17"/>
        <v>#VALUE!</v>
      </c>
      <c r="S237" t="str">
        <f>_xlfn.XLOOKUP(A:A,'[4]TD90D PZAS'!$A:$A,'[4]TD90D PZAS'!$CW:$CW,"",0,1)</f>
        <v/>
      </c>
      <c r="T237" t="str">
        <f>_xlfn.XLOOKUP(A:A,'[4]TD90D PZAS'!$A:$A,'[4]TD90D PZAS'!$CX:$CX,"",0,1)</f>
        <v/>
      </c>
      <c r="U237" t="str">
        <f>_xlfn.XLOOKUP(A:A,'[4]TD90D PZAS'!$A:$A,'[4]TD90D PZAS'!$DA:$DA,"",0,1)</f>
        <v/>
      </c>
    </row>
    <row r="238" spans="1:21" x14ac:dyDescent="0.35">
      <c r="A238" t="s">
        <v>61</v>
      </c>
      <c r="B238" t="str">
        <f>_xlfn.XLOOKUP(A:A,[1]Hoja1!$C:$C,[1]Hoja1!$D:$D,"",0,1)</f>
        <v>BRILLON AMARILLO MANGO</v>
      </c>
      <c r="C238" s="8">
        <v>1</v>
      </c>
      <c r="D238" s="11">
        <f>_xlfn.XLOOKUP(A:A,[2]Hoja1!$C:$C,[2]Hoja1!$H:$H,"",0,1)</f>
        <v>533.62</v>
      </c>
      <c r="E238" s="11">
        <f>_xlfn.XLOOKUP(A:A,[1]Hoja1!$C:$C,[1]Hoja1!$H:$H,"",0,1)</f>
        <v>401.72</v>
      </c>
      <c r="F238" s="14">
        <f>_xlfn.XLOOKUP(A:A,TD!A:A,TD!EC:EC,"",0,1)</f>
        <v>2</v>
      </c>
      <c r="G238" s="15">
        <f t="shared" si="14"/>
        <v>2</v>
      </c>
      <c r="H238" s="16">
        <f t="shared" si="15"/>
        <v>1600.8600000000001</v>
      </c>
      <c r="I238" s="16">
        <f t="shared" si="16"/>
        <v>1205.1600000000001</v>
      </c>
      <c r="J238" s="27">
        <v>28153</v>
      </c>
      <c r="K238" t="str">
        <f>_xlfn.XLOOKUP(J:J,'[3]FILTROS 2'!$A:$A,'[3]FILTROS 2'!$E:$E,"",0,1)</f>
        <v>ESMALTE - BRILLON</v>
      </c>
      <c r="L238" s="30"/>
      <c r="O238" t="str">
        <f>_xlfn.XLOOKUP(A:A,[4]TD90D!$A:$A,[4]TD90D!$CW:$CW,"",0,1)</f>
        <v/>
      </c>
      <c r="P238" t="str">
        <f>_xlfn.XLOOKUP(A:A,[4]TD90D!$A:$A,[4]TD90D!$CX:$CX,"",0,1)</f>
        <v/>
      </c>
      <c r="Q238" t="str">
        <f>_xlfn.XLOOKUP(A:A,[4]TD90D!$A:$A,[4]TD90D!$DA:$DA,"",0,1)</f>
        <v/>
      </c>
      <c r="R238" s="31" t="e">
        <f t="shared" si="17"/>
        <v>#VALUE!</v>
      </c>
      <c r="S238" t="str">
        <f>_xlfn.XLOOKUP(A:A,'[4]TD90D PZAS'!$A:$A,'[4]TD90D PZAS'!$CW:$CW,"",0,1)</f>
        <v/>
      </c>
      <c r="T238" t="str">
        <f>_xlfn.XLOOKUP(A:A,'[4]TD90D PZAS'!$A:$A,'[4]TD90D PZAS'!$CX:$CX,"",0,1)</f>
        <v/>
      </c>
      <c r="U238" t="str">
        <f>_xlfn.XLOOKUP(A:A,'[4]TD90D PZAS'!$A:$A,'[4]TD90D PZAS'!$DA:$DA,"",0,1)</f>
        <v/>
      </c>
    </row>
    <row r="239" spans="1:21" x14ac:dyDescent="0.35">
      <c r="A239" t="s">
        <v>294</v>
      </c>
      <c r="B239" t="str">
        <f>_xlfn.XLOOKUP(A:A,[1]Hoja1!$C:$C,[1]Hoja1!$D:$D,"",0,1)</f>
        <v/>
      </c>
      <c r="C239" s="8">
        <v>1</v>
      </c>
      <c r="D239" s="11">
        <f>_xlfn.XLOOKUP(A:A,[2]Hoja1!$C:$C,[2]Hoja1!$H:$H,"",0,1)</f>
        <v>257.76</v>
      </c>
      <c r="E239" s="11" t="str">
        <f>_xlfn.XLOOKUP(A:A,[1]Hoja1!$C:$C,[1]Hoja1!$H:$H,"",0,1)</f>
        <v/>
      </c>
      <c r="F239" s="14">
        <f>_xlfn.XLOOKUP(A:A,TD!A:A,TD!EC:EC,"",0,1)</f>
        <v>6</v>
      </c>
      <c r="G239" s="15">
        <f t="shared" si="14"/>
        <v>6</v>
      </c>
      <c r="H239" s="16">
        <f t="shared" si="15"/>
        <v>773.28</v>
      </c>
      <c r="I239" s="16" t="e">
        <f t="shared" si="16"/>
        <v>#VALUE!</v>
      </c>
      <c r="J239" s="27">
        <v>21584</v>
      </c>
      <c r="K239" t="str">
        <f>_xlfn.XLOOKUP(J:J,'[3]FILTROS 2'!$A:$A,'[3]FILTROS 2'!$E:$E,"",0,1)</f>
        <v>ESMALTE - MILCO</v>
      </c>
      <c r="L239" s="30"/>
      <c r="O239" t="str">
        <f>_xlfn.XLOOKUP(A:A,[4]TD90D!$A:$A,[4]TD90D!$CW:$CW,"",0,1)</f>
        <v/>
      </c>
      <c r="P239" t="str">
        <f>_xlfn.XLOOKUP(A:A,[4]TD90D!$A:$A,[4]TD90D!$CX:$CX,"",0,1)</f>
        <v/>
      </c>
      <c r="Q239" t="str">
        <f>_xlfn.XLOOKUP(A:A,[4]TD90D!$A:$A,[4]TD90D!$DA:$DA,"",0,1)</f>
        <v/>
      </c>
      <c r="R239" s="31" t="e">
        <f t="shared" si="17"/>
        <v>#VALUE!</v>
      </c>
      <c r="S239" t="str">
        <f>_xlfn.XLOOKUP(A:A,'[4]TD90D PZAS'!$A:$A,'[4]TD90D PZAS'!$CW:$CW,"",0,1)</f>
        <v/>
      </c>
      <c r="T239" t="str">
        <f>_xlfn.XLOOKUP(A:A,'[4]TD90D PZAS'!$A:$A,'[4]TD90D PZAS'!$CX:$CX,"",0,1)</f>
        <v/>
      </c>
      <c r="U239" t="str">
        <f>_xlfn.XLOOKUP(A:A,'[4]TD90D PZAS'!$A:$A,'[4]TD90D PZAS'!$DA:$DA,"",0,1)</f>
        <v/>
      </c>
    </row>
    <row r="240" spans="1:21" x14ac:dyDescent="0.35">
      <c r="A240" t="s">
        <v>172</v>
      </c>
      <c r="B240" t="str">
        <f>_xlfn.XLOOKUP(A:A,[1]Hoja1!$C:$C,[1]Hoja1!$D:$D,"",0,1)</f>
        <v>VINILICA GLOSI AMARILLO 5A</v>
      </c>
      <c r="C240" s="8">
        <v>1</v>
      </c>
      <c r="D240" s="11">
        <f>_xlfn.XLOOKUP(A:A,[2]Hoja1!$C:$C,[2]Hoja1!$H:$H,"",0,1)</f>
        <v>299.14</v>
      </c>
      <c r="E240" s="11">
        <f>_xlfn.XLOOKUP(A:A,[1]Hoja1!$C:$C,[1]Hoja1!$H:$H,"",0,1)</f>
        <v>224.14</v>
      </c>
      <c r="F240" s="14">
        <f>_xlfn.XLOOKUP(A:A,TD!A:A,TD!EC:EC,"",0,1)</f>
        <v>1</v>
      </c>
      <c r="G240" s="15">
        <f t="shared" si="14"/>
        <v>1</v>
      </c>
      <c r="H240" s="16">
        <f t="shared" si="15"/>
        <v>897.42</v>
      </c>
      <c r="I240" s="16">
        <f t="shared" si="16"/>
        <v>672.42</v>
      </c>
      <c r="J240" s="27" t="s">
        <v>172</v>
      </c>
      <c r="K240" t="str">
        <f>_xlfn.XLOOKUP(J:J,'[3]FILTROS 2'!$A:$A,'[3]FILTROS 2'!$E:$E,"",0,1)</f>
        <v>VINILICA - GLOSI 5 AÑOS</v>
      </c>
      <c r="L240" s="30"/>
      <c r="O240" t="str">
        <f>_xlfn.XLOOKUP(A:A,[4]TD90D!$A:$A,[4]TD90D!$CW:$CW,"",0,1)</f>
        <v/>
      </c>
      <c r="P240" t="str">
        <f>_xlfn.XLOOKUP(A:A,[4]TD90D!$A:$A,[4]TD90D!$CX:$CX,"",0,1)</f>
        <v/>
      </c>
      <c r="Q240" t="str">
        <f>_xlfn.XLOOKUP(A:A,[4]TD90D!$A:$A,[4]TD90D!$DA:$DA,"",0,1)</f>
        <v/>
      </c>
      <c r="R240" s="31" t="e">
        <f t="shared" si="17"/>
        <v>#VALUE!</v>
      </c>
      <c r="S240" t="str">
        <f>_xlfn.XLOOKUP(A:A,'[4]TD90D PZAS'!$A:$A,'[4]TD90D PZAS'!$CW:$CW,"",0,1)</f>
        <v/>
      </c>
      <c r="T240" t="str">
        <f>_xlfn.XLOOKUP(A:A,'[4]TD90D PZAS'!$A:$A,'[4]TD90D PZAS'!$CX:$CX,"",0,1)</f>
        <v/>
      </c>
      <c r="U240" t="str">
        <f>_xlfn.XLOOKUP(A:A,'[4]TD90D PZAS'!$A:$A,'[4]TD90D PZAS'!$DA:$DA,"",0,1)</f>
        <v/>
      </c>
    </row>
    <row r="241" spans="1:21" x14ac:dyDescent="0.35">
      <c r="A241" t="s">
        <v>296</v>
      </c>
      <c r="B241" t="str">
        <f>_xlfn.XLOOKUP(A:A,[1]Hoja1!$C:$C,[1]Hoja1!$D:$D,"",0,1)</f>
        <v/>
      </c>
      <c r="C241" s="8">
        <v>1</v>
      </c>
      <c r="D241" s="11">
        <f>_xlfn.XLOOKUP(A:A,[2]Hoja1!$C:$C,[2]Hoja1!$H:$H,"",0,1)</f>
        <v>257.76</v>
      </c>
      <c r="E241" s="11" t="str">
        <f>_xlfn.XLOOKUP(A:A,[1]Hoja1!$C:$C,[1]Hoja1!$H:$H,"",0,1)</f>
        <v/>
      </c>
      <c r="F241" s="14">
        <f>_xlfn.XLOOKUP(A:A,TD!A:A,TD!EC:EC,"",0,1)</f>
        <v>6</v>
      </c>
      <c r="G241" s="15">
        <f t="shared" si="14"/>
        <v>6</v>
      </c>
      <c r="H241" s="16">
        <f t="shared" si="15"/>
        <v>773.28</v>
      </c>
      <c r="I241" s="16" t="e">
        <f t="shared" si="16"/>
        <v>#VALUE!</v>
      </c>
      <c r="J241" s="27">
        <v>21644</v>
      </c>
      <c r="K241" t="str">
        <f>_xlfn.XLOOKUP(J:J,'[3]FILTROS 2'!$A:$A,'[3]FILTROS 2'!$E:$E,"",0,1)</f>
        <v>ESMALTE - MILCO</v>
      </c>
      <c r="L241" s="30"/>
      <c r="O241" t="str">
        <f>_xlfn.XLOOKUP(A:A,[4]TD90D!$A:$A,[4]TD90D!$CW:$CW,"",0,1)</f>
        <v/>
      </c>
      <c r="P241" t="str">
        <f>_xlfn.XLOOKUP(A:A,[4]TD90D!$A:$A,[4]TD90D!$CX:$CX,"",0,1)</f>
        <v/>
      </c>
      <c r="Q241" t="str">
        <f>_xlfn.XLOOKUP(A:A,[4]TD90D!$A:$A,[4]TD90D!$DA:$DA,"",0,1)</f>
        <v/>
      </c>
      <c r="R241" s="31" t="e">
        <f t="shared" si="17"/>
        <v>#VALUE!</v>
      </c>
      <c r="S241" t="str">
        <f>_xlfn.XLOOKUP(A:A,'[4]TD90D PZAS'!$A:$A,'[4]TD90D PZAS'!$CW:$CW,"",0,1)</f>
        <v/>
      </c>
      <c r="T241" t="str">
        <f>_xlfn.XLOOKUP(A:A,'[4]TD90D PZAS'!$A:$A,'[4]TD90D PZAS'!$CX:$CX,"",0,1)</f>
        <v/>
      </c>
      <c r="U241" t="str">
        <f>_xlfn.XLOOKUP(A:A,'[4]TD90D PZAS'!$A:$A,'[4]TD90D PZAS'!$DA:$DA,"",0,1)</f>
        <v/>
      </c>
    </row>
    <row r="242" spans="1:21" x14ac:dyDescent="0.35">
      <c r="A242" t="s">
        <v>185</v>
      </c>
      <c r="B242" t="str">
        <f>_xlfn.XLOOKUP(A:A,[1]Hoja1!$C:$C,[1]Hoja1!$D:$D,"",0,1)</f>
        <v>VINILICA GLOSI MARFIL 5A</v>
      </c>
      <c r="C242" s="8">
        <v>1</v>
      </c>
      <c r="D242" s="11">
        <f>_xlfn.XLOOKUP(A:A,[2]Hoja1!$C:$C,[2]Hoja1!$H:$H,"",0,1)</f>
        <v>1213.79</v>
      </c>
      <c r="E242" s="11">
        <f>_xlfn.XLOOKUP(A:A,[1]Hoja1!$C:$C,[1]Hoja1!$H:$H,"",0,1)</f>
        <v>909.48</v>
      </c>
      <c r="F242" s="14">
        <f>_xlfn.XLOOKUP(A:A,TD!A:A,TD!EC:EC,"",0,1)</f>
        <v>1</v>
      </c>
      <c r="G242" s="15">
        <f t="shared" si="14"/>
        <v>1</v>
      </c>
      <c r="H242" s="16">
        <f t="shared" si="15"/>
        <v>3641.37</v>
      </c>
      <c r="I242" s="16">
        <f t="shared" si="16"/>
        <v>2728.44</v>
      </c>
      <c r="J242" s="27" t="s">
        <v>185</v>
      </c>
      <c r="K242" t="str">
        <f>_xlfn.XLOOKUP(J:J,'[3]FILTROS 2'!$A:$A,'[3]FILTROS 2'!$E:$E,"",0,1)</f>
        <v>VINILICA - GLOSI 5 AÑOS</v>
      </c>
      <c r="L242" s="30"/>
      <c r="O242" t="str">
        <f>_xlfn.XLOOKUP(A:A,[4]TD90D!$A:$A,[4]TD90D!$CW:$CW,"",0,1)</f>
        <v/>
      </c>
      <c r="P242" t="str">
        <f>_xlfn.XLOOKUP(A:A,[4]TD90D!$A:$A,[4]TD90D!$CX:$CX,"",0,1)</f>
        <v/>
      </c>
      <c r="Q242" t="str">
        <f>_xlfn.XLOOKUP(A:A,[4]TD90D!$A:$A,[4]TD90D!$DA:$DA,"",0,1)</f>
        <v/>
      </c>
      <c r="R242" s="31" t="e">
        <f t="shared" si="17"/>
        <v>#VALUE!</v>
      </c>
      <c r="S242" t="str">
        <f>_xlfn.XLOOKUP(A:A,'[4]TD90D PZAS'!$A:$A,'[4]TD90D PZAS'!$CW:$CW,"",0,1)</f>
        <v/>
      </c>
      <c r="T242" t="str">
        <f>_xlfn.XLOOKUP(A:A,'[4]TD90D PZAS'!$A:$A,'[4]TD90D PZAS'!$CX:$CX,"",0,1)</f>
        <v/>
      </c>
      <c r="U242" t="str">
        <f>_xlfn.XLOOKUP(A:A,'[4]TD90D PZAS'!$A:$A,'[4]TD90D PZAS'!$DA:$DA,"",0,1)</f>
        <v/>
      </c>
    </row>
    <row r="243" spans="1:21" x14ac:dyDescent="0.35">
      <c r="A243" t="s">
        <v>357</v>
      </c>
      <c r="B243" t="str">
        <f>_xlfn.XLOOKUP(A:A,[1]Hoja1!$C:$C,[1]Hoja1!$D:$D,"",0,1)</f>
        <v>KIT CARWASH</v>
      </c>
      <c r="C243" s="8">
        <v>1</v>
      </c>
      <c r="D243" s="11">
        <f>_xlfn.XLOOKUP(A:A,[2]Hoja1!$C:$C,[2]Hoja1!$H:$H,"",0,1)</f>
        <v>267.24</v>
      </c>
      <c r="E243" s="11">
        <f>_xlfn.XLOOKUP(A:A,[1]Hoja1!$C:$C,[1]Hoja1!$H:$H,"",0,1)</f>
        <v>200.86</v>
      </c>
      <c r="F243" s="14">
        <f>_xlfn.XLOOKUP(A:A,TD!A:A,TD!EC:EC,"",0,1)</f>
        <v>1</v>
      </c>
      <c r="G243" s="15">
        <f t="shared" si="14"/>
        <v>1</v>
      </c>
      <c r="H243" s="16">
        <f t="shared" si="15"/>
        <v>801.72</v>
      </c>
      <c r="I243" s="16">
        <f t="shared" si="16"/>
        <v>602.58000000000004</v>
      </c>
      <c r="J243" s="27" t="s">
        <v>357</v>
      </c>
      <c r="K243" t="str">
        <f>_xlfn.XLOOKUP(J:J,'[3]FILTROS 2'!$A:$A,'[3]FILTROS 2'!$E:$E,"",0,1)</f>
        <v>SIGLO AUTOMOTIVO</v>
      </c>
      <c r="L243" s="30"/>
      <c r="O243" t="str">
        <f>_xlfn.XLOOKUP(A:A,[4]TD90D!$A:$A,[4]TD90D!$CW:$CW,"",0,1)</f>
        <v/>
      </c>
      <c r="P243" t="str">
        <f>_xlfn.XLOOKUP(A:A,[4]TD90D!$A:$A,[4]TD90D!$CX:$CX,"",0,1)</f>
        <v/>
      </c>
      <c r="Q243" t="str">
        <f>_xlfn.XLOOKUP(A:A,[4]TD90D!$A:$A,[4]TD90D!$DA:$DA,"",0,1)</f>
        <v/>
      </c>
      <c r="R243" s="31" t="e">
        <f t="shared" si="17"/>
        <v>#VALUE!</v>
      </c>
      <c r="S243" t="str">
        <f>_xlfn.XLOOKUP(A:A,'[4]TD90D PZAS'!$A:$A,'[4]TD90D PZAS'!$CW:$CW,"",0,1)</f>
        <v/>
      </c>
      <c r="T243" t="str">
        <f>_xlfn.XLOOKUP(A:A,'[4]TD90D PZAS'!$A:$A,'[4]TD90D PZAS'!$CX:$CX,"",0,1)</f>
        <v/>
      </c>
      <c r="U243" t="str">
        <f>_xlfn.XLOOKUP(A:A,'[4]TD90D PZAS'!$A:$A,'[4]TD90D PZAS'!$DA:$DA,"",0,1)</f>
        <v/>
      </c>
    </row>
    <row r="244" spans="1:21" x14ac:dyDescent="0.35">
      <c r="A244" t="s">
        <v>116</v>
      </c>
      <c r="B244" t="str">
        <f>_xlfn.XLOOKUP(A:A,[1]Hoja1!$C:$C,[1]Hoja1!$D:$D,"",0,1)</f>
        <v>VINILICA GLOSI OCRE 5A</v>
      </c>
      <c r="C244" s="8">
        <v>1</v>
      </c>
      <c r="D244" s="11">
        <f>_xlfn.XLOOKUP(A:A,[2]Hoja1!$C:$C,[2]Hoja1!$H:$H,"",0,1)</f>
        <v>1213.79</v>
      </c>
      <c r="E244" s="11">
        <f>_xlfn.XLOOKUP(A:A,[1]Hoja1!$C:$C,[1]Hoja1!$H:$H,"",0,1)</f>
        <v>909.48</v>
      </c>
      <c r="F244" s="14">
        <f>_xlfn.XLOOKUP(A:A,TD!A:A,TD!EC:EC,"",0,1)</f>
        <v>1</v>
      </c>
      <c r="G244" s="15">
        <f t="shared" si="14"/>
        <v>1</v>
      </c>
      <c r="H244" s="16">
        <f t="shared" si="15"/>
        <v>3641.37</v>
      </c>
      <c r="I244" s="16">
        <f t="shared" si="16"/>
        <v>2728.44</v>
      </c>
      <c r="J244" s="27" t="s">
        <v>116</v>
      </c>
      <c r="K244" t="str">
        <f>_xlfn.XLOOKUP(J:J,'[3]FILTROS 2'!$A:$A,'[3]FILTROS 2'!$E:$E,"",0,1)</f>
        <v>VINILICA - GLOSI 5 AÑOS</v>
      </c>
      <c r="L244" s="30"/>
      <c r="O244" t="str">
        <f>_xlfn.XLOOKUP(A:A,[4]TD90D!$A:$A,[4]TD90D!$CW:$CW,"",0,1)</f>
        <v/>
      </c>
      <c r="P244" t="str">
        <f>_xlfn.XLOOKUP(A:A,[4]TD90D!$A:$A,[4]TD90D!$CX:$CX,"",0,1)</f>
        <v/>
      </c>
      <c r="Q244" t="str">
        <f>_xlfn.XLOOKUP(A:A,[4]TD90D!$A:$A,[4]TD90D!$DA:$DA,"",0,1)</f>
        <v/>
      </c>
      <c r="R244" s="31" t="e">
        <f t="shared" si="17"/>
        <v>#VALUE!</v>
      </c>
      <c r="S244" t="str">
        <f>_xlfn.XLOOKUP(A:A,'[4]TD90D PZAS'!$A:$A,'[4]TD90D PZAS'!$CW:$CW,"",0,1)</f>
        <v/>
      </c>
      <c r="T244" t="str">
        <f>_xlfn.XLOOKUP(A:A,'[4]TD90D PZAS'!$A:$A,'[4]TD90D PZAS'!$CX:$CX,"",0,1)</f>
        <v/>
      </c>
      <c r="U244" t="str">
        <f>_xlfn.XLOOKUP(A:A,'[4]TD90D PZAS'!$A:$A,'[4]TD90D PZAS'!$DA:$DA,"",0,1)</f>
        <v/>
      </c>
    </row>
    <row r="245" spans="1:21" x14ac:dyDescent="0.35">
      <c r="A245" t="s">
        <v>350</v>
      </c>
      <c r="B245" t="str">
        <f>_xlfn.XLOOKUP(A:A,[1]Hoja1!$C:$C,[1]Hoja1!$D:$D,"",0,1)</f>
        <v>ESTRUCTURAS ROJO OXIDO</v>
      </c>
      <c r="C245" s="8">
        <v>1</v>
      </c>
      <c r="D245" s="11">
        <f>_xlfn.XLOOKUP(A:A,[2]Hoja1!$C:$C,[2]Hoja1!$H:$H,"",0,1)</f>
        <v>484.48</v>
      </c>
      <c r="E245" s="11">
        <f>_xlfn.XLOOKUP(A:A,[1]Hoja1!$C:$C,[1]Hoja1!$H:$H,"",0,1)</f>
        <v>364.66</v>
      </c>
      <c r="F245" s="14">
        <f>_xlfn.XLOOKUP(A:A,TD!A:A,TD!EC:EC,"",0,1)</f>
        <v>1</v>
      </c>
      <c r="G245" s="15">
        <f t="shared" si="14"/>
        <v>1</v>
      </c>
      <c r="H245" s="16">
        <f t="shared" si="15"/>
        <v>1453.44</v>
      </c>
      <c r="I245" s="16">
        <f t="shared" si="16"/>
        <v>1093.98</v>
      </c>
      <c r="J245" s="27" t="s">
        <v>350</v>
      </c>
      <c r="K245" t="str">
        <f>_xlfn.XLOOKUP(J:J,'[3]FILTROS 2'!$A:$A,'[3]FILTROS 2'!$E:$E,"",0,1)</f>
        <v>ESMALTE - ESTRUCTURAS GLOSI</v>
      </c>
      <c r="L245" s="30"/>
      <c r="O245" t="str">
        <f>_xlfn.XLOOKUP(A:A,[4]TD90D!$A:$A,[4]TD90D!$CW:$CW,"",0,1)</f>
        <v/>
      </c>
      <c r="P245" t="str">
        <f>_xlfn.XLOOKUP(A:A,[4]TD90D!$A:$A,[4]TD90D!$CX:$CX,"",0,1)</f>
        <v/>
      </c>
      <c r="Q245" t="str">
        <f>_xlfn.XLOOKUP(A:A,[4]TD90D!$A:$A,[4]TD90D!$DA:$DA,"",0,1)</f>
        <v/>
      </c>
      <c r="R245" s="31" t="e">
        <f t="shared" si="17"/>
        <v>#VALUE!</v>
      </c>
      <c r="S245" t="str">
        <f>_xlfn.XLOOKUP(A:A,'[4]TD90D PZAS'!$A:$A,'[4]TD90D PZAS'!$CW:$CW,"",0,1)</f>
        <v/>
      </c>
      <c r="T245" t="str">
        <f>_xlfn.XLOOKUP(A:A,'[4]TD90D PZAS'!$A:$A,'[4]TD90D PZAS'!$CX:$CX,"",0,1)</f>
        <v/>
      </c>
      <c r="U245" t="str">
        <f>_xlfn.XLOOKUP(A:A,'[4]TD90D PZAS'!$A:$A,'[4]TD90D PZAS'!$DA:$DA,"",0,1)</f>
        <v/>
      </c>
    </row>
    <row r="246" spans="1:21" x14ac:dyDescent="0.35">
      <c r="A246" t="s">
        <v>282</v>
      </c>
      <c r="B246" t="str">
        <f>_xlfn.XLOOKUP(A:A,[1]Hoja1!$C:$C,[1]Hoja1!$D:$D,"",0,1)</f>
        <v>VINILICA GLOSI 5 AÑOS ROSA</v>
      </c>
      <c r="C246" s="8">
        <v>1</v>
      </c>
      <c r="D246" s="11">
        <f>_xlfn.XLOOKUP(A:A,[2]Hoja1!$C:$C,[2]Hoja1!$H:$H,"",0,1)</f>
        <v>299.14</v>
      </c>
      <c r="E246" s="11">
        <f>_xlfn.XLOOKUP(A:A,[1]Hoja1!$C:$C,[1]Hoja1!$H:$H,"",0,1)</f>
        <v>166.38</v>
      </c>
      <c r="F246" s="14">
        <f>_xlfn.XLOOKUP(A:A,TD!A:A,TD!EC:EC,"",0,1)</f>
        <v>2</v>
      </c>
      <c r="G246" s="15">
        <f t="shared" si="14"/>
        <v>2</v>
      </c>
      <c r="H246" s="16">
        <f t="shared" si="15"/>
        <v>897.42</v>
      </c>
      <c r="I246" s="16">
        <f t="shared" si="16"/>
        <v>499.14</v>
      </c>
      <c r="J246" s="27" t="s">
        <v>282</v>
      </c>
      <c r="K246" t="str">
        <f>_xlfn.XLOOKUP(J:J,'[3]FILTROS 2'!$A:$A,'[3]FILTROS 2'!$E:$E,"",0,1)</f>
        <v>VINILICA - GLOSI 5 AÑOS</v>
      </c>
      <c r="L246" s="30"/>
      <c r="O246" t="str">
        <f>_xlfn.XLOOKUP(A:A,[4]TD90D!$A:$A,[4]TD90D!$CW:$CW,"",0,1)</f>
        <v/>
      </c>
      <c r="P246" t="str">
        <f>_xlfn.XLOOKUP(A:A,[4]TD90D!$A:$A,[4]TD90D!$CX:$CX,"",0,1)</f>
        <v/>
      </c>
      <c r="Q246" t="str">
        <f>_xlfn.XLOOKUP(A:A,[4]TD90D!$A:$A,[4]TD90D!$DA:$DA,"",0,1)</f>
        <v/>
      </c>
      <c r="R246" s="31" t="e">
        <f t="shared" si="17"/>
        <v>#VALUE!</v>
      </c>
      <c r="S246" t="str">
        <f>_xlfn.XLOOKUP(A:A,'[4]TD90D PZAS'!$A:$A,'[4]TD90D PZAS'!$CW:$CW,"",0,1)</f>
        <v/>
      </c>
      <c r="T246" t="str">
        <f>_xlfn.XLOOKUP(A:A,'[4]TD90D PZAS'!$A:$A,'[4]TD90D PZAS'!$CX:$CX,"",0,1)</f>
        <v/>
      </c>
      <c r="U246" t="str">
        <f>_xlfn.XLOOKUP(A:A,'[4]TD90D PZAS'!$A:$A,'[4]TD90D PZAS'!$DA:$DA,"",0,1)</f>
        <v/>
      </c>
    </row>
    <row r="247" spans="1:21" x14ac:dyDescent="0.35">
      <c r="A247" t="s">
        <v>404</v>
      </c>
      <c r="B247" t="str">
        <f>_xlfn.XLOOKUP(A:A,[1]Hoja1!$C:$C,[1]Hoja1!$D:$D,"",0,1)</f>
        <v/>
      </c>
      <c r="C247" s="8">
        <v>1</v>
      </c>
      <c r="D247" s="11">
        <f>_xlfn.XLOOKUP(A:A,[2]Hoja1!$C:$C,[2]Hoja1!$H:$H,"",0,1)</f>
        <v>917.24</v>
      </c>
      <c r="E247" s="11" t="str">
        <f>_xlfn.XLOOKUP(A:A,[1]Hoja1!$C:$C,[1]Hoja1!$H:$H,"",0,1)</f>
        <v/>
      </c>
      <c r="F247" s="14">
        <f>_xlfn.XLOOKUP(A:A,TD!A:A,TD!EC:EC,"",0,1)</f>
        <v>2</v>
      </c>
      <c r="G247" s="15">
        <f t="shared" si="14"/>
        <v>2</v>
      </c>
      <c r="H247" s="16">
        <f t="shared" si="15"/>
        <v>2751.7200000000003</v>
      </c>
      <c r="I247" s="16" t="e">
        <f t="shared" si="16"/>
        <v>#VALUE!</v>
      </c>
      <c r="J247" s="27">
        <v>21983</v>
      </c>
      <c r="K247" t="str">
        <f>_xlfn.XLOOKUP(J:J,'[3]FILTROS 2'!$A:$A,'[3]FILTROS 2'!$E:$E,"",0,1)</f>
        <v>ESMALTE - MILCO</v>
      </c>
      <c r="L247" s="30"/>
      <c r="O247" t="str">
        <f>_xlfn.XLOOKUP(A:A,[4]TD90D!$A:$A,[4]TD90D!$CW:$CW,"",0,1)</f>
        <v/>
      </c>
      <c r="P247" t="str">
        <f>_xlfn.XLOOKUP(A:A,[4]TD90D!$A:$A,[4]TD90D!$CX:$CX,"",0,1)</f>
        <v/>
      </c>
      <c r="Q247" t="str">
        <f>_xlfn.XLOOKUP(A:A,[4]TD90D!$A:$A,[4]TD90D!$DA:$DA,"",0,1)</f>
        <v/>
      </c>
      <c r="R247" s="31" t="e">
        <f t="shared" si="17"/>
        <v>#VALUE!</v>
      </c>
      <c r="S247" t="str">
        <f>_xlfn.XLOOKUP(A:A,'[4]TD90D PZAS'!$A:$A,'[4]TD90D PZAS'!$CW:$CW,"",0,1)</f>
        <v/>
      </c>
      <c r="T247" t="str">
        <f>_xlfn.XLOOKUP(A:A,'[4]TD90D PZAS'!$A:$A,'[4]TD90D PZAS'!$CX:$CX,"",0,1)</f>
        <v/>
      </c>
      <c r="U247" t="str">
        <f>_xlfn.XLOOKUP(A:A,'[4]TD90D PZAS'!$A:$A,'[4]TD90D PZAS'!$DA:$DA,"",0,1)</f>
        <v/>
      </c>
    </row>
    <row r="248" spans="1:21" x14ac:dyDescent="0.35">
      <c r="A248" t="s">
        <v>400</v>
      </c>
      <c r="B248" t="str">
        <f>_xlfn.XLOOKUP(A:A,[1]Hoja1!$C:$C,[1]Hoja1!$D:$D,"",0,1)</f>
        <v>VINILICA GLOSI CAFE CLARO 5A</v>
      </c>
      <c r="C248" s="8">
        <v>1</v>
      </c>
      <c r="D248" s="11">
        <f>_xlfn.XLOOKUP(A:A,[2]Hoja1!$C:$C,[2]Hoja1!$H:$H,"",0,1)</f>
        <v>107.76</v>
      </c>
      <c r="E248" s="11">
        <f>_xlfn.XLOOKUP(A:A,[1]Hoja1!$C:$C,[1]Hoja1!$H:$H,"",0,1)</f>
        <v>78.45</v>
      </c>
      <c r="F248" s="14">
        <f>_xlfn.XLOOKUP(A:A,TD!A:A,TD!EC:EC,"",0,1)</f>
        <v>2</v>
      </c>
      <c r="G248" s="15">
        <f t="shared" si="14"/>
        <v>2</v>
      </c>
      <c r="H248" s="16">
        <f t="shared" si="15"/>
        <v>323.28000000000003</v>
      </c>
      <c r="I248" s="16">
        <f t="shared" si="16"/>
        <v>235.35000000000002</v>
      </c>
      <c r="J248" s="27" t="s">
        <v>400</v>
      </c>
      <c r="K248" t="str">
        <f>_xlfn.XLOOKUP(J:J,'[3]FILTROS 2'!$A:$A,'[3]FILTROS 2'!$E:$E,"",0,1)</f>
        <v>VINILICA - GLOSI 5 AÑOS</v>
      </c>
      <c r="L248" s="30"/>
      <c r="O248" t="str">
        <f>_xlfn.XLOOKUP(A:A,[4]TD90D!$A:$A,[4]TD90D!$CW:$CW,"",0,1)</f>
        <v/>
      </c>
      <c r="P248" t="str">
        <f>_xlfn.XLOOKUP(A:A,[4]TD90D!$A:$A,[4]TD90D!$CX:$CX,"",0,1)</f>
        <v/>
      </c>
      <c r="Q248" t="str">
        <f>_xlfn.XLOOKUP(A:A,[4]TD90D!$A:$A,[4]TD90D!$DA:$DA,"",0,1)</f>
        <v/>
      </c>
      <c r="R248" s="31" t="e">
        <f t="shared" si="17"/>
        <v>#VALUE!</v>
      </c>
      <c r="S248" t="str">
        <f>_xlfn.XLOOKUP(A:A,'[4]TD90D PZAS'!$A:$A,'[4]TD90D PZAS'!$CW:$CW,"",0,1)</f>
        <v/>
      </c>
      <c r="T248" t="str">
        <f>_xlfn.XLOOKUP(A:A,'[4]TD90D PZAS'!$A:$A,'[4]TD90D PZAS'!$CX:$CX,"",0,1)</f>
        <v/>
      </c>
      <c r="U248" t="str">
        <f>_xlfn.XLOOKUP(A:A,'[4]TD90D PZAS'!$A:$A,'[4]TD90D PZAS'!$DA:$DA,"",0,1)</f>
        <v/>
      </c>
    </row>
    <row r="249" spans="1:21" x14ac:dyDescent="0.35">
      <c r="A249" t="s">
        <v>374</v>
      </c>
      <c r="B249" t="str">
        <f>_xlfn.XLOOKUP(A:A,[1]Hoja1!$C:$C,[1]Hoja1!$D:$D,"",0,1)</f>
        <v>BRILLON AZUL IRIS</v>
      </c>
      <c r="C249" s="8">
        <v>1</v>
      </c>
      <c r="D249" s="11">
        <f>_xlfn.XLOOKUP(A:A,[2]Hoja1!$C:$C,[2]Hoja1!$H:$H,"",0,1)</f>
        <v>90.52</v>
      </c>
      <c r="E249" s="11">
        <f>_xlfn.XLOOKUP(A:A,[1]Hoja1!$C:$C,[1]Hoja1!$H:$H,"",0,1)</f>
        <v>67.239999999999995</v>
      </c>
      <c r="F249" s="14">
        <f>_xlfn.XLOOKUP(A:A,TD!A:A,TD!EC:EC,"",0,1)</f>
        <v>3</v>
      </c>
      <c r="G249" s="15">
        <f t="shared" si="14"/>
        <v>3</v>
      </c>
      <c r="H249" s="16">
        <f t="shared" si="15"/>
        <v>271.56</v>
      </c>
      <c r="I249" s="16">
        <f t="shared" si="16"/>
        <v>201.71999999999997</v>
      </c>
      <c r="J249" s="27">
        <v>28655</v>
      </c>
      <c r="K249" t="str">
        <f>_xlfn.XLOOKUP(J:J,'[3]FILTROS 2'!$A:$A,'[3]FILTROS 2'!$E:$E,"",0,1)</f>
        <v>ESMALTE - BRILLON</v>
      </c>
      <c r="L249" s="30"/>
      <c r="O249" t="str">
        <f>_xlfn.XLOOKUP(A:A,[4]TD90D!$A:$A,[4]TD90D!$CW:$CW,"",0,1)</f>
        <v/>
      </c>
      <c r="P249" t="str">
        <f>_xlfn.XLOOKUP(A:A,[4]TD90D!$A:$A,[4]TD90D!$CX:$CX,"",0,1)</f>
        <v/>
      </c>
      <c r="Q249" t="str">
        <f>_xlfn.XLOOKUP(A:A,[4]TD90D!$A:$A,[4]TD90D!$DA:$DA,"",0,1)</f>
        <v/>
      </c>
      <c r="R249" s="31" t="e">
        <f t="shared" si="17"/>
        <v>#VALUE!</v>
      </c>
      <c r="S249" t="str">
        <f>_xlfn.XLOOKUP(A:A,'[4]TD90D PZAS'!$A:$A,'[4]TD90D PZAS'!$CW:$CW,"",0,1)</f>
        <v/>
      </c>
      <c r="T249" t="str">
        <f>_xlfn.XLOOKUP(A:A,'[4]TD90D PZAS'!$A:$A,'[4]TD90D PZAS'!$CX:$CX,"",0,1)</f>
        <v/>
      </c>
      <c r="U249" t="str">
        <f>_xlfn.XLOOKUP(A:A,'[4]TD90D PZAS'!$A:$A,'[4]TD90D PZAS'!$DA:$DA,"",0,1)</f>
        <v/>
      </c>
    </row>
    <row r="250" spans="1:21" x14ac:dyDescent="0.35">
      <c r="A250" t="s">
        <v>284</v>
      </c>
      <c r="B250" t="str">
        <f>_xlfn.XLOOKUP(A:A,[1]Hoja1!$C:$C,[1]Hoja1!$D:$D,"",0,1)</f>
        <v/>
      </c>
      <c r="C250" s="8">
        <v>1</v>
      </c>
      <c r="D250" s="11">
        <f>_xlfn.XLOOKUP(A:A,[2]Hoja1!$C:$C,[2]Hoja1!$H:$H,"",0,1)</f>
        <v>1168.0999999999999</v>
      </c>
      <c r="E250" s="11" t="str">
        <f>_xlfn.XLOOKUP(A:A,[1]Hoja1!$C:$C,[1]Hoja1!$H:$H,"",0,1)</f>
        <v/>
      </c>
      <c r="F250" s="14">
        <f>_xlfn.XLOOKUP(A:A,TD!A:A,TD!EC:EC,"",0,1)</f>
        <v>6</v>
      </c>
      <c r="G250" s="15">
        <f t="shared" si="14"/>
        <v>6</v>
      </c>
      <c r="H250" s="16">
        <f t="shared" si="15"/>
        <v>3504.2999999999997</v>
      </c>
      <c r="I250" s="16" t="e">
        <f t="shared" si="16"/>
        <v>#VALUE!</v>
      </c>
      <c r="J250" s="27">
        <v>38061</v>
      </c>
      <c r="K250" t="str">
        <f>_xlfn.XLOOKUP(J:J,'[3]FILTROS 2'!$A:$A,'[3]FILTROS 2'!$E:$E,"",0,1)</f>
        <v>IMPERM - PARAGUAS 3 AÑOS</v>
      </c>
      <c r="L250" s="30"/>
      <c r="O250" t="str">
        <f>_xlfn.XLOOKUP(A:A,[4]TD90D!$A:$A,[4]TD90D!$CW:$CW,"",0,1)</f>
        <v/>
      </c>
      <c r="P250" t="str">
        <f>_xlfn.XLOOKUP(A:A,[4]TD90D!$A:$A,[4]TD90D!$CX:$CX,"",0,1)</f>
        <v/>
      </c>
      <c r="Q250" t="str">
        <f>_xlfn.XLOOKUP(A:A,[4]TD90D!$A:$A,[4]TD90D!$DA:$DA,"",0,1)</f>
        <v/>
      </c>
      <c r="R250" s="31" t="e">
        <f t="shared" si="17"/>
        <v>#VALUE!</v>
      </c>
      <c r="S250" t="str">
        <f>_xlfn.XLOOKUP(A:A,'[4]TD90D PZAS'!$A:$A,'[4]TD90D PZAS'!$CW:$CW,"",0,1)</f>
        <v/>
      </c>
      <c r="T250" t="str">
        <f>_xlfn.XLOOKUP(A:A,'[4]TD90D PZAS'!$A:$A,'[4]TD90D PZAS'!$CX:$CX,"",0,1)</f>
        <v/>
      </c>
      <c r="U250" t="str">
        <f>_xlfn.XLOOKUP(A:A,'[4]TD90D PZAS'!$A:$A,'[4]TD90D PZAS'!$DA:$DA,"",0,1)</f>
        <v/>
      </c>
    </row>
    <row r="251" spans="1:21" x14ac:dyDescent="0.35">
      <c r="A251" t="s">
        <v>353</v>
      </c>
      <c r="B251" t="str">
        <f>_xlfn.XLOOKUP(A:A,[1]Hoja1!$C:$C,[1]Hoja1!$D:$D,"",0,1)</f>
        <v>PRIMARIO GLOSI ESTRUCTURAS GRIS</v>
      </c>
      <c r="C251" s="8">
        <v>1</v>
      </c>
      <c r="D251" s="11">
        <f>_xlfn.XLOOKUP(A:A,[2]Hoja1!$C:$C,[2]Hoja1!$H:$H,"",0,1)</f>
        <v>484.48</v>
      </c>
      <c r="E251" s="11">
        <f>_xlfn.XLOOKUP(A:A,[1]Hoja1!$C:$C,[1]Hoja1!$H:$H,"",0,1)</f>
        <v>364.66</v>
      </c>
      <c r="F251" s="14">
        <f>_xlfn.XLOOKUP(A:A,TD!A:A,TD!EC:EC,"",0,1)</f>
        <v>1</v>
      </c>
      <c r="G251" s="15">
        <f t="shared" si="14"/>
        <v>1</v>
      </c>
      <c r="H251" s="16">
        <f t="shared" si="15"/>
        <v>1453.44</v>
      </c>
      <c r="I251" s="16">
        <f t="shared" si="16"/>
        <v>1093.98</v>
      </c>
      <c r="J251" s="27" t="s">
        <v>353</v>
      </c>
      <c r="K251" t="str">
        <f>_xlfn.XLOOKUP(J:J,'[3]FILTROS 2'!$A:$A,'[3]FILTROS 2'!$E:$E,"",0,1)</f>
        <v>ESMALTE - ESTRUCTURAS GLOSI</v>
      </c>
      <c r="L251" s="30"/>
      <c r="O251" t="str">
        <f>_xlfn.XLOOKUP(A:A,[4]TD90D!$A:$A,[4]TD90D!$CW:$CW,"",0,1)</f>
        <v/>
      </c>
      <c r="P251" t="str">
        <f>_xlfn.XLOOKUP(A:A,[4]TD90D!$A:$A,[4]TD90D!$CX:$CX,"",0,1)</f>
        <v/>
      </c>
      <c r="Q251" t="str">
        <f>_xlfn.XLOOKUP(A:A,[4]TD90D!$A:$A,[4]TD90D!$DA:$DA,"",0,1)</f>
        <v/>
      </c>
      <c r="R251" s="31" t="e">
        <f t="shared" si="17"/>
        <v>#VALUE!</v>
      </c>
      <c r="S251" t="str">
        <f>_xlfn.XLOOKUP(A:A,'[4]TD90D PZAS'!$A:$A,'[4]TD90D PZAS'!$CW:$CW,"",0,1)</f>
        <v/>
      </c>
      <c r="T251" t="str">
        <f>_xlfn.XLOOKUP(A:A,'[4]TD90D PZAS'!$A:$A,'[4]TD90D PZAS'!$CX:$CX,"",0,1)</f>
        <v/>
      </c>
      <c r="U251" t="str">
        <f>_xlfn.XLOOKUP(A:A,'[4]TD90D PZAS'!$A:$A,'[4]TD90D PZAS'!$DA:$DA,"",0,1)</f>
        <v/>
      </c>
    </row>
    <row r="252" spans="1:21" x14ac:dyDescent="0.35">
      <c r="A252" t="s">
        <v>265</v>
      </c>
      <c r="B252" t="str">
        <f>_xlfn.XLOOKUP(A:A,[1]Hoja1!$C:$C,[1]Hoja1!$D:$D,"",0,1)</f>
        <v>VINILICA GLOSI AZUL INTENSO 5 A</v>
      </c>
      <c r="C252" s="8">
        <v>1</v>
      </c>
      <c r="D252" s="11">
        <f>_xlfn.XLOOKUP(A:A,[2]Hoja1!$C:$C,[2]Hoja1!$H:$H,"",0,1)</f>
        <v>299.14</v>
      </c>
      <c r="E252" s="11">
        <f>_xlfn.XLOOKUP(A:A,[1]Hoja1!$C:$C,[1]Hoja1!$H:$H,"",0,1)</f>
        <v>224.14</v>
      </c>
      <c r="F252" s="14">
        <f>_xlfn.XLOOKUP(A:A,TD!A:A,TD!EC:EC,"",0,1)</f>
        <v>1</v>
      </c>
      <c r="G252" s="15">
        <f t="shared" si="14"/>
        <v>1</v>
      </c>
      <c r="H252" s="16">
        <f t="shared" si="15"/>
        <v>897.42</v>
      </c>
      <c r="I252" s="16">
        <f t="shared" si="16"/>
        <v>672.42</v>
      </c>
      <c r="J252" s="27" t="s">
        <v>265</v>
      </c>
      <c r="K252" t="str">
        <f>_xlfn.XLOOKUP(J:J,'[3]FILTROS 2'!$A:$A,'[3]FILTROS 2'!$E:$E,"",0,1)</f>
        <v>VINILICA - GLOSI 5 AÑOS</v>
      </c>
      <c r="L252" s="30"/>
      <c r="O252" t="str">
        <f>_xlfn.XLOOKUP(A:A,[4]TD90D!$A:$A,[4]TD90D!$CW:$CW,"",0,1)</f>
        <v/>
      </c>
      <c r="P252" t="str">
        <f>_xlfn.XLOOKUP(A:A,[4]TD90D!$A:$A,[4]TD90D!$CX:$CX,"",0,1)</f>
        <v/>
      </c>
      <c r="Q252" t="str">
        <f>_xlfn.XLOOKUP(A:A,[4]TD90D!$A:$A,[4]TD90D!$DA:$DA,"",0,1)</f>
        <v/>
      </c>
      <c r="R252" s="31" t="e">
        <f t="shared" si="17"/>
        <v>#VALUE!</v>
      </c>
      <c r="S252" t="str">
        <f>_xlfn.XLOOKUP(A:A,'[4]TD90D PZAS'!$A:$A,'[4]TD90D PZAS'!$CW:$CW,"",0,1)</f>
        <v/>
      </c>
      <c r="T252" t="str">
        <f>_xlfn.XLOOKUP(A:A,'[4]TD90D PZAS'!$A:$A,'[4]TD90D PZAS'!$CX:$CX,"",0,1)</f>
        <v/>
      </c>
      <c r="U252" t="str">
        <f>_xlfn.XLOOKUP(A:A,'[4]TD90D PZAS'!$A:$A,'[4]TD90D PZAS'!$DA:$DA,"",0,1)</f>
        <v/>
      </c>
    </row>
    <row r="253" spans="1:21" x14ac:dyDescent="0.35">
      <c r="A253" t="s">
        <v>208</v>
      </c>
      <c r="B253" t="str">
        <f>_xlfn.XLOOKUP(A:A,[1]Hoja1!$C:$C,[1]Hoja1!$D:$D,"",0,1)</f>
        <v>ESM. ACRILICO ROJO OBSCURO 526</v>
      </c>
      <c r="C253" s="8">
        <v>1</v>
      </c>
      <c r="D253" s="11">
        <f>_xlfn.XLOOKUP(A:A,[2]Hoja1!$C:$C,[2]Hoja1!$H:$H,"",0,1)</f>
        <v>1396.55</v>
      </c>
      <c r="E253" s="11">
        <f>_xlfn.XLOOKUP(A:A,[1]Hoja1!$C:$C,[1]Hoja1!$H:$H,"",0,1)</f>
        <v>999.14</v>
      </c>
      <c r="F253" s="14">
        <f>_xlfn.XLOOKUP(A:A,TD!A:A,TD!EC:EC,"",0,1)</f>
        <v>1</v>
      </c>
      <c r="G253" s="15">
        <f t="shared" si="14"/>
        <v>1</v>
      </c>
      <c r="H253" s="16">
        <f t="shared" si="15"/>
        <v>4189.6499999999996</v>
      </c>
      <c r="I253" s="16">
        <f t="shared" si="16"/>
        <v>2997.42</v>
      </c>
      <c r="J253" s="27">
        <v>25483</v>
      </c>
      <c r="K253" t="str">
        <f>_xlfn.XLOOKUP(J:J,'[3]FILTROS 2'!$A:$A,'[3]FILTROS 2'!$E:$E,"",0,1)</f>
        <v>ESMALTE ACRILICO</v>
      </c>
      <c r="L253" s="30"/>
      <c r="O253" t="str">
        <f>_xlfn.XLOOKUP(A:A,[4]TD90D!$A:$A,[4]TD90D!$CW:$CW,"",0,1)</f>
        <v/>
      </c>
      <c r="P253" t="str">
        <f>_xlfn.XLOOKUP(A:A,[4]TD90D!$A:$A,[4]TD90D!$CX:$CX,"",0,1)</f>
        <v/>
      </c>
      <c r="Q253" t="str">
        <f>_xlfn.XLOOKUP(A:A,[4]TD90D!$A:$A,[4]TD90D!$DA:$DA,"",0,1)</f>
        <v/>
      </c>
      <c r="R253" s="31" t="e">
        <f t="shared" si="17"/>
        <v>#VALUE!</v>
      </c>
      <c r="S253" t="str">
        <f>_xlfn.XLOOKUP(A:A,'[4]TD90D PZAS'!$A:$A,'[4]TD90D PZAS'!$CW:$CW,"",0,1)</f>
        <v/>
      </c>
      <c r="T253" t="str">
        <f>_xlfn.XLOOKUP(A:A,'[4]TD90D PZAS'!$A:$A,'[4]TD90D PZAS'!$CX:$CX,"",0,1)</f>
        <v/>
      </c>
      <c r="U253" t="str">
        <f>_xlfn.XLOOKUP(A:A,'[4]TD90D PZAS'!$A:$A,'[4]TD90D PZAS'!$DA:$DA,"",0,1)</f>
        <v/>
      </c>
    </row>
    <row r="254" spans="1:21" x14ac:dyDescent="0.35">
      <c r="A254" t="s">
        <v>118</v>
      </c>
      <c r="B254" t="str">
        <f>_xlfn.XLOOKUP(A:A,[1]Hoja1!$C:$C,[1]Hoja1!$D:$D,"",0,1)</f>
        <v>VINILICA GLOSI VERDE 5A</v>
      </c>
      <c r="C254" s="8">
        <v>1</v>
      </c>
      <c r="D254" s="11">
        <f>_xlfn.XLOOKUP(A:A,[2]Hoja1!$C:$C,[2]Hoja1!$H:$H,"",0,1)</f>
        <v>1213.79</v>
      </c>
      <c r="E254" s="11">
        <f>_xlfn.XLOOKUP(A:A,[1]Hoja1!$C:$C,[1]Hoja1!$H:$H,"",0,1)</f>
        <v>909.48</v>
      </c>
      <c r="F254" s="14">
        <f>_xlfn.XLOOKUP(A:A,TD!A:A,TD!EC:EC,"",0,1)</f>
        <v>1</v>
      </c>
      <c r="G254" s="15">
        <f t="shared" si="14"/>
        <v>1</v>
      </c>
      <c r="H254" s="16">
        <f t="shared" si="15"/>
        <v>3641.37</v>
      </c>
      <c r="I254" s="16">
        <f t="shared" si="16"/>
        <v>2728.44</v>
      </c>
      <c r="J254" s="27" t="s">
        <v>118</v>
      </c>
      <c r="K254" t="str">
        <f>_xlfn.XLOOKUP(J:J,'[3]FILTROS 2'!$A:$A,'[3]FILTROS 2'!$E:$E,"",0,1)</f>
        <v>VINILICA - GLOSI 5 AÑOS</v>
      </c>
      <c r="L254" s="30"/>
      <c r="O254" t="str">
        <f>_xlfn.XLOOKUP(A:A,[4]TD90D!$A:$A,[4]TD90D!$CW:$CW,"",0,1)</f>
        <v/>
      </c>
      <c r="P254" t="str">
        <f>_xlfn.XLOOKUP(A:A,[4]TD90D!$A:$A,[4]TD90D!$CX:$CX,"",0,1)</f>
        <v/>
      </c>
      <c r="Q254" t="str">
        <f>_xlfn.XLOOKUP(A:A,[4]TD90D!$A:$A,[4]TD90D!$DA:$DA,"",0,1)</f>
        <v/>
      </c>
      <c r="R254" s="31" t="e">
        <f t="shared" si="17"/>
        <v>#VALUE!</v>
      </c>
      <c r="S254" t="str">
        <f>_xlfn.XLOOKUP(A:A,'[4]TD90D PZAS'!$A:$A,'[4]TD90D PZAS'!$CW:$CW,"",0,1)</f>
        <v/>
      </c>
      <c r="T254" t="str">
        <f>_xlfn.XLOOKUP(A:A,'[4]TD90D PZAS'!$A:$A,'[4]TD90D PZAS'!$CX:$CX,"",0,1)</f>
        <v/>
      </c>
      <c r="U254" t="str">
        <f>_xlfn.XLOOKUP(A:A,'[4]TD90D PZAS'!$A:$A,'[4]TD90D PZAS'!$DA:$DA,"",0,1)</f>
        <v/>
      </c>
    </row>
    <row r="255" spans="1:21" x14ac:dyDescent="0.35">
      <c r="A255" t="s">
        <v>321</v>
      </c>
      <c r="B255" t="str">
        <f>_xlfn.XLOOKUP(A:A,[1]Hoja1!$C:$C,[1]Hoja1!$D:$D,"",0,1)</f>
        <v>ALBERCAS AZUL</v>
      </c>
      <c r="C255" s="8">
        <v>1</v>
      </c>
      <c r="D255" s="11">
        <f>_xlfn.XLOOKUP(A:A,[2]Hoja1!$C:$C,[2]Hoja1!$H:$H,"",0,1)</f>
        <v>5916.38</v>
      </c>
      <c r="E255" s="11">
        <f>_xlfn.XLOOKUP(A:A,[1]Hoja1!$C:$C,[1]Hoja1!$H:$H,"",0,1)</f>
        <v>4437.07</v>
      </c>
      <c r="F255" s="14">
        <f>_xlfn.XLOOKUP(A:A,TD!A:A,TD!EC:EC,"",0,1)</f>
        <v>1</v>
      </c>
      <c r="G255" s="15">
        <f t="shared" si="14"/>
        <v>1</v>
      </c>
      <c r="H255" s="16">
        <f t="shared" si="15"/>
        <v>17749.14</v>
      </c>
      <c r="I255" s="16">
        <f t="shared" si="16"/>
        <v>13311.21</v>
      </c>
      <c r="J255" s="27">
        <v>10641</v>
      </c>
      <c r="K255" t="str">
        <f>_xlfn.XLOOKUP(J:J,'[3]FILTROS 2'!$A:$A,'[3]FILTROS 2'!$E:$E,"",0,1)</f>
        <v>PINTURA PARA ALBERCAS</v>
      </c>
      <c r="L255" s="30"/>
      <c r="O255" t="str">
        <f>_xlfn.XLOOKUP(A:A,[4]TD90D!$A:$A,[4]TD90D!$CW:$CW,"",0,1)</f>
        <v/>
      </c>
      <c r="P255" t="str">
        <f>_xlfn.XLOOKUP(A:A,[4]TD90D!$A:$A,[4]TD90D!$CX:$CX,"",0,1)</f>
        <v/>
      </c>
      <c r="Q255" t="str">
        <f>_xlfn.XLOOKUP(A:A,[4]TD90D!$A:$A,[4]TD90D!$DA:$DA,"",0,1)</f>
        <v/>
      </c>
      <c r="R255" s="31" t="e">
        <f t="shared" si="17"/>
        <v>#VALUE!</v>
      </c>
      <c r="S255" t="str">
        <f>_xlfn.XLOOKUP(A:A,'[4]TD90D PZAS'!$A:$A,'[4]TD90D PZAS'!$CW:$CW,"",0,1)</f>
        <v/>
      </c>
      <c r="T255" t="str">
        <f>_xlfn.XLOOKUP(A:A,'[4]TD90D PZAS'!$A:$A,'[4]TD90D PZAS'!$CX:$CX,"",0,1)</f>
        <v/>
      </c>
      <c r="U255" t="str">
        <f>_xlfn.XLOOKUP(A:A,'[4]TD90D PZAS'!$A:$A,'[4]TD90D PZAS'!$DA:$DA,"",0,1)</f>
        <v/>
      </c>
    </row>
    <row r="256" spans="1:21" x14ac:dyDescent="0.35">
      <c r="A256" t="s">
        <v>320</v>
      </c>
      <c r="B256" t="str">
        <f>_xlfn.XLOOKUP(A:A,[1]Hoja1!$C:$C,[1]Hoja1!$D:$D,"",0,1)</f>
        <v>VINILICA GLOSI NEGRO 5A</v>
      </c>
      <c r="C256" s="8">
        <v>1</v>
      </c>
      <c r="D256" s="11">
        <f>_xlfn.XLOOKUP(A:A,[2]Hoja1!$C:$C,[2]Hoja1!$H:$H,"",0,1)</f>
        <v>299.14</v>
      </c>
      <c r="E256" s="11">
        <f>_xlfn.XLOOKUP(A:A,[1]Hoja1!$C:$C,[1]Hoja1!$H:$H,"",0,1)</f>
        <v>224.14</v>
      </c>
      <c r="F256" s="14">
        <f>_xlfn.XLOOKUP(A:A,TD!A:A,TD!EC:EC,"",0,1)</f>
        <v>2</v>
      </c>
      <c r="G256" s="15">
        <f t="shared" si="14"/>
        <v>2</v>
      </c>
      <c r="H256" s="16">
        <f t="shared" si="15"/>
        <v>897.42</v>
      </c>
      <c r="I256" s="16">
        <f t="shared" si="16"/>
        <v>672.42</v>
      </c>
      <c r="J256" s="27" t="s">
        <v>320</v>
      </c>
      <c r="K256" t="str">
        <f>_xlfn.XLOOKUP(J:J,'[3]FILTROS 2'!$A:$A,'[3]FILTROS 2'!$E:$E,"",0,1)</f>
        <v>VINILICA - GLOSI 5 AÑOS</v>
      </c>
      <c r="L256" s="30"/>
      <c r="O256">
        <f>_xlfn.XLOOKUP(A:A,[4]TD90D!$A:$A,[4]TD90D!$CW:$CW,"",0,1)</f>
        <v>2</v>
      </c>
      <c r="P256">
        <f>_xlfn.XLOOKUP(A:A,[4]TD90D!$A:$A,[4]TD90D!$CX:$CX,"",0,1)</f>
        <v>1</v>
      </c>
      <c r="Q256">
        <f>_xlfn.XLOOKUP(A:A,[4]TD90D!$A:$A,[4]TD90D!$DA:$DA,"",0,1)</f>
        <v>0</v>
      </c>
      <c r="R256" s="31">
        <f t="shared" si="17"/>
        <v>1</v>
      </c>
      <c r="S256">
        <f>_xlfn.XLOOKUP(A:A,'[4]TD90D PZAS'!$A:$A,'[4]TD90D PZAS'!$CW:$CW,"",0,1)</f>
        <v>15</v>
      </c>
      <c r="T256">
        <f>_xlfn.XLOOKUP(A:A,'[4]TD90D PZAS'!$A:$A,'[4]TD90D PZAS'!$CX:$CX,"",0,1)</f>
        <v>1</v>
      </c>
      <c r="U256">
        <f>_xlfn.XLOOKUP(A:A,'[4]TD90D PZAS'!$A:$A,'[4]TD90D PZAS'!$DA:$DA,"",0,1)</f>
        <v>0</v>
      </c>
    </row>
    <row r="257" spans="1:21" x14ac:dyDescent="0.35">
      <c r="A257" t="s">
        <v>88</v>
      </c>
      <c r="B257" t="str">
        <f>_xlfn.XLOOKUP(A:A,[1]Hoja1!$C:$C,[1]Hoja1!$D:$D,"",0,1)</f>
        <v>ESMALTE GLOSI SR BLANCO</v>
      </c>
      <c r="C257" s="8">
        <v>1</v>
      </c>
      <c r="D257" s="11">
        <f>_xlfn.XLOOKUP(A:A,[2]Hoja1!$C:$C,[2]Hoja1!$H:$H,"",0,1)</f>
        <v>3192.24</v>
      </c>
      <c r="E257" s="11">
        <f>_xlfn.XLOOKUP(A:A,[1]Hoja1!$C:$C,[1]Hoja1!$H:$H,"",0,1)</f>
        <v>2462.9299999999998</v>
      </c>
      <c r="F257" s="14">
        <f>_xlfn.XLOOKUP(A:A,TD!A:A,TD!EC:EC,"",0,1)</f>
        <v>1</v>
      </c>
      <c r="G257" s="15">
        <f t="shared" si="14"/>
        <v>1</v>
      </c>
      <c r="H257" s="16">
        <f t="shared" si="15"/>
        <v>9576.7199999999993</v>
      </c>
      <c r="I257" s="16">
        <f t="shared" si="16"/>
        <v>7388.7899999999991</v>
      </c>
      <c r="J257" s="27" t="s">
        <v>88</v>
      </c>
      <c r="K257" t="str">
        <f>_xlfn.XLOOKUP(J:J,'[3]FILTROS 2'!$A:$A,'[3]FILTROS 2'!$E:$E,"",0,1)</f>
        <v>ESMALTE - GLOSI SECADO RAPIDO</v>
      </c>
      <c r="L257" s="30"/>
      <c r="O257" t="str">
        <f>_xlfn.XLOOKUP(A:A,[4]TD90D!$A:$A,[4]TD90D!$CW:$CW,"",0,1)</f>
        <v/>
      </c>
      <c r="P257" t="str">
        <f>_xlfn.XLOOKUP(A:A,[4]TD90D!$A:$A,[4]TD90D!$CX:$CX,"",0,1)</f>
        <v/>
      </c>
      <c r="Q257" t="str">
        <f>_xlfn.XLOOKUP(A:A,[4]TD90D!$A:$A,[4]TD90D!$DA:$DA,"",0,1)</f>
        <v/>
      </c>
      <c r="R257" s="31" t="e">
        <f t="shared" si="17"/>
        <v>#VALUE!</v>
      </c>
      <c r="S257" t="str">
        <f>_xlfn.XLOOKUP(A:A,'[4]TD90D PZAS'!$A:$A,'[4]TD90D PZAS'!$CW:$CW,"",0,1)</f>
        <v/>
      </c>
      <c r="T257" t="str">
        <f>_xlfn.XLOOKUP(A:A,'[4]TD90D PZAS'!$A:$A,'[4]TD90D PZAS'!$CX:$CX,"",0,1)</f>
        <v/>
      </c>
      <c r="U257" t="str">
        <f>_xlfn.XLOOKUP(A:A,'[4]TD90D PZAS'!$A:$A,'[4]TD90D PZAS'!$DA:$DA,"",0,1)</f>
        <v/>
      </c>
    </row>
    <row r="258" spans="1:21" x14ac:dyDescent="0.35">
      <c r="A258" t="s">
        <v>205</v>
      </c>
      <c r="B258" t="str">
        <f>_xlfn.XLOOKUP(A:A,[1]Hoja1!$C:$C,[1]Hoja1!$D:$D,"",0,1)</f>
        <v>BARNIZ ALQUIDALICO NOGAL</v>
      </c>
      <c r="C258" s="8">
        <v>1</v>
      </c>
      <c r="D258" s="11">
        <f>_xlfn.XLOOKUP(A:A,[2]Hoja1!$C:$C,[2]Hoja1!$H:$H,"",0,1)</f>
        <v>207.76</v>
      </c>
      <c r="E258" s="11">
        <f>_xlfn.XLOOKUP(A:A,[1]Hoja1!$C:$C,[1]Hoja1!$H:$H,"",0,1)</f>
        <v>207.76</v>
      </c>
      <c r="F258" s="14">
        <f>_xlfn.XLOOKUP(A:A,TD!A:A,TD!EC:EC,"",0,1)</f>
        <v>1</v>
      </c>
      <c r="G258" s="15">
        <f t="shared" si="14"/>
        <v>1</v>
      </c>
      <c r="H258" s="16">
        <f t="shared" si="15"/>
        <v>623.28</v>
      </c>
      <c r="I258" s="16">
        <f t="shared" si="16"/>
        <v>623.28</v>
      </c>
      <c r="J258" s="27">
        <v>28894</v>
      </c>
      <c r="K258" t="str">
        <f>_xlfn.XLOOKUP(J:J,'[3]FILTROS 2'!$A:$A,'[3]FILTROS 2'!$E:$E,"",0,1)</f>
        <v>BARNIZ ALQUIDALICO SIGLO</v>
      </c>
      <c r="L258" s="30"/>
      <c r="O258" t="str">
        <f>_xlfn.XLOOKUP(A:A,[4]TD90D!$A:$A,[4]TD90D!$CW:$CW,"",0,1)</f>
        <v/>
      </c>
      <c r="P258" t="str">
        <f>_xlfn.XLOOKUP(A:A,[4]TD90D!$A:$A,[4]TD90D!$CX:$CX,"",0,1)</f>
        <v/>
      </c>
      <c r="Q258" t="str">
        <f>_xlfn.XLOOKUP(A:A,[4]TD90D!$A:$A,[4]TD90D!$DA:$DA,"",0,1)</f>
        <v/>
      </c>
      <c r="R258" s="31" t="e">
        <f t="shared" si="17"/>
        <v>#VALUE!</v>
      </c>
      <c r="S258" t="str">
        <f>_xlfn.XLOOKUP(A:A,'[4]TD90D PZAS'!$A:$A,'[4]TD90D PZAS'!$CW:$CW,"",0,1)</f>
        <v/>
      </c>
      <c r="T258" t="str">
        <f>_xlfn.XLOOKUP(A:A,'[4]TD90D PZAS'!$A:$A,'[4]TD90D PZAS'!$CX:$CX,"",0,1)</f>
        <v/>
      </c>
      <c r="U258" t="str">
        <f>_xlfn.XLOOKUP(A:A,'[4]TD90D PZAS'!$A:$A,'[4]TD90D PZAS'!$DA:$DA,"",0,1)</f>
        <v/>
      </c>
    </row>
    <row r="259" spans="1:21" x14ac:dyDescent="0.35">
      <c r="A259" t="s">
        <v>212</v>
      </c>
      <c r="B259" t="str">
        <f>_xlfn.XLOOKUP(A:A,[1]Hoja1!$C:$C,[1]Hoja1!$D:$D,"",0,1)</f>
        <v>ESM. ACRILICO BASE MET. MED. 582</v>
      </c>
      <c r="C259" s="8">
        <v>1</v>
      </c>
      <c r="D259" s="11">
        <f>_xlfn.XLOOKUP(A:A,[2]Hoja1!$C:$C,[2]Hoja1!$H:$H,"",0,1)</f>
        <v>1396.55</v>
      </c>
      <c r="E259" s="11">
        <f>_xlfn.XLOOKUP(A:A,[1]Hoja1!$C:$C,[1]Hoja1!$H:$H,"",0,1)</f>
        <v>999.14</v>
      </c>
      <c r="F259" s="14">
        <f>_xlfn.XLOOKUP(A:A,TD!A:A,TD!EC:EC,"",0,1)</f>
        <v>1</v>
      </c>
      <c r="G259" s="15">
        <f t="shared" si="14"/>
        <v>1</v>
      </c>
      <c r="H259" s="16">
        <f t="shared" si="15"/>
        <v>4189.6499999999996</v>
      </c>
      <c r="I259" s="16">
        <f t="shared" si="16"/>
        <v>2997.42</v>
      </c>
      <c r="J259" s="27">
        <v>25963</v>
      </c>
      <c r="K259" t="str">
        <f>_xlfn.XLOOKUP(J:J,'[3]FILTROS 2'!$A:$A,'[3]FILTROS 2'!$E:$E,"",0,1)</f>
        <v>ESMALTE ACRILICO</v>
      </c>
      <c r="L259" s="30"/>
      <c r="O259" t="str">
        <f>_xlfn.XLOOKUP(A:A,[4]TD90D!$A:$A,[4]TD90D!$CW:$CW,"",0,1)</f>
        <v/>
      </c>
      <c r="P259" t="str">
        <f>_xlfn.XLOOKUP(A:A,[4]TD90D!$A:$A,[4]TD90D!$CX:$CX,"",0,1)</f>
        <v/>
      </c>
      <c r="Q259" t="str">
        <f>_xlfn.XLOOKUP(A:A,[4]TD90D!$A:$A,[4]TD90D!$DA:$DA,"",0,1)</f>
        <v/>
      </c>
      <c r="R259" s="31" t="e">
        <f t="shared" si="17"/>
        <v>#VALUE!</v>
      </c>
      <c r="S259" t="str">
        <f>_xlfn.XLOOKUP(A:A,'[4]TD90D PZAS'!$A:$A,'[4]TD90D PZAS'!$CW:$CW,"",0,1)</f>
        <v/>
      </c>
      <c r="T259" t="str">
        <f>_xlfn.XLOOKUP(A:A,'[4]TD90D PZAS'!$A:$A,'[4]TD90D PZAS'!$CX:$CX,"",0,1)</f>
        <v/>
      </c>
      <c r="U259" t="str">
        <f>_xlfn.XLOOKUP(A:A,'[4]TD90D PZAS'!$A:$A,'[4]TD90D PZAS'!$DA:$DA,"",0,1)</f>
        <v/>
      </c>
    </row>
    <row r="260" spans="1:21" x14ac:dyDescent="0.35">
      <c r="A260" s="5" t="s">
        <v>426</v>
      </c>
      <c r="B260" t="str">
        <f>_xlfn.XLOOKUP(A:A,[1]Hoja1!$C:$C,[1]Hoja1!$D:$D,"",0,1)</f>
        <v/>
      </c>
      <c r="C260" s="10">
        <v>1277</v>
      </c>
      <c r="D260" s="11" t="str">
        <f>_xlfn.XLOOKUP(A:A,[2]Hoja1!$C:$C,[2]Hoja1!$H:$H,"",0,1)</f>
        <v/>
      </c>
      <c r="E260" s="11" t="str">
        <f>_xlfn.XLOOKUP(A:A,[1]Hoja1!$C:$C,[1]Hoja1!$H:$H,"",0,1)</f>
        <v/>
      </c>
      <c r="F260" s="14">
        <f>_xlfn.XLOOKUP(A:A,TD!A:A,TD!EC:EC,"",0,1)</f>
        <v>4.1566170712607677</v>
      </c>
      <c r="G260" s="15">
        <f t="shared" si="14"/>
        <v>4</v>
      </c>
      <c r="H260" s="16" t="e">
        <f t="shared" si="15"/>
        <v>#VALUE!</v>
      </c>
      <c r="I260" s="16" t="e">
        <f t="shared" si="16"/>
        <v>#VALUE!</v>
      </c>
      <c r="J260" s="28" t="s">
        <v>426</v>
      </c>
      <c r="K260" t="str">
        <f>_xlfn.XLOOKUP(J:J,'[3]FILTROS 2'!$A:$A,'[3]FILTROS 2'!$E:$E,"",0,1)</f>
        <v/>
      </c>
      <c r="L260" s="30" t="s">
        <v>443</v>
      </c>
      <c r="O260">
        <f>_xlfn.XLOOKUP(A:A,[4]TD90D!$A:$A,[4]TD90D!$CW:$CW,"",0,1)</f>
        <v>1199</v>
      </c>
      <c r="P260">
        <f>_xlfn.XLOOKUP(A:A,[4]TD90D!$A:$A,[4]TD90D!$CX:$CX,"",0,1)</f>
        <v>98</v>
      </c>
      <c r="Q260">
        <f>_xlfn.XLOOKUP(A:A,[4]TD90D!$A:$A,[4]TD90D!$DA:$DA,"",0,1)</f>
        <v>0</v>
      </c>
      <c r="R260" s="31">
        <f t="shared" si="17"/>
        <v>7.6742364917776043E-2</v>
      </c>
      <c r="S260">
        <f>_xlfn.XLOOKUP(A:A,'[4]TD90D PZAS'!$A:$A,'[4]TD90D PZAS'!$CW:$CW,"",0,1)</f>
        <v>5418</v>
      </c>
      <c r="T260">
        <f>_xlfn.XLOOKUP(A:A,'[4]TD90D PZAS'!$A:$A,'[4]TD90D PZAS'!$CX:$CX,"",0,1)</f>
        <v>90</v>
      </c>
      <c r="U260">
        <f>_xlfn.XLOOKUP(A:A,'[4]TD90D PZAS'!$A:$A,'[4]TD90D PZAS'!$DA:$DA,"",0,1)</f>
        <v>0</v>
      </c>
    </row>
  </sheetData>
  <autoFilter ref="A4:U260" xr:uid="{691ECB6F-3903-4E52-B34E-BE19BEDB2F87}"/>
  <mergeCells count="1">
    <mergeCell ref="H3:I3"/>
  </mergeCells>
  <conditionalFormatting sqref="Q5:Q260">
    <cfRule type="cellIs" dxfId="1" priority="2" operator="greaterThan">
      <formula>0</formula>
    </cfRule>
  </conditionalFormatting>
  <conditionalFormatting sqref="U5:U260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CA131-4050-45DD-B3D6-275AB5857D8A}">
  <dimension ref="A1:D14"/>
  <sheetViews>
    <sheetView tabSelected="1" zoomScale="70" zoomScaleNormal="70" workbookViewId="0">
      <selection activeCell="D2" sqref="D2"/>
    </sheetView>
  </sheetViews>
  <sheetFormatPr baseColWidth="10" defaultRowHeight="14.5" x14ac:dyDescent="0.35"/>
  <cols>
    <col min="2" max="2" width="37.1796875" bestFit="1" customWidth="1"/>
    <col min="3" max="3" width="29.36328125" bestFit="1" customWidth="1"/>
    <col min="4" max="4" width="23.26953125" customWidth="1"/>
  </cols>
  <sheetData>
    <row r="1" spans="1:4" x14ac:dyDescent="0.35">
      <c r="A1" s="6" t="s">
        <v>4</v>
      </c>
      <c r="B1" s="6" t="s">
        <v>434</v>
      </c>
      <c r="C1" s="29" t="s">
        <v>435</v>
      </c>
      <c r="D1" s="42" t="s">
        <v>436</v>
      </c>
    </row>
    <row r="2" spans="1:4" x14ac:dyDescent="0.35">
      <c r="A2" t="s">
        <v>46</v>
      </c>
      <c r="B2" t="str">
        <f>_xlfn.XLOOKUP(A:A,[1]Hoja1!$C:$C,[1]Hoja1!$D:$D,"",0,1)</f>
        <v>BRILLON NEGRO</v>
      </c>
      <c r="C2" t="s">
        <v>445</v>
      </c>
      <c r="D2" s="30">
        <f>'POR PRODUCTO MAS COM'!L7</f>
        <v>4</v>
      </c>
    </row>
    <row r="3" spans="1:4" x14ac:dyDescent="0.35">
      <c r="A3" t="s">
        <v>42</v>
      </c>
      <c r="B3" t="str">
        <f>_xlfn.XLOOKUP(A:A,[1]Hoja1!$C:$C,[1]Hoja1!$D:$D,"",0,1)</f>
        <v>ESMALTE BRILLON BLANCO</v>
      </c>
      <c r="C3" t="s">
        <v>445</v>
      </c>
      <c r="D3" s="30">
        <f>'POR PRODUCTO MAS COM'!L8</f>
        <v>4</v>
      </c>
    </row>
    <row r="4" spans="1:4" x14ac:dyDescent="0.35">
      <c r="A4" t="s">
        <v>59</v>
      </c>
      <c r="B4" t="str">
        <f>_xlfn.XLOOKUP(A:A,[1]Hoja1!$C:$C,[1]Hoja1!$D:$D,"",0,1)</f>
        <v>BRILLON BLANCO</v>
      </c>
      <c r="C4" t="s">
        <v>445</v>
      </c>
      <c r="D4" s="30">
        <f>'POR PRODUCTO MAS COM'!L9</f>
        <v>3</v>
      </c>
    </row>
    <row r="5" spans="1:4" x14ac:dyDescent="0.35">
      <c r="A5" t="s">
        <v>74</v>
      </c>
      <c r="B5" t="str">
        <f>_xlfn.XLOOKUP(A:A,[1]Hoja1!$C:$C,[1]Hoja1!$D:$D,"",0,1)</f>
        <v>BRILLON NEGRO</v>
      </c>
      <c r="C5" t="s">
        <v>445</v>
      </c>
      <c r="D5" s="30">
        <f>'POR PRODUCTO MAS COM'!L10</f>
        <v>4</v>
      </c>
    </row>
    <row r="6" spans="1:4" x14ac:dyDescent="0.35">
      <c r="A6" t="s">
        <v>133</v>
      </c>
      <c r="B6" t="str">
        <f>_xlfn.XLOOKUP(A:A,[1]Hoja1!$C:$C,[1]Hoja1!$D:$D,"",0,1)</f>
        <v>BRILLON NEGRO</v>
      </c>
      <c r="C6" t="s">
        <v>445</v>
      </c>
      <c r="D6" s="30">
        <f>'POR PRODUCTO MAS COM'!L11</f>
        <v>4</v>
      </c>
    </row>
    <row r="7" spans="1:4" x14ac:dyDescent="0.35">
      <c r="A7" t="s">
        <v>79</v>
      </c>
      <c r="B7" t="str">
        <f>_xlfn.XLOOKUP(A:A,[1]Hoja1!$C:$C,[1]Hoja1!$D:$D,"",0,1)</f>
        <v>BRILLON BLANCO</v>
      </c>
      <c r="C7" t="s">
        <v>445</v>
      </c>
      <c r="D7" s="30">
        <f>'POR PRODUCTO MAS COM'!L12</f>
        <v>4</v>
      </c>
    </row>
    <row r="8" spans="1:4" x14ac:dyDescent="0.35">
      <c r="A8" t="s">
        <v>9</v>
      </c>
      <c r="B8" t="str">
        <f>_xlfn.XLOOKUP(A:A,[1]Hoja1!$C:$C,[1]Hoja1!$D:$D,"",0,1)</f>
        <v>AEROSOL NEGRO BRILLANTE</v>
      </c>
      <c r="C8" t="s">
        <v>446</v>
      </c>
      <c r="D8" s="30">
        <f>'POR PRODUCTO MAS COM'!L13</f>
        <v>6</v>
      </c>
    </row>
    <row r="9" spans="1:4" x14ac:dyDescent="0.35">
      <c r="A9" t="s">
        <v>13</v>
      </c>
      <c r="B9" t="str">
        <f>_xlfn.XLOOKUP(A:A,[1]Hoja1!$C:$C,[1]Hoja1!$D:$D,"",0,1)</f>
        <v>AEROSOL BLANCO BRILLANTE</v>
      </c>
      <c r="C9" t="s">
        <v>446</v>
      </c>
      <c r="D9" s="30">
        <f>'POR PRODUCTO MAS COM'!L14</f>
        <v>6</v>
      </c>
    </row>
    <row r="10" spans="1:4" x14ac:dyDescent="0.35">
      <c r="A10" t="s">
        <v>103</v>
      </c>
      <c r="B10" t="str">
        <f>_xlfn.XLOOKUP(A:A,[1]Hoja1!$C:$C,[1]Hoja1!$D:$D,"",0,1)</f>
        <v>RELLENADOR AUTOMOTRIZ C/CATAL. ROJO</v>
      </c>
      <c r="C10" t="s">
        <v>447</v>
      </c>
      <c r="D10" s="30">
        <f>'POR PRODUCTO MAS COM'!L15</f>
        <v>3</v>
      </c>
    </row>
    <row r="11" spans="1:4" x14ac:dyDescent="0.35">
      <c r="A11" t="s">
        <v>91</v>
      </c>
      <c r="B11" t="str">
        <f>_xlfn.XLOOKUP(A:A,[1]Hoja1!$C:$C,[1]Hoja1!$D:$D,"",0,1)</f>
        <v>SIAMIL ECONOMICO MI FL 20 KG</v>
      </c>
      <c r="C11" t="s">
        <v>448</v>
      </c>
      <c r="D11" s="30">
        <f>'POR PRODUCTO MAS COM'!L16</f>
        <v>4</v>
      </c>
    </row>
    <row r="12" spans="1:4" x14ac:dyDescent="0.35">
      <c r="A12" t="s">
        <v>7</v>
      </c>
      <c r="B12" t="str">
        <f>_xlfn.XLOOKUP(A:A,[1]Hoja1!$C:$C,[1]Hoja1!$D:$D,"",0,1)</f>
        <v>AEROSOL NEGRO MATE</v>
      </c>
      <c r="C12" t="s">
        <v>446</v>
      </c>
      <c r="D12" s="30">
        <f>'POR PRODUCTO MAS COM'!L18</f>
        <v>5</v>
      </c>
    </row>
    <row r="13" spans="1:4" x14ac:dyDescent="0.35">
      <c r="A13" t="s">
        <v>23</v>
      </c>
      <c r="B13" t="str">
        <f>_xlfn.XLOOKUP(A:A,[1]Hoja1!$C:$C,[1]Hoja1!$D:$D,"",0,1)</f>
        <v>AEROSOL ALUMINIO</v>
      </c>
      <c r="C13" t="s">
        <v>446</v>
      </c>
      <c r="D13" s="30">
        <f>'POR PRODUCTO MAS COM'!L20</f>
        <v>3</v>
      </c>
    </row>
    <row r="14" spans="1:4" x14ac:dyDescent="0.35">
      <c r="A14" t="s">
        <v>263</v>
      </c>
      <c r="B14" t="str">
        <f>_xlfn.XLOOKUP(A:A,[1]Hoja1!$C:$C,[1]Hoja1!$D:$D,"",0,1)</f>
        <v>VINILICA GLOSI BLANCO ULTRA</v>
      </c>
      <c r="C14" t="s">
        <v>449</v>
      </c>
      <c r="D14" s="30">
        <f>'POR PRODUCTO MAS COM'!L22</f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Sheet1</vt:lpstr>
      <vt:lpstr>Hoja1</vt:lpstr>
      <vt:lpstr>TD</vt:lpstr>
      <vt:lpstr>POR PRODUCTO MAS COM</vt:lpstr>
      <vt:lpstr>SUGERIDO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Lilia Karen Macias</cp:lastModifiedBy>
  <dcterms:created xsi:type="dcterms:W3CDTF">2026-09-11T22:35:46Z</dcterms:created>
  <dcterms:modified xsi:type="dcterms:W3CDTF">2026-09-15T21:38:21Z</dcterms:modified>
</cp:coreProperties>
</file>